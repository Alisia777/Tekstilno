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Март 26" sheetId="1" r:id="rId5"/>
    <sheet state="visible" name="Февраль 26" sheetId="2" r:id="rId6"/>
    <sheet state="visible" name="Январь 26" sheetId="3" r:id="rId7"/>
    <sheet state="visible" name="Декабрь 25" sheetId="4" r:id="rId8"/>
    <sheet state="visible" name="Ноябрь 25" sheetId="5" r:id="rId9"/>
    <sheet state="visible" name="Октябрь 25" sheetId="6" r:id="rId10"/>
    <sheet state="visible" name="Сентябрь 25" sheetId="7" r:id="rId11"/>
    <sheet state="visible" name="Август 25" sheetId="8" r:id="rId12"/>
    <sheet state="visible" name="Июль 25" sheetId="9" r:id="rId13"/>
  </sheets>
  <definedNames/>
  <calcPr/>
</workbook>
</file>

<file path=xl/sharedStrings.xml><?xml version="1.0" encoding="utf-8"?>
<sst xmlns="http://schemas.openxmlformats.org/spreadsheetml/2006/main" count="3709" uniqueCount="177">
  <si>
    <t>Вчера</t>
  </si>
  <si>
    <t>Дней в месяце</t>
  </si>
  <si>
    <t>Актуально на</t>
  </si>
  <si>
    <t>Оз</t>
  </si>
  <si>
    <t>Вб</t>
  </si>
  <si>
    <t>Ям</t>
  </si>
  <si>
    <t>Лету</t>
  </si>
  <si>
    <t>ЗЯ</t>
  </si>
  <si>
    <t>Магнит Маркет</t>
  </si>
  <si>
    <t>Сайт</t>
  </si>
  <si>
    <t>план</t>
  </si>
  <si>
    <t>ауты</t>
  </si>
  <si>
    <t>реальный план</t>
  </si>
  <si>
    <t>выручка</t>
  </si>
  <si>
    <t>отказы/возвраты</t>
  </si>
  <si>
    <t>раздачи</t>
  </si>
  <si>
    <t>выкупы</t>
  </si>
  <si>
    <t>реальная выручка</t>
  </si>
  <si>
    <t>Ozon</t>
  </si>
  <si>
    <t>Биг–Л</t>
  </si>
  <si>
    <t>Смарт</t>
  </si>
  <si>
    <t>qeep</t>
  </si>
  <si>
    <t>harly</t>
  </si>
  <si>
    <t>Алтея</t>
  </si>
  <si>
    <t>WB</t>
  </si>
  <si>
    <t xml:space="preserve">Биг–Л / Март | до </t>
  </si>
  <si>
    <t xml:space="preserve">Смарт/ Март| до </t>
  </si>
  <si>
    <t>Смарт–Сэйл</t>
  </si>
  <si>
    <t>Оплата за клик</t>
  </si>
  <si>
    <t>Оплата за заказ</t>
  </si>
  <si>
    <t>Медийка</t>
  </si>
  <si>
    <t>ЯМаркет</t>
  </si>
  <si>
    <t>Баллы за отзывы</t>
  </si>
  <si>
    <t>Бонусы продавца</t>
  </si>
  <si>
    <t>Летуаль</t>
  </si>
  <si>
    <t>Рассылки</t>
  </si>
  <si>
    <t>Закрепление отзыва</t>
  </si>
  <si>
    <t>Золотое Яблоко</t>
  </si>
  <si>
    <t>Иные электронные услуги</t>
  </si>
  <si>
    <t>Продвижение бренда</t>
  </si>
  <si>
    <t>итог</t>
  </si>
  <si>
    <t>Ozon Рассрочка</t>
  </si>
  <si>
    <t>Итого расходов</t>
  </si>
  <si>
    <t>Выручка</t>
  </si>
  <si>
    <t>ДРР / Факт</t>
  </si>
  <si>
    <t>Без вычетов</t>
  </si>
  <si>
    <t>С вычетом всего</t>
  </si>
  <si>
    <t>ДРР / План</t>
  </si>
  <si>
    <t>дельта</t>
  </si>
  <si>
    <t>Перерасход в деньгах</t>
  </si>
  <si>
    <t>Перераход в деньгах</t>
  </si>
  <si>
    <t>План</t>
  </si>
  <si>
    <t>Плато продаж</t>
  </si>
  <si>
    <t>Нужно сделать на вчера</t>
  </si>
  <si>
    <t xml:space="preserve">Нужно делать в день </t>
  </si>
  <si>
    <t>Дельта от плана</t>
  </si>
  <si>
    <t>Прогноз по выручке</t>
  </si>
  <si>
    <t>Прогноз по выручке (%)</t>
  </si>
  <si>
    <t>Wildberries / Расход бонусы + рубли</t>
  </si>
  <si>
    <t>Затраты из РК</t>
  </si>
  <si>
    <t>Только рубли</t>
  </si>
  <si>
    <t>реклама</t>
  </si>
  <si>
    <t>ДРР</t>
  </si>
  <si>
    <t>ДРР план</t>
  </si>
  <si>
    <t>ДРР факт</t>
  </si>
  <si>
    <t>Отзывы за баллы</t>
  </si>
  <si>
    <t>Распределение по направлениям</t>
  </si>
  <si>
    <t>Распределение продаж</t>
  </si>
  <si>
    <t>Прогноз</t>
  </si>
  <si>
    <t>Прошлый месяц</t>
  </si>
  <si>
    <t>Рекламный расход , руб</t>
  </si>
  <si>
    <t>Рубли + Бонусы</t>
  </si>
  <si>
    <t>ДРР , %</t>
  </si>
  <si>
    <t>Wildberries / Расход только рубли</t>
  </si>
  <si>
    <t>Прирост к прошлому месяцу , %</t>
  </si>
  <si>
    <t>Прирост по направлениям , %</t>
  </si>
  <si>
    <t>Прирост к прошлому месяцу , руб</t>
  </si>
  <si>
    <t>Отзывы за баллы?</t>
  </si>
  <si>
    <t>Прирост по направлениям , руб</t>
  </si>
  <si>
    <t>хотим</t>
  </si>
  <si>
    <t>осталось сделать</t>
  </si>
  <si>
    <t>нужно плато продаж</t>
  </si>
  <si>
    <t>Буст продаж</t>
  </si>
  <si>
    <t>Буст показов</t>
  </si>
  <si>
    <t>Полки</t>
  </si>
  <si>
    <t>Охватное продвижение</t>
  </si>
  <si>
    <t>Сентябрь</t>
  </si>
  <si>
    <t>Октябрь</t>
  </si>
  <si>
    <t>Баннеры</t>
  </si>
  <si>
    <t>Разница от плана</t>
  </si>
  <si>
    <t>Реклама</t>
  </si>
  <si>
    <t>Магнит</t>
  </si>
  <si>
    <t>Факт</t>
  </si>
  <si>
    <t>Дельта</t>
  </si>
  <si>
    <t>Выручка по маркетплейсам</t>
  </si>
  <si>
    <t>Выручка Ozon</t>
  </si>
  <si>
    <t>План / Ozon / Вчера</t>
  </si>
  <si>
    <t>Выручка WB</t>
  </si>
  <si>
    <t>План / WB / Вчера</t>
  </si>
  <si>
    <t>Выручка ЯМаркет</t>
  </si>
  <si>
    <t>План / ЯМ / Вчера</t>
  </si>
  <si>
    <t>Выручка Летуаль</t>
  </si>
  <si>
    <t>План / Лету / Вчера</t>
  </si>
  <si>
    <t>Выручка по направлениям</t>
  </si>
  <si>
    <t>Выручка Биг–Л</t>
  </si>
  <si>
    <t>План / Биг–Л / Вчера</t>
  </si>
  <si>
    <t>Выручка Смарт–Сейл</t>
  </si>
  <si>
    <t>План / Смарт/ Вчера</t>
  </si>
  <si>
    <t>Суммарная выручка</t>
  </si>
  <si>
    <t>Итого / Все МП / Вчера</t>
  </si>
  <si>
    <t>План / Все МП / Вчера</t>
  </si>
  <si>
    <t>Прогноз по месяцу</t>
  </si>
  <si>
    <t>План на месяц</t>
  </si>
  <si>
    <t>Доля рекламных расходов по всем МП (бонусы + рубли)</t>
  </si>
  <si>
    <t>Доля Рекламных Расходов</t>
  </si>
  <si>
    <t>Wildberries</t>
  </si>
  <si>
    <t>Все МП</t>
  </si>
  <si>
    <t>Доля рекламных расходов по всем МП (только рубли)</t>
  </si>
  <si>
    <t>Рекламный расход по всем МП</t>
  </si>
  <si>
    <t>Бонусы + Рубли</t>
  </si>
  <si>
    <t>Total</t>
  </si>
  <si>
    <t>Рекламный расход по направлениям</t>
  </si>
  <si>
    <t>Смарт–Сейл</t>
  </si>
  <si>
    <t xml:space="preserve">Биг–Л / Февраль | до </t>
  </si>
  <si>
    <t xml:space="preserve">Смарт/ Февраль| до </t>
  </si>
  <si>
    <t xml:space="preserve">Биг–Л / Январь | до </t>
  </si>
  <si>
    <t xml:space="preserve">Смарт/ Январь| до </t>
  </si>
  <si>
    <t>73 474 830</t>
  </si>
  <si>
    <t>Декабрь</t>
  </si>
  <si>
    <t>Январь</t>
  </si>
  <si>
    <t xml:space="preserve">Биг–Л / Ноябрь | до </t>
  </si>
  <si>
    <t xml:space="preserve">Смарт / Декабрь| до </t>
  </si>
  <si>
    <t>Ноябрь</t>
  </si>
  <si>
    <t>план (ПП)</t>
  </si>
  <si>
    <t xml:space="preserve">Смарт / Ноябрь | до </t>
  </si>
  <si>
    <t xml:space="preserve">86млн – весь лету / сентябрь </t>
  </si>
  <si>
    <t xml:space="preserve">Биг–Л / Октябрь | до </t>
  </si>
  <si>
    <t xml:space="preserve">Смарт / Октябрь | до </t>
  </si>
  <si>
    <t>дней в месяце</t>
  </si>
  <si>
    <t>желаемая выручка</t>
  </si>
  <si>
    <t xml:space="preserve">Биг–Л / Сентябрь | до </t>
  </si>
  <si>
    <t xml:space="preserve">Смарт / Сентябрь | до </t>
  </si>
  <si>
    <t>Закрепленные отзывы</t>
  </si>
  <si>
    <t>Август</t>
  </si>
  <si>
    <t>вб</t>
  </si>
  <si>
    <t>бигл</t>
  </si>
  <si>
    <t xml:space="preserve">Биг–Л / Август | до </t>
  </si>
  <si>
    <t xml:space="preserve">Смарт / Август | до </t>
  </si>
  <si>
    <t>смарт</t>
  </si>
  <si>
    <t>Вывод в топ</t>
  </si>
  <si>
    <t>оз</t>
  </si>
  <si>
    <t>Трафареты</t>
  </si>
  <si>
    <t>ям</t>
  </si>
  <si>
    <t>Июль</t>
  </si>
  <si>
    <t>Доля Рекламных Расходов / Факт</t>
  </si>
  <si>
    <t>Доля Рекламных Расходов / План</t>
  </si>
  <si>
    <t xml:space="preserve">Биг–Л / Июль | до </t>
  </si>
  <si>
    <t xml:space="preserve">Смарт / Июль | до </t>
  </si>
  <si>
    <t>Поиск</t>
  </si>
  <si>
    <t>Факт / Разбивка</t>
  </si>
  <si>
    <t>План / Разбивка</t>
  </si>
  <si>
    <t>Факт / Все МП</t>
  </si>
  <si>
    <t>План / Все МП</t>
  </si>
  <si>
    <t>Факт / Расходы / Разбивка</t>
  </si>
  <si>
    <t>План / Расходы / Разбивка</t>
  </si>
  <si>
    <t>Расход / Ozon</t>
  </si>
  <si>
    <t>Плановый расход / Ozon</t>
  </si>
  <si>
    <t>Расход / WB</t>
  </si>
  <si>
    <t>Плановый расход / WB</t>
  </si>
  <si>
    <t>Расход / ЯМаркет</t>
  </si>
  <si>
    <t>Плановый расход / ЯМ</t>
  </si>
  <si>
    <t>Расход / Летуаль</t>
  </si>
  <si>
    <t>Плановый расход / Лету</t>
  </si>
  <si>
    <t>Факт / Расходы / Все МП</t>
  </si>
  <si>
    <t>План / Расходы / Все МП</t>
  </si>
  <si>
    <t>Факт / ДРР</t>
  </si>
  <si>
    <t>План / ДРР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</si>
</sst>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/m/yyyy"/>
    <numFmt numFmtId="165" formatCode="[$р.-419]#,##0.00"/>
    <numFmt numFmtId="166" formatCode="dd.MM.yyyy"/>
    <numFmt numFmtId="167" formatCode="dd mm"/>
    <numFmt numFmtId="168" formatCode="[$р.-419]#,##0"/>
  </numFmts>
  <fonts count="11">
    <font>
      <sz val="10.0"/>
      <color rgb="FF000000"/>
      <name val="Arial"/>
      <scheme val="minor"/>
    </font>
    <font>
      <sz val="10.0"/>
      <color theme="1"/>
      <name val="Arial"/>
    </font>
    <font>
      <color theme="1"/>
      <name val="Arial"/>
    </font>
    <font>
      <b/>
      <sz val="10.0"/>
      <color theme="1"/>
      <name val="Arial"/>
    </font>
    <font/>
    <font>
      <color theme="1"/>
      <name val="Arial"/>
      <scheme val="minor"/>
    </font>
    <font>
      <b/>
      <color theme="1"/>
      <name val="Arial"/>
    </font>
    <font>
      <b/>
      <sz val="12.0"/>
      <color theme="1"/>
      <name val="Arial"/>
    </font>
    <font>
      <color rgb="FF000000"/>
      <name val="Arial"/>
      <scheme val="minor"/>
    </font>
    <font>
      <b/>
      <sz val="12.0"/>
      <color theme="1"/>
      <name val="Calibri"/>
    </font>
    <font>
      <b/>
      <color theme="1"/>
      <name val="Arial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EA9999"/>
        <bgColor rgb="FFEA9999"/>
      </patternFill>
    </fill>
    <fill>
      <patternFill patternType="solid">
        <fgColor rgb="FFFFFF00"/>
        <bgColor rgb="FFFFFF00"/>
      </patternFill>
    </fill>
  </fills>
  <borders count="13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0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vertical="center"/>
    </xf>
    <xf borderId="0" fillId="0" fontId="1" numFmtId="0" xfId="0" applyAlignment="1" applyFont="1">
      <alignment vertical="center"/>
    </xf>
    <xf borderId="0" fillId="2" fontId="1" numFmtId="0" xfId="0" applyAlignment="1" applyFill="1" applyFont="1">
      <alignment horizontal="right" readingOrder="0" vertical="center"/>
    </xf>
    <xf borderId="0" fillId="0" fontId="1" numFmtId="0" xfId="0" applyAlignment="1" applyFont="1">
      <alignment readingOrder="0" vertical="center"/>
    </xf>
    <xf borderId="0" fillId="0" fontId="2" numFmtId="0" xfId="0" applyAlignment="1" applyFont="1">
      <alignment vertical="center"/>
    </xf>
    <xf borderId="0" fillId="0" fontId="1" numFmtId="164" xfId="0" applyAlignment="1" applyFont="1" applyNumberFormat="1">
      <alignment horizontal="right" readingOrder="0" vertical="center"/>
    </xf>
    <xf borderId="0" fillId="3" fontId="3" numFmtId="0" xfId="0" applyAlignment="1" applyFill="1" applyFont="1">
      <alignment horizontal="center" vertical="center"/>
    </xf>
    <xf borderId="0" fillId="4" fontId="3" numFmtId="0" xfId="0" applyAlignment="1" applyFill="1" applyFont="1">
      <alignment horizontal="center" vertical="center"/>
    </xf>
    <xf borderId="0" fillId="5" fontId="3" numFmtId="0" xfId="0" applyAlignment="1" applyFill="1" applyFont="1">
      <alignment horizontal="center" vertical="center"/>
    </xf>
    <xf borderId="0" fillId="6" fontId="3" numFmtId="0" xfId="0" applyAlignment="1" applyFill="1" applyFont="1">
      <alignment horizontal="center" vertical="center"/>
    </xf>
    <xf borderId="0" fillId="7" fontId="3" numFmtId="0" xfId="0" applyAlignment="1" applyFill="1" applyFont="1">
      <alignment horizontal="center" readingOrder="0" vertical="center"/>
    </xf>
    <xf borderId="0" fillId="4" fontId="3" numFmtId="0" xfId="0" applyAlignment="1" applyFont="1">
      <alignment horizontal="center" readingOrder="0" vertical="center"/>
    </xf>
    <xf borderId="0" fillId="8" fontId="3" numFmtId="0" xfId="0" applyAlignment="1" applyFill="1" applyFont="1">
      <alignment horizontal="center" readingOrder="0" vertical="center"/>
    </xf>
    <xf borderId="0" fillId="8" fontId="2" numFmtId="0" xfId="0" applyAlignment="1" applyFont="1">
      <alignment horizontal="center" vertical="center"/>
    </xf>
    <xf borderId="0" fillId="9" fontId="2" numFmtId="0" xfId="0" applyAlignment="1" applyFill="1" applyFont="1">
      <alignment horizontal="center" vertical="center"/>
    </xf>
    <xf borderId="1" fillId="3" fontId="3" numFmtId="0" xfId="0" applyAlignment="1" applyBorder="1" applyFont="1">
      <alignment horizontal="center" vertical="center"/>
    </xf>
    <xf borderId="2" fillId="0" fontId="4" numFmtId="0" xfId="0" applyBorder="1" applyFont="1"/>
    <xf borderId="3" fillId="0" fontId="4" numFmtId="0" xfId="0" applyBorder="1" applyFont="1"/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0" fillId="0" fontId="2" numFmtId="0" xfId="0" applyAlignment="1" applyFont="1">
      <alignment readingOrder="0" vertical="center"/>
    </xf>
    <xf borderId="0" fillId="0" fontId="2" numFmtId="3" xfId="0" applyAlignment="1" applyFont="1" applyNumberFormat="1">
      <alignment readingOrder="0" vertical="center"/>
    </xf>
    <xf borderId="0" fillId="0" fontId="2" numFmtId="165" xfId="0" applyAlignment="1" applyFont="1" applyNumberFormat="1">
      <alignment horizontal="right" vertical="center"/>
    </xf>
    <xf borderId="0" fillId="0" fontId="2" numFmtId="165" xfId="0" applyAlignment="1" applyFont="1" applyNumberFormat="1">
      <alignment vertical="center"/>
    </xf>
    <xf borderId="0" fillId="10" fontId="2" numFmtId="165" xfId="0" applyAlignment="1" applyFill="1" applyFont="1" applyNumberFormat="1">
      <alignment horizontal="right" vertical="center"/>
    </xf>
    <xf borderId="1" fillId="0" fontId="3" numFmtId="0" xfId="0" applyAlignment="1" applyBorder="1" applyFont="1">
      <alignment horizontal="center" readingOrder="0" vertical="center"/>
    </xf>
    <xf borderId="3" fillId="0" fontId="3" numFmtId="166" xfId="0" applyAlignment="1" applyBorder="1" applyFont="1" applyNumberFormat="1">
      <alignment horizontal="center" readingOrder="0" vertical="center"/>
    </xf>
    <xf borderId="3" fillId="0" fontId="3" numFmtId="166" xfId="0" applyAlignment="1" applyBorder="1" applyFont="1" applyNumberFormat="1">
      <alignment horizontal="center" vertical="center"/>
    </xf>
    <xf borderId="0" fillId="0" fontId="3" numFmtId="167" xfId="0" applyAlignment="1" applyFont="1" applyNumberFormat="1">
      <alignment horizontal="center" readingOrder="0" vertical="center"/>
    </xf>
    <xf borderId="0" fillId="0" fontId="1" numFmtId="165" xfId="0" applyAlignment="1" applyFont="1" applyNumberFormat="1">
      <alignment horizontal="right" vertical="center"/>
    </xf>
    <xf borderId="0" fillId="0" fontId="1" numFmtId="165" xfId="0" applyAlignment="1" applyFont="1" applyNumberFormat="1">
      <alignment readingOrder="0" vertical="center"/>
    </xf>
    <xf borderId="0" fillId="0" fontId="1" numFmtId="165" xfId="0" applyAlignment="1" applyFont="1" applyNumberFormat="1">
      <alignment horizontal="right" readingOrder="0" vertical="center"/>
    </xf>
    <xf borderId="0" fillId="10" fontId="1" numFmtId="165" xfId="0" applyAlignment="1" applyFont="1" applyNumberFormat="1">
      <alignment readingOrder="0" vertical="center"/>
    </xf>
    <xf borderId="0" fillId="9" fontId="1" numFmtId="165" xfId="0" applyAlignment="1" applyFont="1" applyNumberFormat="1">
      <alignment readingOrder="0" vertical="center"/>
    </xf>
    <xf borderId="0" fillId="0" fontId="1" numFmtId="10" xfId="0" applyAlignment="1" applyFont="1" applyNumberFormat="1">
      <alignment horizontal="right" vertical="center"/>
    </xf>
    <xf borderId="4" fillId="0" fontId="1" numFmtId="0" xfId="0" applyAlignment="1" applyBorder="1" applyFont="1">
      <alignment readingOrder="0" vertical="center"/>
    </xf>
    <xf borderId="5" fillId="0" fontId="1" numFmtId="165" xfId="0" applyAlignment="1" applyBorder="1" applyFont="1" applyNumberFormat="1">
      <alignment horizontal="right" readingOrder="0" vertical="center"/>
    </xf>
    <xf borderId="6" fillId="0" fontId="1" numFmtId="165" xfId="0" applyAlignment="1" applyBorder="1" applyFont="1" applyNumberFormat="1">
      <alignment vertical="center"/>
    </xf>
    <xf borderId="7" fillId="0" fontId="1" numFmtId="0" xfId="0" applyAlignment="1" applyBorder="1" applyFont="1">
      <alignment readingOrder="0" vertical="center"/>
    </xf>
    <xf borderId="8" fillId="0" fontId="1" numFmtId="0" xfId="0" applyAlignment="1" applyBorder="1" applyFont="1">
      <alignment vertical="center"/>
    </xf>
    <xf borderId="7" fillId="0" fontId="1" numFmtId="0" xfId="0" applyAlignment="1" applyBorder="1" applyFont="1">
      <alignment vertical="center"/>
    </xf>
    <xf borderId="8" fillId="0" fontId="1" numFmtId="10" xfId="0" applyAlignment="1" applyBorder="1" applyFont="1" applyNumberFormat="1">
      <alignment vertical="center"/>
    </xf>
    <xf borderId="0" fillId="11" fontId="1" numFmtId="165" xfId="0" applyAlignment="1" applyFill="1" applyFont="1" applyNumberFormat="1">
      <alignment readingOrder="0" vertical="center"/>
    </xf>
    <xf borderId="0" fillId="0" fontId="5" numFmtId="0" xfId="0" applyAlignment="1" applyFont="1">
      <alignment readingOrder="0" vertical="center"/>
    </xf>
    <xf borderId="0" fillId="0" fontId="5" numFmtId="165" xfId="0" applyAlignment="1" applyFont="1" applyNumberFormat="1">
      <alignment vertical="center"/>
    </xf>
    <xf borderId="0" fillId="0" fontId="5" numFmtId="0" xfId="0" applyAlignment="1" applyFont="1">
      <alignment vertical="center"/>
    </xf>
    <xf borderId="0" fillId="0" fontId="1" numFmtId="167" xfId="0" applyAlignment="1" applyFont="1" applyNumberFormat="1">
      <alignment vertical="center"/>
    </xf>
    <xf borderId="7" fillId="0" fontId="5" numFmtId="0" xfId="0" applyAlignment="1" applyBorder="1" applyFont="1">
      <alignment readingOrder="0" vertical="center"/>
    </xf>
    <xf borderId="8" fillId="0" fontId="5" numFmtId="0" xfId="0" applyAlignment="1" applyBorder="1" applyFont="1">
      <alignment vertical="center"/>
    </xf>
    <xf borderId="0" fillId="0" fontId="2" numFmtId="165" xfId="0" applyAlignment="1" applyFont="1" applyNumberFormat="1">
      <alignment horizontal="right" readingOrder="0" vertical="center"/>
    </xf>
    <xf borderId="0" fillId="0" fontId="6" numFmtId="0" xfId="0" applyAlignment="1" applyFont="1">
      <alignment horizontal="center" vertical="center"/>
    </xf>
    <xf borderId="0" fillId="0" fontId="6" numFmtId="165" xfId="0" applyAlignment="1" applyFont="1" applyNumberFormat="1">
      <alignment horizontal="center" vertical="center"/>
    </xf>
    <xf borderId="8" fillId="0" fontId="1" numFmtId="165" xfId="0" applyAlignment="1" applyBorder="1" applyFont="1" applyNumberFormat="1">
      <alignment vertical="center"/>
    </xf>
    <xf borderId="8" fillId="0" fontId="1" numFmtId="165" xfId="0" applyAlignment="1" applyBorder="1" applyFont="1" applyNumberFormat="1">
      <alignment horizontal="right" vertical="center"/>
    </xf>
    <xf borderId="0" fillId="0" fontId="2" numFmtId="10" xfId="0" applyAlignment="1" applyFont="1" applyNumberFormat="1">
      <alignment vertical="center"/>
    </xf>
    <xf borderId="0" fillId="0" fontId="1" numFmtId="10" xfId="0" applyAlignment="1" applyFont="1" applyNumberFormat="1">
      <alignment vertical="center"/>
    </xf>
    <xf borderId="8" fillId="0" fontId="1" numFmtId="10" xfId="0" applyAlignment="1" applyBorder="1" applyFont="1" applyNumberFormat="1">
      <alignment horizontal="right" vertical="center"/>
    </xf>
    <xf borderId="0" fillId="0" fontId="1" numFmtId="165" xfId="0" applyAlignment="1" applyFont="1" applyNumberFormat="1">
      <alignment vertical="center"/>
    </xf>
    <xf borderId="0" fillId="0" fontId="1" numFmtId="10" xfId="0" applyAlignment="1" applyFont="1" applyNumberFormat="1">
      <alignment horizontal="right" readingOrder="0" vertical="center"/>
    </xf>
    <xf borderId="9" fillId="0" fontId="1" numFmtId="0" xfId="0" applyAlignment="1" applyBorder="1" applyFont="1">
      <alignment readingOrder="0" vertical="center"/>
    </xf>
    <xf borderId="10" fillId="0" fontId="1" numFmtId="0" xfId="0" applyAlignment="1" applyBorder="1" applyFont="1">
      <alignment vertical="center"/>
    </xf>
    <xf borderId="11" fillId="0" fontId="1" numFmtId="165" xfId="0" applyAlignment="1" applyBorder="1" applyFont="1" applyNumberFormat="1">
      <alignment horizontal="right" vertical="center"/>
    </xf>
    <xf borderId="0" fillId="0" fontId="2" numFmtId="10" xfId="0" applyAlignment="1" applyFont="1" applyNumberFormat="1">
      <alignment horizontal="right" vertical="center"/>
    </xf>
    <xf borderId="0" fillId="10" fontId="1" numFmtId="165" xfId="0" applyAlignment="1" applyFont="1" applyNumberFormat="1">
      <alignment horizontal="right" vertical="center"/>
    </xf>
    <xf borderId="0" fillId="10" fontId="1" numFmtId="165" xfId="0" applyAlignment="1" applyFont="1" applyNumberFormat="1">
      <alignment horizontal="right" readingOrder="0" vertical="center"/>
    </xf>
    <xf borderId="0" fillId="0" fontId="3" numFmtId="0" xfId="0" applyAlignment="1" applyFont="1">
      <alignment vertical="center"/>
    </xf>
    <xf borderId="0" fillId="0" fontId="3" numFmtId="10" xfId="0" applyAlignment="1" applyFont="1" applyNumberFormat="1">
      <alignment horizontal="center" vertical="center"/>
    </xf>
    <xf borderId="1" fillId="2" fontId="3" numFmtId="0" xfId="0" applyAlignment="1" applyBorder="1" applyFont="1">
      <alignment horizontal="center" readingOrder="0" vertical="center"/>
    </xf>
    <xf borderId="0" fillId="0" fontId="6" numFmtId="10" xfId="0" applyAlignment="1" applyFont="1" applyNumberFormat="1">
      <alignment horizontal="center" vertical="center"/>
    </xf>
    <xf borderId="1" fillId="0" fontId="3" numFmtId="0" xfId="0" applyAlignment="1" applyBorder="1" applyFont="1">
      <alignment horizontal="center" vertical="center"/>
    </xf>
    <xf borderId="8" fillId="0" fontId="1" numFmtId="165" xfId="0" applyAlignment="1" applyBorder="1" applyFont="1" applyNumberFormat="1">
      <alignment readingOrder="0" vertical="center"/>
    </xf>
    <xf borderId="0" fillId="8" fontId="7" numFmtId="0" xfId="0" applyAlignment="1" applyFont="1">
      <alignment horizontal="center" readingOrder="0" vertical="center"/>
    </xf>
    <xf borderId="0" fillId="8" fontId="2" numFmtId="165" xfId="0" applyAlignment="1" applyFont="1" applyNumberFormat="1">
      <alignment horizontal="center" vertical="center"/>
    </xf>
    <xf borderId="8" fillId="0" fontId="1" numFmtId="0" xfId="0" applyAlignment="1" applyBorder="1" applyFont="1">
      <alignment readingOrder="0" vertical="center"/>
    </xf>
    <xf borderId="0" fillId="0" fontId="3" numFmtId="165" xfId="0" applyAlignment="1" applyFont="1" applyNumberFormat="1">
      <alignment horizontal="center" vertical="center"/>
    </xf>
    <xf borderId="0" fillId="0" fontId="3" numFmtId="165" xfId="0" applyAlignment="1" applyFont="1" applyNumberFormat="1">
      <alignment horizontal="right" vertical="center"/>
    </xf>
    <xf borderId="9" fillId="0" fontId="1" numFmtId="0" xfId="0" applyAlignment="1" applyBorder="1" applyFont="1">
      <alignment vertical="center"/>
    </xf>
    <xf borderId="4" fillId="0" fontId="3" numFmtId="10" xfId="0" applyAlignment="1" applyBorder="1" applyFont="1" applyNumberFormat="1">
      <alignment horizontal="center" vertical="center"/>
    </xf>
    <xf borderId="6" fillId="0" fontId="4" numFmtId="0" xfId="0" applyBorder="1" applyFont="1"/>
    <xf borderId="5" fillId="0" fontId="4" numFmtId="0" xfId="0" applyBorder="1" applyFont="1"/>
    <xf borderId="0" fillId="0" fontId="5" numFmtId="165" xfId="0" applyAlignment="1" applyFont="1" applyNumberFormat="1">
      <alignment readingOrder="0" vertical="center"/>
    </xf>
    <xf borderId="0" fillId="0" fontId="5" numFmtId="10" xfId="0" applyAlignment="1" applyFont="1" applyNumberFormat="1">
      <alignment vertical="center"/>
    </xf>
    <xf borderId="9" fillId="0" fontId="1" numFmtId="10" xfId="0" applyAlignment="1" applyBorder="1" applyFont="1" applyNumberFormat="1">
      <alignment horizontal="right" vertical="center"/>
    </xf>
    <xf borderId="11" fillId="0" fontId="1" numFmtId="10" xfId="0" applyAlignment="1" applyBorder="1" applyFont="1" applyNumberFormat="1">
      <alignment horizontal="right" vertical="center"/>
    </xf>
    <xf borderId="10" fillId="0" fontId="1" numFmtId="10" xfId="0" applyAlignment="1" applyBorder="1" applyFont="1" applyNumberFormat="1">
      <alignment horizontal="right" vertical="center"/>
    </xf>
    <xf borderId="4" fillId="0" fontId="1" numFmtId="10" xfId="0" applyAlignment="1" applyBorder="1" applyFont="1" applyNumberFormat="1">
      <alignment horizontal="right" vertical="center"/>
    </xf>
    <xf borderId="6" fillId="0" fontId="1" numFmtId="10" xfId="0" applyAlignment="1" applyBorder="1" applyFont="1" applyNumberFormat="1">
      <alignment horizontal="right" vertical="center"/>
    </xf>
    <xf borderId="5" fillId="0" fontId="1" numFmtId="10" xfId="0" applyAlignment="1" applyBorder="1" applyFont="1" applyNumberFormat="1">
      <alignment horizontal="right" vertical="center"/>
    </xf>
    <xf borderId="9" fillId="0" fontId="3" numFmtId="10" xfId="0" applyAlignment="1" applyBorder="1" applyFont="1" applyNumberFormat="1">
      <alignment horizontal="center" vertical="center"/>
    </xf>
    <xf borderId="11" fillId="0" fontId="4" numFmtId="0" xfId="0" applyBorder="1" applyFont="1"/>
    <xf borderId="7" fillId="0" fontId="3" numFmtId="10" xfId="0" applyAlignment="1" applyBorder="1" applyFont="1" applyNumberFormat="1">
      <alignment horizontal="center" vertical="center"/>
    </xf>
    <xf borderId="8" fillId="0" fontId="4" numFmtId="0" xfId="0" applyBorder="1" applyFont="1"/>
    <xf borderId="4" fillId="0" fontId="1" numFmtId="165" xfId="0" applyAlignment="1" applyBorder="1" applyFont="1" applyNumberFormat="1">
      <alignment horizontal="right" vertical="center"/>
    </xf>
    <xf borderId="6" fillId="0" fontId="1" numFmtId="165" xfId="0" applyAlignment="1" applyBorder="1" applyFont="1" applyNumberFormat="1">
      <alignment horizontal="right" vertical="center"/>
    </xf>
    <xf borderId="7" fillId="0" fontId="1" numFmtId="165" xfId="0" applyAlignment="1" applyBorder="1" applyFont="1" applyNumberFormat="1">
      <alignment horizontal="right" vertical="center"/>
    </xf>
    <xf borderId="5" fillId="0" fontId="1" numFmtId="165" xfId="0" applyAlignment="1" applyBorder="1" applyFont="1" applyNumberFormat="1">
      <alignment horizontal="right" vertical="center"/>
    </xf>
    <xf borderId="9" fillId="0" fontId="3" numFmtId="165" xfId="0" applyAlignment="1" applyBorder="1" applyFont="1" applyNumberFormat="1">
      <alignment horizontal="center" vertical="center"/>
    </xf>
    <xf borderId="10" fillId="0" fontId="4" numFmtId="0" xfId="0" applyBorder="1" applyFont="1"/>
    <xf borderId="0" fillId="0" fontId="3" numFmtId="165" xfId="0" applyAlignment="1" applyFont="1" applyNumberFormat="1">
      <alignment horizontal="right" readingOrder="0" vertical="center"/>
    </xf>
    <xf borderId="0" fillId="0" fontId="1" numFmtId="9" xfId="0" applyAlignment="1" applyFont="1" applyNumberFormat="1">
      <alignment readingOrder="0" vertical="center"/>
    </xf>
    <xf borderId="0" fillId="8" fontId="6" numFmtId="0" xfId="0" applyAlignment="1" applyFont="1">
      <alignment horizontal="center" vertical="center"/>
    </xf>
    <xf borderId="1" fillId="5" fontId="3" numFmtId="0" xfId="0" applyAlignment="1" applyBorder="1" applyFont="1">
      <alignment horizontal="center" vertical="center"/>
    </xf>
    <xf borderId="0" fillId="0" fontId="6" numFmtId="165" xfId="0" applyAlignment="1" applyFont="1" applyNumberFormat="1">
      <alignment horizontal="right" vertical="center"/>
    </xf>
    <xf borderId="0" fillId="0" fontId="6" numFmtId="10" xfId="0" applyAlignment="1" applyFont="1" applyNumberFormat="1">
      <alignment horizontal="right" vertical="center"/>
    </xf>
    <xf borderId="0" fillId="0" fontId="6" numFmtId="0" xfId="0" applyAlignment="1" applyFont="1">
      <alignment horizontal="center" readingOrder="0" vertical="center"/>
    </xf>
    <xf borderId="4" fillId="0" fontId="1" numFmtId="0" xfId="0" applyAlignment="1" applyBorder="1" applyFont="1">
      <alignment vertical="center"/>
    </xf>
    <xf borderId="5" fillId="0" fontId="1" numFmtId="165" xfId="0" applyAlignment="1" applyBorder="1" applyFont="1" applyNumberFormat="1">
      <alignment readingOrder="0" vertical="center"/>
    </xf>
    <xf borderId="6" fillId="0" fontId="1" numFmtId="165" xfId="0" applyAlignment="1" applyBorder="1" applyFont="1" applyNumberFormat="1">
      <alignment readingOrder="0" vertical="center"/>
    </xf>
    <xf borderId="5" fillId="0" fontId="1" numFmtId="165" xfId="0" applyAlignment="1" applyBorder="1" applyFont="1" applyNumberFormat="1">
      <alignment vertical="center"/>
    </xf>
    <xf borderId="6" fillId="0" fontId="1" numFmtId="0" xfId="0" applyAlignment="1" applyBorder="1" applyFont="1">
      <alignment readingOrder="0" vertical="center"/>
    </xf>
    <xf borderId="6" fillId="0" fontId="1" numFmtId="0" xfId="0" applyAlignment="1" applyBorder="1" applyFont="1">
      <alignment vertical="center"/>
    </xf>
    <xf borderId="12" fillId="0" fontId="3" numFmtId="0" xfId="0" applyAlignment="1" applyBorder="1" applyFont="1">
      <alignment horizontal="center" vertical="center"/>
    </xf>
    <xf borderId="0" fillId="0" fontId="1" numFmtId="10" xfId="0" applyAlignment="1" applyFont="1" applyNumberFormat="1">
      <alignment horizontal="center" vertical="center"/>
    </xf>
    <xf borderId="0" fillId="0" fontId="1" numFmtId="10" xfId="0" applyAlignment="1" applyFont="1" applyNumberFormat="1">
      <alignment readingOrder="0" vertical="center"/>
    </xf>
    <xf borderId="1" fillId="0" fontId="3" numFmtId="0" xfId="0" applyAlignment="1" applyBorder="1" applyFont="1">
      <alignment horizontal="center" readingOrder="0" shrinkToFit="0" vertical="center" wrapText="1"/>
    </xf>
    <xf borderId="0" fillId="11" fontId="1" numFmtId="165" xfId="0" applyAlignment="1" applyFont="1" applyNumberFormat="1">
      <alignment horizontal="right" readingOrder="0" vertical="center"/>
    </xf>
    <xf borderId="0" fillId="12" fontId="1" numFmtId="165" xfId="0" applyAlignment="1" applyFill="1" applyFont="1" applyNumberFormat="1">
      <alignment readingOrder="0" vertical="center"/>
    </xf>
    <xf borderId="0" fillId="9" fontId="1" numFmtId="165" xfId="0" applyAlignment="1" applyFont="1" applyNumberFormat="1">
      <alignment horizontal="right" readingOrder="0" vertical="center"/>
    </xf>
    <xf borderId="8" fillId="0" fontId="1" numFmtId="165" xfId="0" applyAlignment="1" applyBorder="1" applyFont="1" applyNumberFormat="1">
      <alignment horizontal="right" readingOrder="0" vertical="center"/>
    </xf>
    <xf borderId="0" fillId="13" fontId="1" numFmtId="0" xfId="0" applyAlignment="1" applyFill="1" applyFont="1">
      <alignment readingOrder="0" vertical="center"/>
    </xf>
    <xf borderId="0" fillId="0" fontId="5" numFmtId="165" xfId="0" applyFont="1" applyNumberFormat="1"/>
    <xf borderId="0" fillId="0" fontId="8" numFmtId="165" xfId="0" applyAlignment="1" applyFont="1" applyNumberFormat="1">
      <alignment readingOrder="0"/>
    </xf>
    <xf borderId="0" fillId="8" fontId="2" numFmtId="0" xfId="0" applyAlignment="1" applyFont="1">
      <alignment horizontal="center" readingOrder="0" vertical="center"/>
    </xf>
    <xf borderId="0" fillId="9" fontId="1" numFmtId="0" xfId="0" applyAlignment="1" applyFont="1">
      <alignment readingOrder="0" vertical="center"/>
    </xf>
    <xf borderId="8" fillId="0" fontId="5" numFmtId="165" xfId="0" applyAlignment="1" applyBorder="1" applyFont="1" applyNumberFormat="1">
      <alignment readingOrder="0" vertical="center"/>
    </xf>
    <xf borderId="8" fillId="0" fontId="5" numFmtId="165" xfId="0" applyAlignment="1" applyBorder="1" applyFont="1" applyNumberFormat="1">
      <alignment vertical="center"/>
    </xf>
    <xf borderId="0" fillId="0" fontId="5" numFmtId="165" xfId="0" applyAlignment="1" applyFont="1" applyNumberFormat="1">
      <alignment readingOrder="0"/>
    </xf>
    <xf borderId="0" fillId="9" fontId="5" numFmtId="165" xfId="0" applyAlignment="1" applyFont="1" applyNumberFormat="1">
      <alignment readingOrder="0"/>
    </xf>
    <xf borderId="5" fillId="10" fontId="1" numFmtId="165" xfId="0" applyAlignment="1" applyBorder="1" applyFont="1" applyNumberFormat="1">
      <alignment readingOrder="0" vertical="center"/>
    </xf>
    <xf borderId="0" fillId="9" fontId="2" numFmtId="10" xfId="0" applyAlignment="1" applyFont="1" applyNumberFormat="1">
      <alignment horizontal="right" vertical="center"/>
    </xf>
    <xf borderId="0" fillId="14" fontId="3" numFmtId="0" xfId="0" applyAlignment="1" applyFill="1" applyFont="1">
      <alignment horizontal="center" readingOrder="0" vertical="center"/>
    </xf>
    <xf borderId="8" fillId="0" fontId="1" numFmtId="168" xfId="0" applyAlignment="1" applyBorder="1" applyFont="1" applyNumberFormat="1">
      <alignment readingOrder="0" vertical="center"/>
    </xf>
    <xf borderId="7" fillId="10" fontId="1" numFmtId="0" xfId="0" applyAlignment="1" applyBorder="1" applyFont="1">
      <alignment readingOrder="0" vertical="center"/>
    </xf>
    <xf borderId="7" fillId="4" fontId="5" numFmtId="0" xfId="0" applyAlignment="1" applyBorder="1" applyFont="1">
      <alignment readingOrder="0" vertical="center"/>
    </xf>
    <xf borderId="0" fillId="0" fontId="5" numFmtId="168" xfId="0" applyAlignment="1" applyFont="1" applyNumberFormat="1">
      <alignment readingOrder="0" vertical="center"/>
    </xf>
    <xf borderId="0" fillId="10" fontId="1" numFmtId="0" xfId="0" applyAlignment="1" applyFont="1">
      <alignment readingOrder="0" vertical="center"/>
    </xf>
    <xf borderId="0" fillId="10" fontId="1" numFmtId="168" xfId="0" applyAlignment="1" applyFont="1" applyNumberFormat="1">
      <alignment readingOrder="0" vertical="center"/>
    </xf>
    <xf borderId="0" fillId="0" fontId="1" numFmtId="168" xfId="0" applyAlignment="1" applyFont="1" applyNumberFormat="1">
      <alignment vertical="center"/>
    </xf>
    <xf borderId="0" fillId="0" fontId="1" numFmtId="0" xfId="0" applyAlignment="1" applyFont="1">
      <alignment horizontal="right" vertical="center"/>
    </xf>
    <xf borderId="5" fillId="10" fontId="1" numFmtId="165" xfId="0" applyAlignment="1" applyBorder="1" applyFont="1" applyNumberFormat="1">
      <alignment horizontal="right" readingOrder="0" vertical="center"/>
    </xf>
    <xf borderId="0" fillId="0" fontId="2" numFmtId="10" xfId="0" applyAlignment="1" applyFont="1" applyNumberFormat="1">
      <alignment horizontal="right" readingOrder="0" vertical="center"/>
    </xf>
    <xf borderId="0" fillId="0" fontId="2" numFmtId="0" xfId="0" applyAlignment="1" applyFont="1">
      <alignment horizontal="right" vertical="center"/>
    </xf>
    <xf borderId="0" fillId="2" fontId="2" numFmtId="0" xfId="0" applyAlignment="1" applyFont="1">
      <alignment horizontal="right" readingOrder="0" vertical="center"/>
    </xf>
    <xf borderId="0" fillId="2" fontId="2" numFmtId="0" xfId="0" applyAlignment="1" applyFont="1">
      <alignment horizontal="right" vertical="center"/>
    </xf>
    <xf borderId="0" fillId="0" fontId="2" numFmtId="164" xfId="0" applyAlignment="1" applyFont="1" applyNumberFormat="1">
      <alignment horizontal="right" readingOrder="0" vertical="center"/>
    </xf>
    <xf borderId="0" fillId="3" fontId="6" numFmtId="0" xfId="0" applyAlignment="1" applyFont="1">
      <alignment horizontal="center" vertical="center"/>
    </xf>
    <xf borderId="0" fillId="4" fontId="6" numFmtId="0" xfId="0" applyAlignment="1" applyFont="1">
      <alignment horizontal="center" vertical="center"/>
    </xf>
    <xf borderId="0" fillId="5" fontId="6" numFmtId="0" xfId="0" applyAlignment="1" applyFont="1">
      <alignment horizontal="center" vertical="center"/>
    </xf>
    <xf borderId="0" fillId="6" fontId="6" numFmtId="0" xfId="0" applyAlignment="1" applyFont="1">
      <alignment horizontal="center" vertical="center"/>
    </xf>
    <xf borderId="1" fillId="3" fontId="9" numFmtId="0" xfId="0" applyAlignment="1" applyBorder="1" applyFont="1">
      <alignment horizontal="center" vertical="center"/>
    </xf>
    <xf borderId="0" fillId="0" fontId="2" numFmtId="3" xfId="0" applyAlignment="1" applyFont="1" applyNumberFormat="1">
      <alignment vertical="center"/>
    </xf>
    <xf borderId="1" fillId="0" fontId="6" numFmtId="0" xfId="0" applyAlignment="1" applyBorder="1" applyFont="1">
      <alignment horizontal="center" readingOrder="0" vertical="center"/>
    </xf>
    <xf borderId="3" fillId="0" fontId="6" numFmtId="166" xfId="0" applyAlignment="1" applyBorder="1" applyFont="1" applyNumberFormat="1">
      <alignment horizontal="center" readingOrder="0" vertical="center"/>
    </xf>
    <xf borderId="3" fillId="0" fontId="6" numFmtId="166" xfId="0" applyAlignment="1" applyBorder="1" applyFont="1" applyNumberFormat="1">
      <alignment horizontal="center" vertical="center"/>
    </xf>
    <xf borderId="0" fillId="0" fontId="2" numFmtId="167" xfId="0" applyAlignment="1" applyFont="1" applyNumberFormat="1">
      <alignment vertical="center"/>
    </xf>
    <xf borderId="0" fillId="0" fontId="6" numFmtId="167" xfId="0" applyAlignment="1" applyFont="1" applyNumberFormat="1">
      <alignment horizontal="center" readingOrder="0" vertical="center"/>
    </xf>
    <xf borderId="4" fillId="0" fontId="2" numFmtId="0" xfId="0" applyAlignment="1" applyBorder="1" applyFont="1">
      <alignment readingOrder="0" vertical="center"/>
    </xf>
    <xf borderId="5" fillId="0" fontId="2" numFmtId="165" xfId="0" applyAlignment="1" applyBorder="1" applyFont="1" applyNumberFormat="1">
      <alignment horizontal="right" readingOrder="0" vertical="center"/>
    </xf>
    <xf borderId="6" fillId="0" fontId="2" numFmtId="165" xfId="0" applyAlignment="1" applyBorder="1" applyFont="1" applyNumberFormat="1">
      <alignment vertical="center"/>
    </xf>
    <xf borderId="7" fillId="0" fontId="2" numFmtId="0" xfId="0" applyAlignment="1" applyBorder="1" applyFont="1">
      <alignment readingOrder="0" vertical="center"/>
    </xf>
    <xf borderId="8" fillId="0" fontId="2" numFmtId="0" xfId="0" applyAlignment="1" applyBorder="1" applyFont="1">
      <alignment vertical="center"/>
    </xf>
    <xf borderId="7" fillId="0" fontId="2" numFmtId="0" xfId="0" applyAlignment="1" applyBorder="1" applyFont="1">
      <alignment vertical="center"/>
    </xf>
    <xf borderId="8" fillId="0" fontId="2" numFmtId="10" xfId="0" applyAlignment="1" applyBorder="1" applyFont="1" applyNumberFormat="1">
      <alignment vertical="center"/>
    </xf>
    <xf borderId="0" fillId="0" fontId="2" numFmtId="165" xfId="0" applyAlignment="1" applyFont="1" applyNumberFormat="1">
      <alignment readingOrder="0" vertical="center"/>
    </xf>
    <xf borderId="8" fillId="0" fontId="2" numFmtId="165" xfId="0" applyAlignment="1" applyBorder="1" applyFont="1" applyNumberFormat="1">
      <alignment horizontal="right" vertical="center"/>
    </xf>
    <xf borderId="8" fillId="0" fontId="2" numFmtId="10" xfId="0" applyAlignment="1" applyBorder="1" applyFont="1" applyNumberFormat="1">
      <alignment horizontal="right" vertical="center"/>
    </xf>
    <xf borderId="9" fillId="0" fontId="2" numFmtId="0" xfId="0" applyAlignment="1" applyBorder="1" applyFont="1">
      <alignment readingOrder="0" vertical="center"/>
    </xf>
    <xf borderId="10" fillId="0" fontId="2" numFmtId="0" xfId="0" applyAlignment="1" applyBorder="1" applyFont="1">
      <alignment vertical="center"/>
    </xf>
    <xf borderId="11" fillId="0" fontId="2" numFmtId="165" xfId="0" applyAlignment="1" applyBorder="1" applyFont="1" applyNumberFormat="1">
      <alignment horizontal="right" vertical="center"/>
    </xf>
    <xf borderId="9" fillId="0" fontId="2" numFmtId="0" xfId="0" applyAlignment="1" applyBorder="1" applyFont="1">
      <alignment vertical="center"/>
    </xf>
    <xf borderId="0" fillId="0" fontId="6" numFmtId="0" xfId="0" applyAlignment="1" applyFont="1">
      <alignment vertical="center"/>
    </xf>
    <xf borderId="1" fillId="2" fontId="9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horizontal="center" vertical="center"/>
    </xf>
    <xf borderId="8" fillId="0" fontId="2" numFmtId="165" xfId="0" applyAlignment="1" applyBorder="1" applyFont="1" applyNumberFormat="1">
      <alignment vertical="center"/>
    </xf>
    <xf borderId="4" fillId="0" fontId="6" numFmtId="10" xfId="0" applyAlignment="1" applyBorder="1" applyFont="1" applyNumberFormat="1">
      <alignment horizontal="center" vertical="center"/>
    </xf>
    <xf borderId="9" fillId="0" fontId="2" numFmtId="10" xfId="0" applyAlignment="1" applyBorder="1" applyFont="1" applyNumberFormat="1">
      <alignment horizontal="right" vertical="center"/>
    </xf>
    <xf borderId="11" fillId="0" fontId="2" numFmtId="10" xfId="0" applyAlignment="1" applyBorder="1" applyFont="1" applyNumberFormat="1">
      <alignment horizontal="right" vertical="center"/>
    </xf>
    <xf borderId="0" fillId="0" fontId="2" numFmtId="0" xfId="0" applyAlignment="1" applyFont="1">
      <alignment vertical="center"/>
    </xf>
    <xf borderId="4" fillId="0" fontId="2" numFmtId="10" xfId="0" applyAlignment="1" applyBorder="1" applyFont="1" applyNumberFormat="1">
      <alignment horizontal="right" vertical="center"/>
    </xf>
    <xf borderId="6" fillId="0" fontId="2" numFmtId="10" xfId="0" applyAlignment="1" applyBorder="1" applyFont="1" applyNumberFormat="1">
      <alignment horizontal="right" vertical="center"/>
    </xf>
    <xf borderId="9" fillId="0" fontId="6" numFmtId="10" xfId="0" applyAlignment="1" applyBorder="1" applyFont="1" applyNumberFormat="1">
      <alignment horizontal="center" vertical="center"/>
    </xf>
    <xf borderId="4" fillId="0" fontId="2" numFmtId="165" xfId="0" applyAlignment="1" applyBorder="1" applyFont="1" applyNumberFormat="1">
      <alignment horizontal="right" vertical="center"/>
    </xf>
    <xf borderId="6" fillId="0" fontId="2" numFmtId="165" xfId="0" applyAlignment="1" applyBorder="1" applyFont="1" applyNumberFormat="1">
      <alignment horizontal="right" vertical="center"/>
    </xf>
    <xf borderId="7" fillId="0" fontId="2" numFmtId="165" xfId="0" applyAlignment="1" applyBorder="1" applyFont="1" applyNumberFormat="1">
      <alignment horizontal="right" vertical="center"/>
    </xf>
    <xf borderId="9" fillId="0" fontId="6" numFmtId="165" xfId="0" applyAlignment="1" applyBorder="1" applyFont="1" applyNumberFormat="1">
      <alignment horizontal="center" vertical="center"/>
    </xf>
    <xf borderId="0" fillId="0" fontId="6" numFmtId="165" xfId="0" applyAlignment="1" applyFont="1" applyNumberFormat="1">
      <alignment horizontal="right" readingOrder="0" vertical="center"/>
    </xf>
    <xf borderId="1" fillId="5" fontId="9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center" vertical="center"/>
    </xf>
    <xf borderId="4" fillId="0" fontId="2" numFmtId="0" xfId="0" applyAlignment="1" applyBorder="1" applyFont="1">
      <alignment vertical="center"/>
    </xf>
    <xf borderId="5" fillId="0" fontId="2" numFmtId="165" xfId="0" applyAlignment="1" applyBorder="1" applyFont="1" applyNumberFormat="1">
      <alignment vertical="center"/>
    </xf>
    <xf borderId="6" fillId="0" fontId="2" numFmtId="0" xfId="0" applyAlignment="1" applyBorder="1" applyFont="1">
      <alignment vertical="center"/>
    </xf>
    <xf borderId="12" fillId="0" fontId="6" numFmtId="0" xfId="0" applyAlignment="1" applyBorder="1" applyFont="1">
      <alignment horizontal="center" vertical="center"/>
    </xf>
    <xf borderId="0" fillId="0" fontId="2" numFmtId="10" xfId="0" applyAlignment="1" applyFont="1" applyNumberFormat="1">
      <alignment horizontal="center" vertical="center"/>
    </xf>
    <xf borderId="1" fillId="0" fontId="6" numFmtId="0" xfId="0" applyAlignment="1" applyBorder="1" applyFont="1">
      <alignment horizontal="center" readingOrder="0" shrinkToFit="0" vertical="center" wrapText="1"/>
    </xf>
    <xf borderId="0" fillId="0" fontId="10" numFmtId="0" xfId="0" applyAlignment="1" applyFont="1">
      <alignment horizontal="center" readingOrder="0" vertical="center"/>
    </xf>
    <xf borderId="0" fillId="0" fontId="10" numFmtId="165" xfId="0" applyAlignment="1" applyFont="1" applyNumberFormat="1">
      <alignment horizontal="center" vertical="center"/>
    </xf>
    <xf borderId="0" fillId="0" fontId="2" numFmtId="164" xfId="0" applyAlignment="1" applyFont="1" applyNumberFormat="1">
      <alignment horizontal="right" vertical="center"/>
    </xf>
    <xf borderId="0" fillId="0" fontId="6" numFmtId="167" xfId="0" applyAlignment="1" applyFont="1" applyNumberFormat="1">
      <alignment horizontal="center" vertical="center"/>
    </xf>
    <xf borderId="5" fillId="0" fontId="2" numFmtId="165" xfId="0" applyAlignment="1" applyBorder="1" applyFont="1" applyNumberFormat="1">
      <alignment horizontal="right" vertical="center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5"/>
    <col customWidth="1" min="3" max="4" width="15.63"/>
    <col customWidth="1" min="5" max="5" width="23.0"/>
    <col customWidth="1" min="6" max="6" width="23.5"/>
    <col customWidth="1" min="7" max="8" width="15.63"/>
    <col customWidth="1" min="11" max="11" width="28.88"/>
    <col customWidth="1" min="12" max="12" width="16.38"/>
    <col customWidth="1" min="13" max="27" width="16.25"/>
    <col customWidth="1" min="29" max="29" width="14.88"/>
    <col customWidth="1" min="30" max="30" width="12.13"/>
    <col customWidth="1" min="31" max="32" width="16.5"/>
    <col customWidth="1" min="33" max="33" width="15.38"/>
    <col customWidth="1" min="35" max="35" width="17.13"/>
    <col customWidth="1" min="39" max="39" width="15.25"/>
  </cols>
  <sheetData>
    <row r="1">
      <c r="A1" s="1">
        <v>3.0</v>
      </c>
      <c r="B1" s="2" t="s">
        <v>0</v>
      </c>
      <c r="C1" s="3">
        <f>DAY(TODAY()-1)</f>
        <v>26</v>
      </c>
      <c r="D1" s="2"/>
      <c r="E1" s="2"/>
      <c r="F1" s="2" t="s">
        <v>1</v>
      </c>
      <c r="G1" s="3">
        <v>31.0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4"/>
      <c r="T1" s="4"/>
      <c r="U1" s="2"/>
      <c r="V1" s="2"/>
      <c r="W1" s="2"/>
      <c r="X1" s="2"/>
      <c r="Y1" s="2"/>
      <c r="Z1" s="2"/>
      <c r="AA1" s="2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</row>
    <row r="2">
      <c r="A2" s="2" t="s">
        <v>2</v>
      </c>
      <c r="B2" s="6">
        <v>46083.0</v>
      </c>
      <c r="C2" s="2"/>
      <c r="D2" s="2"/>
      <c r="E2" s="2"/>
      <c r="F2" s="2"/>
      <c r="G2" s="2"/>
      <c r="H2" s="2"/>
      <c r="I2" s="2"/>
      <c r="J2" s="2"/>
      <c r="K2" s="2"/>
      <c r="L2" s="2"/>
      <c r="M2" s="7" t="s">
        <v>3</v>
      </c>
      <c r="O2" s="8" t="s">
        <v>4</v>
      </c>
      <c r="Q2" s="9" t="s">
        <v>5</v>
      </c>
      <c r="S2" s="10" t="s">
        <v>6</v>
      </c>
      <c r="U2" s="11" t="s">
        <v>7</v>
      </c>
      <c r="W2" s="12" t="s">
        <v>8</v>
      </c>
      <c r="Y2" s="13" t="s">
        <v>9</v>
      </c>
      <c r="AB2" s="5"/>
      <c r="AC2" s="5"/>
      <c r="AD2" s="5"/>
      <c r="AE2" s="14" t="s">
        <v>10</v>
      </c>
      <c r="AF2" s="15" t="s">
        <v>11</v>
      </c>
      <c r="AG2" s="14" t="s">
        <v>12</v>
      </c>
      <c r="AH2" s="5"/>
      <c r="AI2" s="14" t="s">
        <v>13</v>
      </c>
      <c r="AJ2" s="14" t="s">
        <v>14</v>
      </c>
      <c r="AK2" s="14" t="s">
        <v>15</v>
      </c>
      <c r="AL2" s="14" t="s">
        <v>16</v>
      </c>
      <c r="AM2" s="14" t="s">
        <v>17</v>
      </c>
      <c r="AN2" s="5"/>
    </row>
    <row r="3">
      <c r="A3" s="2"/>
      <c r="B3" s="16" t="s">
        <v>18</v>
      </c>
      <c r="C3" s="17"/>
      <c r="D3" s="17"/>
      <c r="E3" s="17"/>
      <c r="F3" s="17"/>
      <c r="G3" s="17"/>
      <c r="H3" s="18"/>
      <c r="I3" s="2"/>
      <c r="J3" s="2"/>
      <c r="K3" s="2"/>
      <c r="L3" s="2"/>
      <c r="M3" s="19" t="s">
        <v>19</v>
      </c>
      <c r="N3" s="19" t="s">
        <v>20</v>
      </c>
      <c r="O3" s="19" t="s">
        <v>19</v>
      </c>
      <c r="P3" s="19" t="s">
        <v>20</v>
      </c>
      <c r="Q3" s="19" t="s">
        <v>19</v>
      </c>
      <c r="R3" s="19" t="s">
        <v>20</v>
      </c>
      <c r="S3" s="19" t="s">
        <v>19</v>
      </c>
      <c r="T3" s="19" t="s">
        <v>20</v>
      </c>
      <c r="U3" s="19" t="s">
        <v>19</v>
      </c>
      <c r="V3" s="19" t="s">
        <v>20</v>
      </c>
      <c r="W3" s="19" t="s">
        <v>19</v>
      </c>
      <c r="X3" s="19" t="s">
        <v>20</v>
      </c>
      <c r="Y3" s="20" t="s">
        <v>21</v>
      </c>
      <c r="Z3" s="20" t="s">
        <v>22</v>
      </c>
      <c r="AA3" s="20" t="s">
        <v>23</v>
      </c>
      <c r="AB3" s="5"/>
      <c r="AC3" s="21" t="s">
        <v>24</v>
      </c>
      <c r="AD3" s="22" t="s">
        <v>19</v>
      </c>
      <c r="AE3" s="23">
        <f>D39</f>
        <v>206080314.2</v>
      </c>
      <c r="AF3" s="24"/>
      <c r="AG3" s="25">
        <f t="shared" ref="AG3:AG12" si="1">AE3-AF3</f>
        <v>206080314.2</v>
      </c>
      <c r="AH3" s="24"/>
      <c r="AI3" s="23">
        <f>O35</f>
        <v>290489634</v>
      </c>
      <c r="AJ3" s="24"/>
      <c r="AK3" s="23"/>
      <c r="AL3" s="24"/>
      <c r="AM3" s="23">
        <f t="shared" ref="AM3:AM12" si="2">AI3-SUM(AJ3:AL3)</f>
        <v>290489634</v>
      </c>
      <c r="AN3" s="5"/>
    </row>
    <row r="4">
      <c r="A4" s="2"/>
      <c r="B4" s="26" t="s">
        <v>25</v>
      </c>
      <c r="C4" s="17"/>
      <c r="D4" s="27">
        <f>TODAY()-1</f>
        <v>46107</v>
      </c>
      <c r="E4" s="2"/>
      <c r="F4" s="26" t="s">
        <v>26</v>
      </c>
      <c r="G4" s="17"/>
      <c r="H4" s="28">
        <f>$D$4</f>
        <v>46107</v>
      </c>
      <c r="I4" s="2"/>
      <c r="J4" s="2"/>
      <c r="K4" s="29">
        <v>46082.0</v>
      </c>
      <c r="L4" s="30">
        <f t="shared" ref="L4:L34" si="3">SUM(M4:AA4)</f>
        <v>20051499.15</v>
      </c>
      <c r="M4" s="31">
        <v>2945127.0</v>
      </c>
      <c r="N4" s="31">
        <v>3391718.0</v>
      </c>
      <c r="O4" s="31">
        <v>9196294.0</v>
      </c>
      <c r="P4" s="31">
        <v>4172079.0</v>
      </c>
      <c r="Q4" s="32">
        <v>134607.0</v>
      </c>
      <c r="R4" s="32">
        <v>81004.0</v>
      </c>
      <c r="S4" s="32">
        <v>16982.0</v>
      </c>
      <c r="T4" s="32">
        <v>43929.0</v>
      </c>
      <c r="U4" s="31">
        <v>2160.0</v>
      </c>
      <c r="V4" s="31">
        <v>62928.0</v>
      </c>
      <c r="W4" s="31">
        <v>2150.16</v>
      </c>
      <c r="X4" s="31">
        <v>2520.99</v>
      </c>
      <c r="Y4" s="33"/>
      <c r="Z4" s="34"/>
      <c r="AA4" s="34"/>
      <c r="AB4" s="5"/>
      <c r="AD4" s="22" t="s">
        <v>27</v>
      </c>
      <c r="AE4" s="23">
        <f>H39</f>
        <v>114376989.1</v>
      </c>
      <c r="AF4" s="24"/>
      <c r="AG4" s="25">
        <f t="shared" si="1"/>
        <v>114376989.1</v>
      </c>
      <c r="AH4" s="24"/>
      <c r="AI4" s="23">
        <f>P35</f>
        <v>118684688</v>
      </c>
      <c r="AJ4" s="24"/>
      <c r="AK4" s="23"/>
      <c r="AL4" s="24"/>
      <c r="AM4" s="23">
        <f t="shared" si="2"/>
        <v>118684688</v>
      </c>
      <c r="AN4" s="5"/>
    </row>
    <row r="5">
      <c r="A5" s="35">
        <f t="shared" ref="A5:A11" si="4">IFERROR(C5/$C$15, " ")</f>
        <v>0.9038501485</v>
      </c>
      <c r="B5" s="36" t="s">
        <v>28</v>
      </c>
      <c r="C5" s="37">
        <v>7249209.0</v>
      </c>
      <c r="D5" s="38"/>
      <c r="E5" s="2"/>
      <c r="F5" s="36" t="s">
        <v>28</v>
      </c>
      <c r="G5" s="37">
        <v>8738826.0</v>
      </c>
      <c r="H5" s="38"/>
      <c r="I5" s="35">
        <f t="shared" ref="I5:I13" si="5">IFERROR(G5/$G$15, " ")</f>
        <v>0.9242089179</v>
      </c>
      <c r="J5" s="2"/>
      <c r="K5" s="29">
        <v>46083.0</v>
      </c>
      <c r="L5" s="30">
        <f t="shared" si="3"/>
        <v>19578835.5</v>
      </c>
      <c r="M5" s="32">
        <v>3007289.0</v>
      </c>
      <c r="N5" s="31">
        <v>3171863.0</v>
      </c>
      <c r="O5" s="31">
        <v>8671856.0</v>
      </c>
      <c r="P5" s="31">
        <v>4350042.0</v>
      </c>
      <c r="Q5" s="32">
        <v>179463.0</v>
      </c>
      <c r="R5" s="32">
        <v>86947.0</v>
      </c>
      <c r="S5" s="32">
        <v>13327.0</v>
      </c>
      <c r="T5" s="32">
        <v>35981.0</v>
      </c>
      <c r="U5" s="31">
        <v>720.0</v>
      </c>
      <c r="V5" s="31">
        <v>53664.0</v>
      </c>
      <c r="W5" s="31">
        <v>3155.5</v>
      </c>
      <c r="X5" s="31">
        <v>4528.0</v>
      </c>
      <c r="Y5" s="33"/>
      <c r="Z5" s="34"/>
      <c r="AA5" s="34"/>
      <c r="AB5" s="5"/>
      <c r="AC5" s="21" t="s">
        <v>18</v>
      </c>
      <c r="AD5" s="22" t="s">
        <v>19</v>
      </c>
      <c r="AE5" s="23">
        <f>D21</f>
        <v>105053826</v>
      </c>
      <c r="AF5" s="24"/>
      <c r="AG5" s="25">
        <f t="shared" si="1"/>
        <v>105053826</v>
      </c>
      <c r="AH5" s="24"/>
      <c r="AI5" s="23">
        <f>M35</f>
        <v>90218782</v>
      </c>
      <c r="AJ5" s="23"/>
      <c r="AK5" s="23"/>
      <c r="AL5" s="24"/>
      <c r="AM5" s="23">
        <f t="shared" si="2"/>
        <v>90218782</v>
      </c>
      <c r="AN5" s="5"/>
    </row>
    <row r="6">
      <c r="A6" s="35">
        <f t="shared" si="4"/>
        <v>0.00316269856</v>
      </c>
      <c r="B6" s="39" t="s">
        <v>29</v>
      </c>
      <c r="C6" s="32">
        <v>25366.0</v>
      </c>
      <c r="D6" s="40"/>
      <c r="E6" s="2"/>
      <c r="F6" s="39" t="s">
        <v>29</v>
      </c>
      <c r="G6" s="32">
        <v>259877.0</v>
      </c>
      <c r="H6" s="40"/>
      <c r="I6" s="35">
        <f t="shared" si="5"/>
        <v>0.02748431436</v>
      </c>
      <c r="J6" s="2"/>
      <c r="K6" s="29">
        <v>46084.0</v>
      </c>
      <c r="L6" s="30">
        <f t="shared" si="3"/>
        <v>19591015</v>
      </c>
      <c r="M6" s="32">
        <v>3568197.0</v>
      </c>
      <c r="N6" s="31">
        <v>3044559.0</v>
      </c>
      <c r="O6" s="32">
        <v>8488956.0</v>
      </c>
      <c r="P6" s="32">
        <v>4112286.0</v>
      </c>
      <c r="Q6" s="32">
        <v>163215.0</v>
      </c>
      <c r="R6" s="32">
        <v>80224.0</v>
      </c>
      <c r="S6" s="32">
        <v>12112.0</v>
      </c>
      <c r="T6" s="32">
        <v>52186.0</v>
      </c>
      <c r="U6" s="31">
        <v>0.0</v>
      </c>
      <c r="V6" s="31">
        <v>62968.0</v>
      </c>
      <c r="W6" s="31">
        <v>2884.0</v>
      </c>
      <c r="X6" s="31">
        <v>3428.0</v>
      </c>
      <c r="Y6" s="33"/>
      <c r="Z6" s="34"/>
      <c r="AA6" s="34"/>
      <c r="AB6" s="5"/>
      <c r="AD6" s="22" t="s">
        <v>27</v>
      </c>
      <c r="AE6" s="23">
        <f>H21</f>
        <v>84254055.2</v>
      </c>
      <c r="AF6" s="24"/>
      <c r="AG6" s="25">
        <f t="shared" si="1"/>
        <v>84254055.2</v>
      </c>
      <c r="AH6" s="24"/>
      <c r="AI6" s="23">
        <f>N35</f>
        <v>71210163.3</v>
      </c>
      <c r="AJ6" s="23"/>
      <c r="AK6" s="23"/>
      <c r="AL6" s="23"/>
      <c r="AM6" s="23">
        <f t="shared" si="2"/>
        <v>71210163.3</v>
      </c>
      <c r="AN6" s="5"/>
    </row>
    <row r="7">
      <c r="A7" s="35">
        <f t="shared" si="4"/>
        <v>0.07626160701</v>
      </c>
      <c r="B7" s="41" t="s">
        <v>30</v>
      </c>
      <c r="C7" s="32">
        <v>611646.0</v>
      </c>
      <c r="D7" s="40"/>
      <c r="E7" s="2"/>
      <c r="F7" s="41" t="s">
        <v>30</v>
      </c>
      <c r="G7" s="32">
        <v>334224.0</v>
      </c>
      <c r="H7" s="40"/>
      <c r="I7" s="35">
        <f t="shared" si="5"/>
        <v>0.03534717379</v>
      </c>
      <c r="J7" s="2"/>
      <c r="K7" s="29">
        <v>46085.0</v>
      </c>
      <c r="L7" s="30">
        <f t="shared" si="3"/>
        <v>18415458.13</v>
      </c>
      <c r="M7" s="32">
        <v>2896596.0</v>
      </c>
      <c r="N7" s="32">
        <v>2872328.0</v>
      </c>
      <c r="O7" s="32">
        <v>8033493.0</v>
      </c>
      <c r="P7" s="32">
        <v>4331084.0</v>
      </c>
      <c r="Q7" s="32">
        <v>102960.0</v>
      </c>
      <c r="R7" s="32">
        <v>58136.0</v>
      </c>
      <c r="S7" s="32">
        <v>11886.0</v>
      </c>
      <c r="T7" s="32">
        <v>39485.0</v>
      </c>
      <c r="U7" s="31">
        <v>1710.0</v>
      </c>
      <c r="V7" s="31">
        <v>63302.0</v>
      </c>
      <c r="W7" s="31">
        <v>1464.13</v>
      </c>
      <c r="X7" s="31">
        <v>3014.0</v>
      </c>
      <c r="Y7" s="33"/>
      <c r="Z7" s="34"/>
      <c r="AA7" s="34"/>
      <c r="AB7" s="5"/>
      <c r="AC7" s="21" t="s">
        <v>31</v>
      </c>
      <c r="AD7" s="22" t="s">
        <v>19</v>
      </c>
      <c r="AE7" s="23">
        <f>D78</f>
        <v>3069853</v>
      </c>
      <c r="AF7" s="24"/>
      <c r="AG7" s="25">
        <f t="shared" si="1"/>
        <v>3069853</v>
      </c>
      <c r="AH7" s="24"/>
      <c r="AI7" s="23">
        <f>Q35</f>
        <v>4382190</v>
      </c>
      <c r="AJ7" s="23"/>
      <c r="AK7" s="23"/>
      <c r="AL7" s="24"/>
      <c r="AM7" s="23">
        <f t="shared" si="2"/>
        <v>4382190</v>
      </c>
      <c r="AN7" s="5"/>
    </row>
    <row r="8">
      <c r="A8" s="35">
        <f t="shared" si="4"/>
        <v>0.0002372709674</v>
      </c>
      <c r="B8" s="39" t="s">
        <v>32</v>
      </c>
      <c r="C8" s="32">
        <v>1903.0</v>
      </c>
      <c r="D8" s="42"/>
      <c r="E8" s="2"/>
      <c r="F8" s="39" t="s">
        <v>32</v>
      </c>
      <c r="G8" s="32"/>
      <c r="H8" s="42"/>
      <c r="I8" s="35">
        <f t="shared" si="5"/>
        <v>0</v>
      </c>
      <c r="J8" s="2"/>
      <c r="K8" s="29">
        <v>46086.0</v>
      </c>
      <c r="L8" s="30">
        <f t="shared" si="3"/>
        <v>18359103.43</v>
      </c>
      <c r="M8" s="32">
        <v>3080360.0</v>
      </c>
      <c r="N8" s="31">
        <v>2861536.0</v>
      </c>
      <c r="O8" s="32">
        <v>7770325.0</v>
      </c>
      <c r="P8" s="32">
        <v>4271487.0</v>
      </c>
      <c r="Q8" s="32">
        <v>105469.0</v>
      </c>
      <c r="R8" s="32">
        <v>90888.0</v>
      </c>
      <c r="S8" s="32">
        <v>21717.0</v>
      </c>
      <c r="T8" s="32">
        <v>57184.0</v>
      </c>
      <c r="U8" s="31">
        <v>5123.0</v>
      </c>
      <c r="V8" s="31">
        <v>89257.0</v>
      </c>
      <c r="W8" s="31">
        <v>1502.43</v>
      </c>
      <c r="X8" s="31">
        <v>4255.0</v>
      </c>
      <c r="Y8" s="33"/>
      <c r="Z8" s="34"/>
      <c r="AA8" s="34"/>
      <c r="AB8" s="5"/>
      <c r="AD8" s="22" t="s">
        <v>27</v>
      </c>
      <c r="AE8" s="23">
        <f>H78</f>
        <v>2257611</v>
      </c>
      <c r="AF8" s="24"/>
      <c r="AG8" s="25">
        <f t="shared" si="1"/>
        <v>2257611</v>
      </c>
      <c r="AH8" s="24"/>
      <c r="AI8" s="23">
        <f>R35</f>
        <v>1494137</v>
      </c>
      <c r="AJ8" s="23"/>
      <c r="AK8" s="23"/>
      <c r="AL8" s="24"/>
      <c r="AM8" s="23">
        <f t="shared" si="2"/>
        <v>1494137</v>
      </c>
      <c r="AN8" s="5"/>
    </row>
    <row r="9">
      <c r="A9" s="35">
        <f t="shared" si="4"/>
        <v>0.01633902991</v>
      </c>
      <c r="B9" s="41" t="s">
        <v>33</v>
      </c>
      <c r="C9" s="32">
        <v>131045.0</v>
      </c>
      <c r="D9" s="40"/>
      <c r="E9" s="2"/>
      <c r="F9" s="41" t="s">
        <v>33</v>
      </c>
      <c r="G9" s="32">
        <v>122539.0</v>
      </c>
      <c r="H9" s="40"/>
      <c r="I9" s="35">
        <f t="shared" si="5"/>
        <v>0.01295959395</v>
      </c>
      <c r="J9" s="2"/>
      <c r="K9" s="29">
        <v>46087.0</v>
      </c>
      <c r="L9" s="30">
        <f t="shared" si="3"/>
        <v>17470815.13</v>
      </c>
      <c r="M9" s="32">
        <v>2960566.0</v>
      </c>
      <c r="N9" s="31">
        <v>2942818.0</v>
      </c>
      <c r="O9" s="32">
        <v>7054264.0</v>
      </c>
      <c r="P9" s="32">
        <v>3913988.0</v>
      </c>
      <c r="Q9" s="31">
        <v>299320.0</v>
      </c>
      <c r="R9" s="31">
        <v>58859.0</v>
      </c>
      <c r="S9" s="43">
        <v>27911.0</v>
      </c>
      <c r="T9" s="43">
        <v>76444.0</v>
      </c>
      <c r="U9" s="43">
        <v>9856.0</v>
      </c>
      <c r="V9" s="43">
        <v>119808.0</v>
      </c>
      <c r="W9" s="31">
        <v>1011.13</v>
      </c>
      <c r="X9" s="31">
        <v>5970.0</v>
      </c>
      <c r="Y9" s="33"/>
      <c r="Z9" s="34"/>
      <c r="AA9" s="34"/>
      <c r="AB9" s="5"/>
      <c r="AC9" s="44" t="s">
        <v>34</v>
      </c>
      <c r="AD9" s="22" t="s">
        <v>19</v>
      </c>
      <c r="AE9" s="45">
        <f>S42</f>
        <v>619304</v>
      </c>
      <c r="AF9" s="46"/>
      <c r="AG9" s="25">
        <f t="shared" si="1"/>
        <v>619304</v>
      </c>
      <c r="AH9" s="46"/>
      <c r="AI9" s="23">
        <f>S35</f>
        <v>490176</v>
      </c>
      <c r="AJ9" s="23"/>
      <c r="AK9" s="23"/>
      <c r="AL9" s="24"/>
      <c r="AM9" s="23">
        <f t="shared" si="2"/>
        <v>490176</v>
      </c>
      <c r="AN9" s="5"/>
    </row>
    <row r="10">
      <c r="A10" s="35">
        <f t="shared" si="4"/>
        <v>0</v>
      </c>
      <c r="B10" s="41" t="s">
        <v>35</v>
      </c>
      <c r="C10" s="31">
        <v>0.0</v>
      </c>
      <c r="D10" s="40"/>
      <c r="E10" s="2"/>
      <c r="F10" s="41" t="s">
        <v>35</v>
      </c>
      <c r="G10" s="31"/>
      <c r="H10" s="40"/>
      <c r="I10" s="35">
        <f t="shared" si="5"/>
        <v>0</v>
      </c>
      <c r="J10" s="47"/>
      <c r="K10" s="29">
        <v>46088.0</v>
      </c>
      <c r="L10" s="30">
        <f t="shared" si="3"/>
        <v>18122853.7</v>
      </c>
      <c r="M10" s="32">
        <v>2966816.0</v>
      </c>
      <c r="N10" s="31">
        <v>2690818.0</v>
      </c>
      <c r="O10" s="32">
        <v>8071469.0</v>
      </c>
      <c r="P10" s="32">
        <v>3932225.0</v>
      </c>
      <c r="Q10" s="31">
        <v>101684.0</v>
      </c>
      <c r="R10" s="31">
        <v>61858.0</v>
      </c>
      <c r="S10" s="43">
        <v>24663.0</v>
      </c>
      <c r="T10" s="43">
        <v>90823.0</v>
      </c>
      <c r="U10" s="43">
        <v>18190.0</v>
      </c>
      <c r="V10" s="43">
        <v>158017.0</v>
      </c>
      <c r="W10" s="31">
        <v>1020.0</v>
      </c>
      <c r="X10" s="31">
        <v>5270.7</v>
      </c>
      <c r="Y10" s="33"/>
      <c r="Z10" s="34"/>
      <c r="AA10" s="34"/>
      <c r="AB10" s="5"/>
      <c r="AD10" s="22" t="s">
        <v>27</v>
      </c>
      <c r="AE10" s="45">
        <f>T42</f>
        <v>1719666</v>
      </c>
      <c r="AF10" s="46"/>
      <c r="AG10" s="25">
        <f t="shared" si="1"/>
        <v>1719666</v>
      </c>
      <c r="AH10" s="46"/>
      <c r="AI10" s="23">
        <f>T35</f>
        <v>1274528</v>
      </c>
      <c r="AJ10" s="23"/>
      <c r="AK10" s="23"/>
      <c r="AL10" s="24"/>
      <c r="AM10" s="23">
        <f t="shared" si="2"/>
        <v>1274528</v>
      </c>
      <c r="AN10" s="5"/>
    </row>
    <row r="11">
      <c r="A11" s="35">
        <f t="shared" si="4"/>
        <v>0</v>
      </c>
      <c r="B11" s="39" t="s">
        <v>36</v>
      </c>
      <c r="C11" s="32">
        <v>0.0</v>
      </c>
      <c r="D11" s="42"/>
      <c r="E11" s="2"/>
      <c r="F11" s="39" t="s">
        <v>36</v>
      </c>
      <c r="G11" s="32"/>
      <c r="H11" s="42"/>
      <c r="I11" s="35">
        <f t="shared" si="5"/>
        <v>0</v>
      </c>
      <c r="J11" s="47"/>
      <c r="K11" s="29">
        <v>46089.0</v>
      </c>
      <c r="L11" s="30">
        <f t="shared" si="3"/>
        <v>17009761.28</v>
      </c>
      <c r="M11" s="32">
        <v>2571667.0</v>
      </c>
      <c r="N11" s="31">
        <v>2299783.0</v>
      </c>
      <c r="O11" s="32">
        <v>7749386.0</v>
      </c>
      <c r="P11" s="32">
        <v>3943225.0</v>
      </c>
      <c r="Q11" s="31">
        <v>105112.0</v>
      </c>
      <c r="R11" s="31">
        <v>41541.0</v>
      </c>
      <c r="S11" s="31">
        <v>38052.0</v>
      </c>
      <c r="T11" s="31">
        <v>107299.0</v>
      </c>
      <c r="U11" s="31">
        <v>14371.0</v>
      </c>
      <c r="V11" s="31">
        <v>136238.0</v>
      </c>
      <c r="W11" s="31">
        <v>421.28</v>
      </c>
      <c r="X11" s="31">
        <v>2666.0</v>
      </c>
      <c r="Y11" s="33"/>
      <c r="Z11" s="34"/>
      <c r="AA11" s="34"/>
      <c r="AB11" s="5"/>
      <c r="AC11" s="44" t="s">
        <v>37</v>
      </c>
      <c r="AD11" s="22" t="s">
        <v>19</v>
      </c>
      <c r="AE11" s="45">
        <f>U42</f>
        <v>141359</v>
      </c>
      <c r="AF11" s="46"/>
      <c r="AG11" s="25">
        <f t="shared" si="1"/>
        <v>141359</v>
      </c>
      <c r="AH11" s="46"/>
      <c r="AI11" s="23">
        <f>U35</f>
        <v>100903</v>
      </c>
      <c r="AJ11" s="23"/>
      <c r="AK11" s="23"/>
      <c r="AL11" s="24"/>
      <c r="AM11" s="23">
        <f t="shared" si="2"/>
        <v>100903</v>
      </c>
      <c r="AN11" s="5"/>
    </row>
    <row r="12">
      <c r="A12" s="46"/>
      <c r="B12" s="48" t="s">
        <v>38</v>
      </c>
      <c r="C12" s="32">
        <v>0.0</v>
      </c>
      <c r="D12" s="49"/>
      <c r="E12" s="46"/>
      <c r="F12" s="48" t="s">
        <v>38</v>
      </c>
      <c r="G12" s="32"/>
      <c r="H12" s="49"/>
      <c r="I12" s="35">
        <f t="shared" si="5"/>
        <v>0</v>
      </c>
      <c r="J12" s="47"/>
      <c r="K12" s="29">
        <v>46090.0</v>
      </c>
      <c r="L12" s="30">
        <f t="shared" si="3"/>
        <v>24043922.5</v>
      </c>
      <c r="M12" s="32">
        <v>3764474.0</v>
      </c>
      <c r="N12" s="31">
        <v>2900168.0</v>
      </c>
      <c r="O12" s="32">
        <v>1.1849879E7</v>
      </c>
      <c r="P12" s="32">
        <v>4998959.0</v>
      </c>
      <c r="Q12" s="31">
        <v>144166.0</v>
      </c>
      <c r="R12" s="31">
        <v>41253.0</v>
      </c>
      <c r="S12" s="31">
        <v>43214.0</v>
      </c>
      <c r="T12" s="31">
        <v>133590.0</v>
      </c>
      <c r="U12" s="31">
        <v>8039.0</v>
      </c>
      <c r="V12" s="31">
        <v>148975.0</v>
      </c>
      <c r="W12" s="31">
        <v>4705.42</v>
      </c>
      <c r="X12" s="31">
        <v>6500.08</v>
      </c>
      <c r="Y12" s="33"/>
      <c r="Z12" s="34"/>
      <c r="AA12" s="34"/>
      <c r="AB12" s="5"/>
      <c r="AD12" s="22" t="s">
        <v>27</v>
      </c>
      <c r="AE12" s="45">
        <f>V42</f>
        <v>1599107</v>
      </c>
      <c r="AF12" s="46"/>
      <c r="AG12" s="25">
        <f t="shared" si="1"/>
        <v>1599107</v>
      </c>
      <c r="AH12" s="46"/>
      <c r="AI12" s="23">
        <f>V35</f>
        <v>2120688</v>
      </c>
      <c r="AJ12" s="23"/>
      <c r="AK12" s="50"/>
      <c r="AL12" s="24"/>
      <c r="AM12" s="23">
        <f t="shared" si="2"/>
        <v>2120688</v>
      </c>
      <c r="AN12" s="5"/>
    </row>
    <row r="13">
      <c r="A13" s="46"/>
      <c r="B13" s="48" t="s">
        <v>39</v>
      </c>
      <c r="C13" s="32">
        <v>0.0</v>
      </c>
      <c r="D13" s="49"/>
      <c r="E13" s="46"/>
      <c r="F13" s="48" t="s">
        <v>39</v>
      </c>
      <c r="G13" s="32"/>
      <c r="H13" s="49"/>
      <c r="I13" s="35">
        <f t="shared" si="5"/>
        <v>0</v>
      </c>
      <c r="J13" s="47"/>
      <c r="K13" s="29">
        <v>46091.0</v>
      </c>
      <c r="L13" s="30">
        <f t="shared" si="3"/>
        <v>23853037.5</v>
      </c>
      <c r="M13" s="32">
        <v>3911352.0</v>
      </c>
      <c r="N13" s="31">
        <v>2863966.0</v>
      </c>
      <c r="O13" s="31">
        <v>1.1628689E7</v>
      </c>
      <c r="P13" s="32">
        <v>4953182.0</v>
      </c>
      <c r="Q13" s="31">
        <v>142061.0</v>
      </c>
      <c r="R13" s="31">
        <v>61566.0</v>
      </c>
      <c r="S13" s="31">
        <v>33783.0</v>
      </c>
      <c r="T13" s="31">
        <v>104680.0</v>
      </c>
      <c r="U13" s="31">
        <v>8158.0</v>
      </c>
      <c r="V13" s="31">
        <v>145133.0</v>
      </c>
      <c r="W13" s="31">
        <v>0.0</v>
      </c>
      <c r="X13" s="31">
        <v>467.5</v>
      </c>
      <c r="Y13" s="33"/>
      <c r="Z13" s="34"/>
      <c r="AA13" s="34"/>
      <c r="AB13" s="5"/>
      <c r="AC13" s="46"/>
      <c r="AD13" s="51" t="s">
        <v>40</v>
      </c>
      <c r="AE13" s="52">
        <f t="shared" ref="AE13:AG13" si="6">SUM(AE3:AE12)</f>
        <v>519172084.5</v>
      </c>
      <c r="AF13" s="52">
        <f t="shared" si="6"/>
        <v>0</v>
      </c>
      <c r="AG13" s="52">
        <f t="shared" si="6"/>
        <v>519172084.5</v>
      </c>
      <c r="AH13" s="5"/>
      <c r="AI13" s="52">
        <f t="shared" ref="AI13:AM13" si="7">SUM(AI3:AI12)</f>
        <v>580465889.3</v>
      </c>
      <c r="AJ13" s="52">
        <f t="shared" si="7"/>
        <v>0</v>
      </c>
      <c r="AK13" s="52">
        <f t="shared" si="7"/>
        <v>0</v>
      </c>
      <c r="AL13" s="52">
        <f t="shared" si="7"/>
        <v>0</v>
      </c>
      <c r="AM13" s="52">
        <f t="shared" si="7"/>
        <v>580465889.3</v>
      </c>
      <c r="AN13" s="5"/>
    </row>
    <row r="14">
      <c r="A14" s="46"/>
      <c r="B14" s="48" t="s">
        <v>41</v>
      </c>
      <c r="C14" s="32">
        <v>1197.0</v>
      </c>
      <c r="D14" s="49"/>
      <c r="E14" s="46"/>
      <c r="F14" s="48" t="s">
        <v>41</v>
      </c>
      <c r="G14" s="32"/>
      <c r="H14" s="49"/>
      <c r="I14" s="46"/>
      <c r="J14" s="47"/>
      <c r="K14" s="29">
        <v>46092.0</v>
      </c>
      <c r="L14" s="30">
        <f t="shared" si="3"/>
        <v>22236976</v>
      </c>
      <c r="M14" s="32">
        <v>3872679.0</v>
      </c>
      <c r="N14" s="31">
        <v>2875709.0</v>
      </c>
      <c r="O14" s="31">
        <v>1.0344154E7</v>
      </c>
      <c r="P14" s="32">
        <v>4733883.0</v>
      </c>
      <c r="Q14" s="31">
        <v>180466.0</v>
      </c>
      <c r="R14" s="31">
        <v>60308.0</v>
      </c>
      <c r="S14" s="31">
        <v>20470.0</v>
      </c>
      <c r="T14" s="31">
        <v>49268.0</v>
      </c>
      <c r="U14" s="31">
        <v>2759.0</v>
      </c>
      <c r="V14" s="31">
        <v>85661.0</v>
      </c>
      <c r="W14" s="31">
        <v>3840.16</v>
      </c>
      <c r="X14" s="31">
        <v>7778.84</v>
      </c>
      <c r="Y14" s="33"/>
      <c r="Z14" s="34"/>
      <c r="AA14" s="34"/>
      <c r="AB14" s="5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5"/>
    </row>
    <row r="15">
      <c r="A15" s="2"/>
      <c r="B15" s="41" t="s">
        <v>42</v>
      </c>
      <c r="C15" s="32">
        <f>SUM(C5:C14)</f>
        <v>8020366</v>
      </c>
      <c r="D15" s="40"/>
      <c r="E15" s="2"/>
      <c r="F15" s="41" t="s">
        <v>42</v>
      </c>
      <c r="G15" s="30">
        <f t="shared" ref="G15:H15" si="8">SUM(G5:G14)</f>
        <v>9455466</v>
      </c>
      <c r="H15" s="53">
        <f t="shared" si="8"/>
        <v>0</v>
      </c>
      <c r="I15" s="2"/>
      <c r="J15" s="47"/>
      <c r="K15" s="29">
        <v>46093.0</v>
      </c>
      <c r="L15" s="30">
        <f t="shared" si="3"/>
        <v>20520670.6</v>
      </c>
      <c r="M15" s="32">
        <v>3859705.0</v>
      </c>
      <c r="N15" s="31">
        <v>3092489.0</v>
      </c>
      <c r="O15" s="31">
        <v>8833371.0</v>
      </c>
      <c r="P15" s="32">
        <v>4394002.0</v>
      </c>
      <c r="Q15" s="31">
        <v>140487.0</v>
      </c>
      <c r="R15" s="31">
        <v>58106.0</v>
      </c>
      <c r="S15" s="31">
        <v>14501.0</v>
      </c>
      <c r="T15" s="31">
        <v>45955.0</v>
      </c>
      <c r="U15" s="31">
        <v>3801.0</v>
      </c>
      <c r="V15" s="31">
        <v>74085.0</v>
      </c>
      <c r="W15" s="31">
        <v>0.0</v>
      </c>
      <c r="X15" s="31">
        <v>4168.6</v>
      </c>
      <c r="Y15" s="33"/>
      <c r="Z15" s="34"/>
      <c r="AA15" s="34"/>
      <c r="AB15" s="5"/>
      <c r="AC15" s="5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5"/>
    </row>
    <row r="16">
      <c r="A16" s="2"/>
      <c r="B16" s="41" t="s">
        <v>43</v>
      </c>
      <c r="C16" s="2"/>
      <c r="D16" s="54">
        <f>M35</f>
        <v>90218782</v>
      </c>
      <c r="E16" s="2"/>
      <c r="F16" s="41" t="s">
        <v>43</v>
      </c>
      <c r="G16" s="2"/>
      <c r="H16" s="54">
        <f>N35</f>
        <v>71210163.3</v>
      </c>
      <c r="I16" s="2"/>
      <c r="J16" s="47"/>
      <c r="K16" s="29">
        <v>46094.0</v>
      </c>
      <c r="L16" s="30">
        <f t="shared" si="3"/>
        <v>19577116.76</v>
      </c>
      <c r="M16" s="32">
        <v>3509459.0</v>
      </c>
      <c r="N16" s="31">
        <v>2865973.6</v>
      </c>
      <c r="O16" s="31">
        <v>8740909.0</v>
      </c>
      <c r="P16" s="32">
        <v>4134370.0</v>
      </c>
      <c r="Q16" s="31">
        <v>114001.0</v>
      </c>
      <c r="R16" s="31">
        <v>62938.0</v>
      </c>
      <c r="S16" s="31">
        <v>15814.0</v>
      </c>
      <c r="T16" s="31">
        <v>55687.0</v>
      </c>
      <c r="U16" s="31">
        <v>4259.0</v>
      </c>
      <c r="V16" s="31">
        <v>64011.0</v>
      </c>
      <c r="W16" s="31">
        <v>6163.92</v>
      </c>
      <c r="X16" s="31">
        <v>3531.24</v>
      </c>
      <c r="Y16" s="33"/>
      <c r="Z16" s="34"/>
      <c r="AA16" s="34"/>
      <c r="AB16" s="5"/>
      <c r="AC16" s="5"/>
      <c r="AD16" s="5"/>
      <c r="AE16" s="5"/>
      <c r="AF16" s="5"/>
      <c r="AG16" s="5"/>
      <c r="AH16" s="55"/>
      <c r="AI16" s="55"/>
      <c r="AJ16" s="5"/>
      <c r="AK16" s="5"/>
      <c r="AL16" s="5"/>
      <c r="AM16" s="5"/>
      <c r="AN16" s="5"/>
    </row>
    <row r="17">
      <c r="A17" s="2"/>
      <c r="B17" s="41" t="s">
        <v>44</v>
      </c>
      <c r="C17" s="56"/>
      <c r="D17" s="57">
        <f>C15/D16</f>
        <v>0.08889907204</v>
      </c>
      <c r="E17" s="58"/>
      <c r="F17" s="41" t="s">
        <v>44</v>
      </c>
      <c r="G17" s="56"/>
      <c r="H17" s="57">
        <f>G15/H16</f>
        <v>0.132782535</v>
      </c>
      <c r="I17" s="2"/>
      <c r="J17" s="47"/>
      <c r="K17" s="29">
        <v>46095.0</v>
      </c>
      <c r="L17" s="30">
        <f t="shared" si="3"/>
        <v>21112872.89</v>
      </c>
      <c r="M17" s="32">
        <v>3452216.0</v>
      </c>
      <c r="N17" s="31">
        <v>3044362.0</v>
      </c>
      <c r="O17" s="31">
        <v>9524177.0</v>
      </c>
      <c r="P17" s="32">
        <v>4687344.0</v>
      </c>
      <c r="Q17" s="31">
        <v>195086.0</v>
      </c>
      <c r="R17" s="31">
        <v>45308.0</v>
      </c>
      <c r="S17" s="31">
        <v>19788.0</v>
      </c>
      <c r="T17" s="31">
        <v>53394.0</v>
      </c>
      <c r="U17" s="31">
        <v>3413.0</v>
      </c>
      <c r="V17" s="31">
        <v>80937.0</v>
      </c>
      <c r="W17" s="31">
        <v>2090.4</v>
      </c>
      <c r="X17" s="31">
        <v>4757.49</v>
      </c>
      <c r="Y17" s="33"/>
      <c r="Z17" s="34"/>
      <c r="AA17" s="34"/>
      <c r="AB17" s="5"/>
      <c r="AC17" s="5"/>
      <c r="AD17" s="5"/>
      <c r="AE17" s="14" t="s">
        <v>45</v>
      </c>
      <c r="AH17" s="55"/>
      <c r="AI17" s="14" t="s">
        <v>46</v>
      </c>
      <c r="AL17" s="55"/>
      <c r="AM17" s="24"/>
      <c r="AN17" s="5"/>
    </row>
    <row r="18">
      <c r="A18" s="35">
        <f>D17/C18</f>
        <v>0.5926604802</v>
      </c>
      <c r="B18" s="41" t="s">
        <v>47</v>
      </c>
      <c r="C18" s="59">
        <v>0.15</v>
      </c>
      <c r="D18" s="54">
        <f>D16*C18</f>
        <v>13532817.3</v>
      </c>
      <c r="E18" s="2"/>
      <c r="F18" s="41" t="s">
        <v>47</v>
      </c>
      <c r="G18" s="59">
        <v>0.13</v>
      </c>
      <c r="H18" s="54">
        <f>H16*G18</f>
        <v>9257321.229</v>
      </c>
      <c r="I18" s="35">
        <f>H17/G18</f>
        <v>1.021404115</v>
      </c>
      <c r="J18" s="47"/>
      <c r="K18" s="29">
        <v>46096.0</v>
      </c>
      <c r="L18" s="30">
        <f t="shared" si="3"/>
        <v>22925433.8</v>
      </c>
      <c r="M18" s="32">
        <v>3654183.0</v>
      </c>
      <c r="N18" s="31">
        <v>3106266.1</v>
      </c>
      <c r="O18" s="31">
        <v>1.09171E7</v>
      </c>
      <c r="P18" s="32">
        <v>4802264.0</v>
      </c>
      <c r="Q18" s="31">
        <v>211721.0</v>
      </c>
      <c r="R18" s="31">
        <v>52353.0</v>
      </c>
      <c r="S18" s="31">
        <v>16462.0</v>
      </c>
      <c r="T18" s="31">
        <v>58043.0</v>
      </c>
      <c r="U18" s="31">
        <v>6825.0</v>
      </c>
      <c r="V18" s="31">
        <v>92768.0</v>
      </c>
      <c r="W18" s="31">
        <v>2476.52</v>
      </c>
      <c r="X18" s="31">
        <v>4972.18</v>
      </c>
      <c r="Y18" s="33"/>
      <c r="Z18" s="34"/>
      <c r="AA18" s="34"/>
      <c r="AB18" s="5"/>
      <c r="AC18" s="55"/>
      <c r="AD18" s="55"/>
      <c r="AE18" s="14" t="s">
        <v>10</v>
      </c>
      <c r="AF18" s="14" t="s">
        <v>13</v>
      </c>
      <c r="AG18" s="14" t="s">
        <v>48</v>
      </c>
      <c r="AH18" s="5"/>
      <c r="AI18" s="14" t="s">
        <v>12</v>
      </c>
      <c r="AJ18" s="14" t="s">
        <v>17</v>
      </c>
      <c r="AK18" s="14" t="s">
        <v>48</v>
      </c>
      <c r="AL18" s="5"/>
      <c r="AM18" s="5"/>
      <c r="AN18" s="5"/>
    </row>
    <row r="19">
      <c r="A19" s="2"/>
      <c r="B19" s="60" t="s">
        <v>49</v>
      </c>
      <c r="C19" s="61"/>
      <c r="D19" s="62">
        <f>C15-D18</f>
        <v>-5512451.3</v>
      </c>
      <c r="E19" s="58"/>
      <c r="F19" s="60" t="s">
        <v>50</v>
      </c>
      <c r="G19" s="61"/>
      <c r="H19" s="62">
        <f>G15-H18</f>
        <v>198144.771</v>
      </c>
      <c r="I19" s="2"/>
      <c r="J19" s="2"/>
      <c r="K19" s="29">
        <v>46097.0</v>
      </c>
      <c r="L19" s="30">
        <f t="shared" si="3"/>
        <v>20543141.89</v>
      </c>
      <c r="M19" s="32">
        <v>3241939.0</v>
      </c>
      <c r="N19" s="31">
        <v>2833187.0</v>
      </c>
      <c r="O19" s="31">
        <v>9344888.0</v>
      </c>
      <c r="P19" s="32">
        <v>4786615.0</v>
      </c>
      <c r="Q19" s="31">
        <v>152313.0</v>
      </c>
      <c r="R19" s="31">
        <v>55254.0</v>
      </c>
      <c r="S19" s="31">
        <v>20448.0</v>
      </c>
      <c r="T19" s="31">
        <v>30366.0</v>
      </c>
      <c r="U19" s="31">
        <v>2201.0</v>
      </c>
      <c r="V19" s="31">
        <v>72032.0</v>
      </c>
      <c r="W19" s="31">
        <v>0.0</v>
      </c>
      <c r="X19" s="31">
        <v>3898.89</v>
      </c>
      <c r="Y19" s="33"/>
      <c r="Z19" s="34"/>
      <c r="AA19" s="34"/>
      <c r="AB19" s="5"/>
      <c r="AC19" s="21" t="s">
        <v>24</v>
      </c>
      <c r="AD19" s="22" t="s">
        <v>19</v>
      </c>
      <c r="AE19" s="25">
        <f t="shared" ref="AE19:AE28" si="9">AE3</f>
        <v>206080314.2</v>
      </c>
      <c r="AF19" s="23">
        <f t="shared" ref="AF19:AF28" si="10">AI3</f>
        <v>290489634</v>
      </c>
      <c r="AG19" s="63">
        <f t="shared" ref="AG19:AG29" si="11">IFERROR(AF19/AE19, " ")</f>
        <v>1.409594289</v>
      </c>
      <c r="AH19" s="5"/>
      <c r="AI19" s="23">
        <f t="shared" ref="AI19:AI28" si="12">AG3</f>
        <v>206080314.2</v>
      </c>
      <c r="AJ19" s="23">
        <f t="shared" ref="AJ19:AJ28" si="13">AM3</f>
        <v>290489634</v>
      </c>
      <c r="AK19" s="63">
        <f t="shared" ref="AK19:AK29" si="14">IFERROR(AJ19/AI19, " ")</f>
        <v>1.409594289</v>
      </c>
      <c r="AL19" s="5"/>
      <c r="AM19" s="5"/>
      <c r="AN19" s="5"/>
    </row>
    <row r="20">
      <c r="A20" s="2"/>
      <c r="B20" s="2"/>
      <c r="C20" s="2"/>
      <c r="D20" s="2"/>
      <c r="E20" s="56"/>
      <c r="F20" s="2"/>
      <c r="G20" s="2"/>
      <c r="H20" s="2"/>
      <c r="I20" s="2"/>
      <c r="J20" s="58"/>
      <c r="K20" s="29">
        <v>46098.0</v>
      </c>
      <c r="L20" s="30">
        <f t="shared" si="3"/>
        <v>21487958.21</v>
      </c>
      <c r="M20" s="32">
        <v>3023131.0</v>
      </c>
      <c r="N20" s="31">
        <v>2638046.5</v>
      </c>
      <c r="O20" s="31">
        <v>1.0218979E7</v>
      </c>
      <c r="P20" s="32">
        <v>5288172.0</v>
      </c>
      <c r="Q20" s="31">
        <v>167861.0</v>
      </c>
      <c r="R20" s="31">
        <v>40414.0</v>
      </c>
      <c r="S20" s="31">
        <v>12716.0</v>
      </c>
      <c r="T20" s="31">
        <v>18561.0</v>
      </c>
      <c r="U20" s="31">
        <v>406.0</v>
      </c>
      <c r="V20" s="31">
        <v>73937.0</v>
      </c>
      <c r="W20" s="31">
        <v>3353.51</v>
      </c>
      <c r="X20" s="31">
        <v>2381.2</v>
      </c>
      <c r="Y20" s="33"/>
      <c r="Z20" s="34"/>
      <c r="AA20" s="34"/>
      <c r="AB20" s="5"/>
      <c r="AD20" s="22" t="s">
        <v>27</v>
      </c>
      <c r="AE20" s="25">
        <f t="shared" si="9"/>
        <v>114376989.1</v>
      </c>
      <c r="AF20" s="23">
        <f t="shared" si="10"/>
        <v>118684688</v>
      </c>
      <c r="AG20" s="63">
        <f t="shared" si="11"/>
        <v>1.037662286</v>
      </c>
      <c r="AH20" s="5"/>
      <c r="AI20" s="23">
        <f t="shared" si="12"/>
        <v>114376989.1</v>
      </c>
      <c r="AJ20" s="23">
        <f t="shared" si="13"/>
        <v>118684688</v>
      </c>
      <c r="AK20" s="63">
        <f t="shared" si="14"/>
        <v>1.037662286</v>
      </c>
      <c r="AL20" s="5"/>
      <c r="AM20" s="5"/>
      <c r="AN20" s="5"/>
    </row>
    <row r="21">
      <c r="A21" s="2"/>
      <c r="B21" s="58" t="s">
        <v>51</v>
      </c>
      <c r="C21" s="58"/>
      <c r="D21" s="64">
        <f>M42</f>
        <v>105053826</v>
      </c>
      <c r="E21" s="31"/>
      <c r="F21" s="58" t="s">
        <v>51</v>
      </c>
      <c r="G21" s="58"/>
      <c r="H21" s="65">
        <f>N42</f>
        <v>84254055.2</v>
      </c>
      <c r="I21" s="2"/>
      <c r="J21" s="58"/>
      <c r="K21" s="29">
        <v>46099.0</v>
      </c>
      <c r="L21" s="30">
        <f t="shared" si="3"/>
        <v>25002721.25</v>
      </c>
      <c r="M21" s="32">
        <v>4246087.0</v>
      </c>
      <c r="N21" s="31">
        <v>3407136.1</v>
      </c>
      <c r="O21" s="31">
        <v>1.205177E7</v>
      </c>
      <c r="P21" s="32">
        <v>4943058.0</v>
      </c>
      <c r="Q21" s="31">
        <v>166674.0</v>
      </c>
      <c r="R21" s="31">
        <v>63061.0</v>
      </c>
      <c r="S21" s="31">
        <v>14012.0</v>
      </c>
      <c r="T21" s="31">
        <v>28323.0</v>
      </c>
      <c r="U21" s="31">
        <v>2255.0</v>
      </c>
      <c r="V21" s="31">
        <v>74396.0</v>
      </c>
      <c r="W21" s="31">
        <v>0.0</v>
      </c>
      <c r="X21" s="31">
        <v>5949.15</v>
      </c>
      <c r="Y21" s="33"/>
      <c r="Z21" s="34"/>
      <c r="AA21" s="34"/>
      <c r="AB21" s="5"/>
      <c r="AC21" s="21" t="s">
        <v>18</v>
      </c>
      <c r="AD21" s="22" t="s">
        <v>19</v>
      </c>
      <c r="AE21" s="25">
        <f t="shared" si="9"/>
        <v>105053826</v>
      </c>
      <c r="AF21" s="23">
        <f t="shared" si="10"/>
        <v>90218782</v>
      </c>
      <c r="AG21" s="63">
        <f t="shared" si="11"/>
        <v>0.8587862569</v>
      </c>
      <c r="AH21" s="5"/>
      <c r="AI21" s="23">
        <f t="shared" si="12"/>
        <v>105053826</v>
      </c>
      <c r="AJ21" s="23">
        <f t="shared" si="13"/>
        <v>90218782</v>
      </c>
      <c r="AK21" s="63">
        <f t="shared" si="14"/>
        <v>0.8587862569</v>
      </c>
      <c r="AL21" s="5"/>
      <c r="AM21" s="5"/>
      <c r="AN21" s="5"/>
    </row>
    <row r="22">
      <c r="A22" s="2"/>
      <c r="B22" s="2" t="s">
        <v>52</v>
      </c>
      <c r="C22" s="2"/>
      <c r="D22" s="30">
        <f>D16/$C$1</f>
        <v>3469953.154</v>
      </c>
      <c r="E22" s="58"/>
      <c r="F22" s="2" t="s">
        <v>52</v>
      </c>
      <c r="G22" s="2"/>
      <c r="H22" s="30">
        <f>H16/$C$1</f>
        <v>2738852.435</v>
      </c>
      <c r="I22" s="58"/>
      <c r="J22" s="58"/>
      <c r="K22" s="29">
        <v>46100.0</v>
      </c>
      <c r="L22" s="30">
        <f t="shared" si="3"/>
        <v>25508707.21</v>
      </c>
      <c r="M22" s="32">
        <v>3132743.0</v>
      </c>
      <c r="N22" s="31">
        <v>2281600.0</v>
      </c>
      <c r="O22" s="31">
        <v>1.5170599E7</v>
      </c>
      <c r="P22" s="32">
        <v>4537065.0</v>
      </c>
      <c r="Q22" s="31">
        <v>221414.0</v>
      </c>
      <c r="R22" s="31">
        <v>69428.0</v>
      </c>
      <c r="S22" s="31">
        <v>9416.0</v>
      </c>
      <c r="T22" s="31">
        <v>17682.0</v>
      </c>
      <c r="U22" s="31">
        <v>0.0</v>
      </c>
      <c r="V22" s="31">
        <v>64132.0</v>
      </c>
      <c r="W22" s="31">
        <v>1452.36</v>
      </c>
      <c r="X22" s="31">
        <v>3175.85</v>
      </c>
      <c r="Y22" s="33"/>
      <c r="Z22" s="34"/>
      <c r="AA22" s="34"/>
      <c r="AB22" s="5"/>
      <c r="AD22" s="22" t="s">
        <v>27</v>
      </c>
      <c r="AE22" s="25">
        <f t="shared" si="9"/>
        <v>84254055.2</v>
      </c>
      <c r="AF22" s="23">
        <f t="shared" si="10"/>
        <v>71210163.3</v>
      </c>
      <c r="AG22" s="63">
        <f t="shared" si="11"/>
        <v>0.845183809</v>
      </c>
      <c r="AH22" s="24"/>
      <c r="AI22" s="23">
        <f t="shared" si="12"/>
        <v>84254055.2</v>
      </c>
      <c r="AJ22" s="23">
        <f t="shared" si="13"/>
        <v>71210163.3</v>
      </c>
      <c r="AK22" s="63">
        <f t="shared" si="14"/>
        <v>0.845183809</v>
      </c>
      <c r="AL22" s="24"/>
      <c r="AM22" s="24"/>
      <c r="AN22" s="5"/>
    </row>
    <row r="23">
      <c r="A23" s="2"/>
      <c r="B23" s="2" t="s">
        <v>53</v>
      </c>
      <c r="C23" s="2"/>
      <c r="D23" s="30">
        <f>D21/$G$1*$C$1</f>
        <v>88109660.52</v>
      </c>
      <c r="E23" s="2"/>
      <c r="F23" s="2" t="s">
        <v>53</v>
      </c>
      <c r="G23" s="2"/>
      <c r="H23" s="30">
        <f>H21/$G$1*$C$1</f>
        <v>70664691.46</v>
      </c>
      <c r="I23" s="2"/>
      <c r="J23" s="47"/>
      <c r="K23" s="29">
        <v>46101.0</v>
      </c>
      <c r="L23" s="30">
        <f t="shared" si="3"/>
        <v>22322076.79</v>
      </c>
      <c r="M23" s="32">
        <v>3027373.0</v>
      </c>
      <c r="N23" s="31">
        <v>2195710.0</v>
      </c>
      <c r="O23" s="31">
        <v>1.23879E7</v>
      </c>
      <c r="P23" s="31">
        <v>4398525.0</v>
      </c>
      <c r="Q23" s="31">
        <v>147256.0</v>
      </c>
      <c r="R23" s="31">
        <v>66531.0</v>
      </c>
      <c r="S23" s="31">
        <v>13031.0</v>
      </c>
      <c r="T23" s="31">
        <v>20231.0</v>
      </c>
      <c r="U23" s="31">
        <v>540.0</v>
      </c>
      <c r="V23" s="31">
        <v>61974.0</v>
      </c>
      <c r="W23" s="31">
        <v>430.16</v>
      </c>
      <c r="X23" s="31">
        <v>2575.63</v>
      </c>
      <c r="Y23" s="33"/>
      <c r="Z23" s="34"/>
      <c r="AA23" s="34"/>
      <c r="AB23" s="5"/>
      <c r="AC23" s="21" t="s">
        <v>31</v>
      </c>
      <c r="AD23" s="22" t="s">
        <v>19</v>
      </c>
      <c r="AE23" s="25">
        <f t="shared" si="9"/>
        <v>3069853</v>
      </c>
      <c r="AF23" s="23">
        <f t="shared" si="10"/>
        <v>4382190</v>
      </c>
      <c r="AG23" s="63">
        <f t="shared" si="11"/>
        <v>1.427491805</v>
      </c>
      <c r="AH23" s="24"/>
      <c r="AI23" s="23">
        <f t="shared" si="12"/>
        <v>3069853</v>
      </c>
      <c r="AJ23" s="23">
        <f t="shared" si="13"/>
        <v>4382190</v>
      </c>
      <c r="AK23" s="63">
        <f t="shared" si="14"/>
        <v>1.427491805</v>
      </c>
      <c r="AL23" s="24"/>
      <c r="AM23" s="24"/>
      <c r="AN23" s="5"/>
    </row>
    <row r="24">
      <c r="A24" s="2"/>
      <c r="B24" s="2" t="s">
        <v>54</v>
      </c>
      <c r="C24" s="2"/>
      <c r="D24" s="30">
        <f>(D21-D16)/($G$1-$C$1)</f>
        <v>2967008.8</v>
      </c>
      <c r="E24" s="2"/>
      <c r="F24" s="2" t="s">
        <v>54</v>
      </c>
      <c r="G24" s="2"/>
      <c r="H24" s="30">
        <f>(H21-H16)/($G$1-$C$1)</f>
        <v>2608778.38</v>
      </c>
      <c r="I24" s="2"/>
      <c r="J24" s="58"/>
      <c r="K24" s="29">
        <v>46102.0</v>
      </c>
      <c r="L24" s="30">
        <f t="shared" si="3"/>
        <v>26143610.67</v>
      </c>
      <c r="M24" s="32">
        <v>3522975.0</v>
      </c>
      <c r="N24" s="31">
        <v>2100022.0</v>
      </c>
      <c r="O24" s="31">
        <v>1.4680702E7</v>
      </c>
      <c r="P24" s="31">
        <v>5460096.0</v>
      </c>
      <c r="Q24" s="31">
        <v>232610.0</v>
      </c>
      <c r="R24" s="31">
        <v>50230.0</v>
      </c>
      <c r="S24" s="31">
        <v>10895.0</v>
      </c>
      <c r="T24" s="31">
        <v>28881.0</v>
      </c>
      <c r="U24" s="31">
        <v>0.0</v>
      </c>
      <c r="V24" s="31">
        <v>54798.0</v>
      </c>
      <c r="W24" s="31">
        <v>1472.35</v>
      </c>
      <c r="X24" s="31">
        <v>929.32</v>
      </c>
      <c r="Y24" s="33"/>
      <c r="Z24" s="34"/>
      <c r="AA24" s="34"/>
      <c r="AB24" s="5"/>
      <c r="AD24" s="22" t="s">
        <v>27</v>
      </c>
      <c r="AE24" s="25">
        <f t="shared" si="9"/>
        <v>2257611</v>
      </c>
      <c r="AF24" s="23">
        <f t="shared" si="10"/>
        <v>1494137</v>
      </c>
      <c r="AG24" s="63">
        <f t="shared" si="11"/>
        <v>0.6618221651</v>
      </c>
      <c r="AH24" s="24"/>
      <c r="AI24" s="23">
        <f t="shared" si="12"/>
        <v>2257611</v>
      </c>
      <c r="AJ24" s="23">
        <f t="shared" si="13"/>
        <v>1494137</v>
      </c>
      <c r="AK24" s="63">
        <f t="shared" si="14"/>
        <v>0.6618221651</v>
      </c>
      <c r="AL24" s="24"/>
      <c r="AM24" s="24"/>
      <c r="AN24" s="5"/>
    </row>
    <row r="25">
      <c r="A25" s="2"/>
      <c r="B25" s="2" t="s">
        <v>55</v>
      </c>
      <c r="C25" s="2"/>
      <c r="D25" s="30">
        <f>D16-D23</f>
        <v>2109121.484</v>
      </c>
      <c r="E25" s="2"/>
      <c r="F25" s="2" t="s">
        <v>55</v>
      </c>
      <c r="G25" s="2"/>
      <c r="H25" s="30">
        <f>H16-H23</f>
        <v>545471.8419</v>
      </c>
      <c r="I25" s="2"/>
      <c r="J25" s="47"/>
      <c r="K25" s="29">
        <v>46103.0</v>
      </c>
      <c r="L25" s="30">
        <f t="shared" si="3"/>
        <v>31068516</v>
      </c>
      <c r="M25" s="32">
        <v>3736853.0</v>
      </c>
      <c r="N25" s="31">
        <v>2627885.0</v>
      </c>
      <c r="O25" s="31">
        <v>1.7666377E7</v>
      </c>
      <c r="P25" s="32">
        <v>6631292.0</v>
      </c>
      <c r="Q25" s="31">
        <v>258740.0</v>
      </c>
      <c r="R25" s="31">
        <v>54402.0</v>
      </c>
      <c r="S25" s="31">
        <v>12918.0</v>
      </c>
      <c r="T25" s="31">
        <v>25542.0</v>
      </c>
      <c r="U25" s="31">
        <v>0.0</v>
      </c>
      <c r="V25" s="31">
        <v>54507.0</v>
      </c>
      <c r="W25" s="31">
        <v>0.0</v>
      </c>
      <c r="X25" s="31">
        <v>0.0</v>
      </c>
      <c r="Y25" s="33"/>
      <c r="Z25" s="34"/>
      <c r="AA25" s="34"/>
      <c r="AB25" s="5"/>
      <c r="AC25" s="44" t="s">
        <v>34</v>
      </c>
      <c r="AD25" s="22" t="s">
        <v>19</v>
      </c>
      <c r="AE25" s="25">
        <f t="shared" si="9"/>
        <v>619304</v>
      </c>
      <c r="AF25" s="23">
        <f t="shared" si="10"/>
        <v>490176</v>
      </c>
      <c r="AG25" s="63">
        <f t="shared" si="11"/>
        <v>0.7914949685</v>
      </c>
      <c r="AH25" s="46"/>
      <c r="AI25" s="23">
        <f t="shared" si="12"/>
        <v>619304</v>
      </c>
      <c r="AJ25" s="23">
        <f t="shared" si="13"/>
        <v>490176</v>
      </c>
      <c r="AK25" s="63">
        <f t="shared" si="14"/>
        <v>0.7914949685</v>
      </c>
      <c r="AL25" s="46"/>
      <c r="AM25" s="46"/>
      <c r="AN25" s="5"/>
    </row>
    <row r="26">
      <c r="A26" s="2"/>
      <c r="B26" s="2" t="s">
        <v>56</v>
      </c>
      <c r="C26" s="2"/>
      <c r="D26" s="30">
        <f>D16/$C$1*$G$1</f>
        <v>107568547.8</v>
      </c>
      <c r="E26" s="56"/>
      <c r="F26" s="2" t="s">
        <v>56</v>
      </c>
      <c r="G26" s="2"/>
      <c r="H26" s="30">
        <f>H16/$C$1*$G$1</f>
        <v>84904425.47</v>
      </c>
      <c r="I26" s="2"/>
      <c r="J26" s="56"/>
      <c r="K26" s="29">
        <v>46104.0</v>
      </c>
      <c r="L26" s="30">
        <f t="shared" si="3"/>
        <v>27972237.4</v>
      </c>
      <c r="M26" s="32">
        <v>3577557.0</v>
      </c>
      <c r="N26" s="31">
        <v>2219666.0</v>
      </c>
      <c r="O26" s="31">
        <v>1.6961692E7</v>
      </c>
      <c r="P26" s="32">
        <v>4833602.0</v>
      </c>
      <c r="Q26" s="31">
        <v>218223.0</v>
      </c>
      <c r="R26" s="31">
        <v>55500.0</v>
      </c>
      <c r="S26" s="31">
        <v>13293.0</v>
      </c>
      <c r="T26" s="31">
        <v>16275.0</v>
      </c>
      <c r="U26" s="31">
        <v>0.0</v>
      </c>
      <c r="V26" s="31">
        <v>66034.0</v>
      </c>
      <c r="W26" s="31">
        <v>4719.16</v>
      </c>
      <c r="X26" s="31">
        <v>5676.24</v>
      </c>
      <c r="Y26" s="33"/>
      <c r="Z26" s="34"/>
      <c r="AA26" s="34"/>
      <c r="AB26" s="5"/>
      <c r="AD26" s="22" t="s">
        <v>27</v>
      </c>
      <c r="AE26" s="25">
        <f t="shared" si="9"/>
        <v>1719666</v>
      </c>
      <c r="AF26" s="23">
        <f t="shared" si="10"/>
        <v>1274528</v>
      </c>
      <c r="AG26" s="63">
        <f t="shared" si="11"/>
        <v>0.7411485719</v>
      </c>
      <c r="AH26" s="46"/>
      <c r="AI26" s="23">
        <f t="shared" si="12"/>
        <v>1719666</v>
      </c>
      <c r="AJ26" s="23">
        <f t="shared" si="13"/>
        <v>1274528</v>
      </c>
      <c r="AK26" s="63">
        <f t="shared" si="14"/>
        <v>0.7411485719</v>
      </c>
      <c r="AL26" s="46"/>
      <c r="AM26" s="46"/>
      <c r="AN26" s="5"/>
    </row>
    <row r="27">
      <c r="A27" s="2"/>
      <c r="B27" s="66" t="s">
        <v>57</v>
      </c>
      <c r="C27" s="66"/>
      <c r="D27" s="67">
        <f>D26/D21</f>
        <v>1.02393746</v>
      </c>
      <c r="E27" s="2"/>
      <c r="F27" s="66" t="s">
        <v>57</v>
      </c>
      <c r="G27" s="66"/>
      <c r="H27" s="67">
        <f>H26/H21</f>
        <v>1.007719157</v>
      </c>
      <c r="I27" s="2"/>
      <c r="J27" s="47"/>
      <c r="K27" s="29">
        <v>46105.0</v>
      </c>
      <c r="L27" s="30">
        <f t="shared" si="3"/>
        <v>26838275.01</v>
      </c>
      <c r="M27" s="32">
        <v>3737111.0</v>
      </c>
      <c r="N27" s="31">
        <v>2203706.0</v>
      </c>
      <c r="O27" s="31">
        <v>1.6411407E7</v>
      </c>
      <c r="P27" s="32">
        <v>4087386.0</v>
      </c>
      <c r="Q27" s="31">
        <v>238745.0</v>
      </c>
      <c r="R27" s="31">
        <v>47283.0</v>
      </c>
      <c r="S27" s="31">
        <v>13665.0</v>
      </c>
      <c r="T27" s="31">
        <v>31031.0</v>
      </c>
      <c r="U27" s="31">
        <v>0.0</v>
      </c>
      <c r="V27" s="31">
        <v>56167.0</v>
      </c>
      <c r="W27" s="31">
        <v>5302.95</v>
      </c>
      <c r="X27" s="31">
        <v>6471.06</v>
      </c>
      <c r="Y27" s="33"/>
      <c r="Z27" s="34"/>
      <c r="AA27" s="34"/>
      <c r="AB27" s="5"/>
      <c r="AC27" s="44" t="s">
        <v>37</v>
      </c>
      <c r="AD27" s="22" t="s">
        <v>19</v>
      </c>
      <c r="AE27" s="25">
        <f t="shared" si="9"/>
        <v>141359</v>
      </c>
      <c r="AF27" s="23">
        <f t="shared" si="10"/>
        <v>100903</v>
      </c>
      <c r="AG27" s="63">
        <f t="shared" si="11"/>
        <v>0.7138066908</v>
      </c>
      <c r="AH27" s="46"/>
      <c r="AI27" s="23">
        <f t="shared" si="12"/>
        <v>141359</v>
      </c>
      <c r="AJ27" s="23">
        <f t="shared" si="13"/>
        <v>100903</v>
      </c>
      <c r="AK27" s="63">
        <f t="shared" si="14"/>
        <v>0.7138066908</v>
      </c>
      <c r="AL27" s="46"/>
      <c r="AM27" s="46"/>
      <c r="AN27" s="5"/>
    </row>
    <row r="28">
      <c r="A28" s="2"/>
      <c r="B28" s="2"/>
      <c r="C28" s="2"/>
      <c r="D28" s="2"/>
      <c r="E28" s="2"/>
      <c r="F28" s="2"/>
      <c r="G28" s="2"/>
      <c r="H28" s="2"/>
      <c r="I28" s="2"/>
      <c r="J28" s="47"/>
      <c r="K28" s="29">
        <v>46106.0</v>
      </c>
      <c r="L28" s="30">
        <f t="shared" si="3"/>
        <v>26147537.45</v>
      </c>
      <c r="M28" s="32">
        <v>4161394.0</v>
      </c>
      <c r="N28" s="31">
        <v>2565808.0</v>
      </c>
      <c r="O28" s="31">
        <v>1.490907E7</v>
      </c>
      <c r="P28" s="32">
        <v>4095915.0</v>
      </c>
      <c r="Q28" s="31">
        <v>258536.0</v>
      </c>
      <c r="R28" s="31">
        <v>50745.0</v>
      </c>
      <c r="S28" s="31">
        <v>22289.0</v>
      </c>
      <c r="T28" s="31">
        <v>26028.0</v>
      </c>
      <c r="U28" s="31">
        <v>5558.0</v>
      </c>
      <c r="V28" s="31">
        <v>51721.0</v>
      </c>
      <c r="W28" s="31">
        <v>0.0</v>
      </c>
      <c r="X28" s="31">
        <v>473.45</v>
      </c>
      <c r="Y28" s="33"/>
      <c r="Z28" s="34"/>
      <c r="AA28" s="34"/>
      <c r="AB28" s="5"/>
      <c r="AD28" s="22" t="s">
        <v>27</v>
      </c>
      <c r="AE28" s="25">
        <f t="shared" si="9"/>
        <v>1599107</v>
      </c>
      <c r="AF28" s="23">
        <f t="shared" si="10"/>
        <v>2120688</v>
      </c>
      <c r="AG28" s="63">
        <f t="shared" si="11"/>
        <v>1.326170169</v>
      </c>
      <c r="AH28" s="46"/>
      <c r="AI28" s="23">
        <f t="shared" si="12"/>
        <v>1599107</v>
      </c>
      <c r="AJ28" s="23">
        <f t="shared" si="13"/>
        <v>2120688</v>
      </c>
      <c r="AK28" s="63">
        <f t="shared" si="14"/>
        <v>1.326170169</v>
      </c>
      <c r="AL28" s="46"/>
      <c r="AM28" s="46"/>
      <c r="AN28" s="5"/>
    </row>
    <row r="29">
      <c r="A29" s="2"/>
      <c r="B29" s="68" t="s">
        <v>58</v>
      </c>
      <c r="C29" s="17"/>
      <c r="D29" s="17"/>
      <c r="E29" s="17"/>
      <c r="F29" s="17"/>
      <c r="G29" s="17"/>
      <c r="H29" s="18"/>
      <c r="I29" s="2"/>
      <c r="J29" s="30"/>
      <c r="K29" s="29">
        <v>46107.0</v>
      </c>
      <c r="L29" s="30">
        <f t="shared" si="3"/>
        <v>24708476.74</v>
      </c>
      <c r="M29" s="32">
        <v>4790933.0</v>
      </c>
      <c r="N29" s="31">
        <v>2113040.0</v>
      </c>
      <c r="O29" s="31">
        <v>1.3811928E7</v>
      </c>
      <c r="P29" s="32">
        <v>3892542.0</v>
      </c>
      <c r="Q29" s="33"/>
      <c r="R29" s="33"/>
      <c r="S29" s="31">
        <v>16811.0</v>
      </c>
      <c r="T29" s="31">
        <v>27660.0</v>
      </c>
      <c r="U29" s="31">
        <v>559.0</v>
      </c>
      <c r="V29" s="31">
        <v>53238.0</v>
      </c>
      <c r="W29" s="31">
        <v>0.0</v>
      </c>
      <c r="X29" s="31">
        <v>1765.74</v>
      </c>
      <c r="Y29" s="33"/>
      <c r="Z29" s="34"/>
      <c r="AA29" s="34"/>
      <c r="AB29" s="5"/>
      <c r="AC29" s="24"/>
      <c r="AD29" s="24"/>
      <c r="AE29" s="52">
        <f t="shared" ref="AE29:AF29" si="15">SUM(AE19:AE28)</f>
        <v>519172084.5</v>
      </c>
      <c r="AF29" s="52">
        <f t="shared" si="15"/>
        <v>580465889.3</v>
      </c>
      <c r="AG29" s="69">
        <f t="shared" si="11"/>
        <v>1.118060671</v>
      </c>
      <c r="AH29" s="24"/>
      <c r="AI29" s="52">
        <f t="shared" ref="AI29:AJ29" si="16">SUM(AI19:AI24)</f>
        <v>515092648.5</v>
      </c>
      <c r="AJ29" s="52">
        <f t="shared" si="16"/>
        <v>576479594.3</v>
      </c>
      <c r="AK29" s="69">
        <f t="shared" si="14"/>
        <v>1.119176513</v>
      </c>
      <c r="AL29" s="24"/>
      <c r="AM29" s="24"/>
      <c r="AN29" s="5"/>
    </row>
    <row r="30">
      <c r="A30" s="2"/>
      <c r="B30" s="70" t="str">
        <f>B4</f>
        <v>Биг–Л / Март | до </v>
      </c>
      <c r="C30" s="17"/>
      <c r="D30" s="28">
        <f>$D$4</f>
        <v>46107</v>
      </c>
      <c r="E30" s="2"/>
      <c r="F30" s="70" t="str">
        <f>F4</f>
        <v>Смарт/ Март| до </v>
      </c>
      <c r="G30" s="17"/>
      <c r="H30" s="28">
        <f>$D$4</f>
        <v>46107</v>
      </c>
      <c r="I30" s="2"/>
      <c r="J30" s="30"/>
      <c r="K30" s="29">
        <v>46108.0</v>
      </c>
      <c r="L30" s="30">
        <f t="shared" si="3"/>
        <v>0</v>
      </c>
      <c r="M30" s="32"/>
      <c r="N30" s="31"/>
      <c r="O30" s="31"/>
      <c r="P30" s="32"/>
      <c r="Q30" s="31"/>
      <c r="R30" s="31"/>
      <c r="S30" s="31"/>
      <c r="T30" s="31"/>
      <c r="U30" s="31"/>
      <c r="V30" s="31"/>
      <c r="W30" s="31"/>
      <c r="X30" s="31"/>
      <c r="Y30" s="33"/>
      <c r="Z30" s="34"/>
      <c r="AA30" s="34"/>
      <c r="AB30" s="5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5"/>
    </row>
    <row r="31">
      <c r="A31" s="35">
        <f t="shared" ref="A31:A32" si="17">IFERROR(C31/$C$33, " ")</f>
        <v>0.8959343572</v>
      </c>
      <c r="B31" s="41" t="s">
        <v>59</v>
      </c>
      <c r="C31" s="31">
        <v>1.1596408E7</v>
      </c>
      <c r="D31" s="71"/>
      <c r="E31" s="2"/>
      <c r="F31" s="41" t="s">
        <v>59</v>
      </c>
      <c r="G31" s="31">
        <v>7142270.0</v>
      </c>
      <c r="H31" s="53"/>
      <c r="I31" s="35">
        <f t="shared" ref="I31:I32" si="18">IFERROR(G31/$G$33, " ")</f>
        <v>0.958485576</v>
      </c>
      <c r="J31" s="47"/>
      <c r="K31" s="29">
        <v>46109.0</v>
      </c>
      <c r="L31" s="30">
        <f t="shared" si="3"/>
        <v>0</v>
      </c>
      <c r="M31" s="32"/>
      <c r="N31" s="31"/>
      <c r="O31" s="31"/>
      <c r="P31" s="32"/>
      <c r="Q31" s="31"/>
      <c r="R31" s="31"/>
      <c r="S31" s="31"/>
      <c r="T31" s="31"/>
      <c r="U31" s="31"/>
      <c r="V31" s="31"/>
      <c r="W31" s="31"/>
      <c r="X31" s="31"/>
      <c r="Y31" s="33"/>
      <c r="Z31" s="34"/>
      <c r="AA31" s="34"/>
      <c r="AB31" s="5"/>
      <c r="AC31" s="72" t="s">
        <v>60</v>
      </c>
      <c r="AE31" s="14" t="s">
        <v>17</v>
      </c>
      <c r="AF31" s="14" t="s">
        <v>61</v>
      </c>
      <c r="AG31" s="14" t="s">
        <v>62</v>
      </c>
      <c r="AH31" s="46"/>
      <c r="AI31" s="73" t="s">
        <v>63</v>
      </c>
      <c r="AJ31" s="73" t="s">
        <v>64</v>
      </c>
      <c r="AK31" s="14" t="s">
        <v>48</v>
      </c>
      <c r="AL31" s="24"/>
      <c r="AM31" s="24"/>
      <c r="AN31" s="5"/>
    </row>
    <row r="32">
      <c r="A32" s="35">
        <f t="shared" si="17"/>
        <v>0.1040656428</v>
      </c>
      <c r="B32" s="39" t="s">
        <v>65</v>
      </c>
      <c r="C32" s="31">
        <v>1346959.9</v>
      </c>
      <c r="D32" s="74"/>
      <c r="E32" s="2"/>
      <c r="F32" s="39" t="s">
        <v>65</v>
      </c>
      <c r="G32" s="32">
        <v>309349.7</v>
      </c>
      <c r="H32" s="53"/>
      <c r="I32" s="35">
        <f t="shared" si="18"/>
        <v>0.04151442404</v>
      </c>
      <c r="J32" s="47"/>
      <c r="K32" s="29">
        <v>46110.0</v>
      </c>
      <c r="L32" s="30">
        <f t="shared" si="3"/>
        <v>0</v>
      </c>
      <c r="M32" s="32"/>
      <c r="N32" s="31"/>
      <c r="O32" s="31"/>
      <c r="P32" s="32"/>
      <c r="Q32" s="31"/>
      <c r="R32" s="31"/>
      <c r="S32" s="31"/>
      <c r="T32" s="31"/>
      <c r="U32" s="31"/>
      <c r="V32" s="31"/>
      <c r="W32" s="31"/>
      <c r="X32" s="31"/>
      <c r="Y32" s="33"/>
      <c r="Z32" s="34"/>
      <c r="AA32" s="34"/>
      <c r="AB32" s="5"/>
      <c r="AC32" s="21" t="s">
        <v>24</v>
      </c>
      <c r="AD32" s="22" t="s">
        <v>19</v>
      </c>
      <c r="AE32" s="23">
        <f t="shared" ref="AE32:AE41" si="19">AM3</f>
        <v>290489634</v>
      </c>
      <c r="AF32" s="23">
        <f>C51</f>
        <v>0</v>
      </c>
      <c r="AG32" s="63">
        <f t="shared" ref="AG32:AG42" si="20">AF32/AE32</f>
        <v>0</v>
      </c>
      <c r="AH32" s="46"/>
      <c r="AI32" s="63">
        <f>C36</f>
        <v>0.08</v>
      </c>
      <c r="AJ32" s="63">
        <f t="shared" ref="AJ32:AJ42" si="21">AG32</f>
        <v>0</v>
      </c>
      <c r="AK32" s="63">
        <f t="shared" ref="AK32:AK42" si="22">AJ32/AI32-1</f>
        <v>-1</v>
      </c>
      <c r="AL32" s="24"/>
      <c r="AM32" s="24"/>
      <c r="AN32" s="5"/>
    </row>
    <row r="33">
      <c r="A33" s="2"/>
      <c r="B33" s="41" t="s">
        <v>42</v>
      </c>
      <c r="C33" s="32">
        <f>SUM(C31:C32)</f>
        <v>12943367.9</v>
      </c>
      <c r="D33" s="40"/>
      <c r="E33" s="2"/>
      <c r="F33" s="41" t="s">
        <v>42</v>
      </c>
      <c r="G33" s="32">
        <f>SUM(G31:G32)</f>
        <v>7451619.7</v>
      </c>
      <c r="H33" s="40"/>
      <c r="I33" s="2"/>
      <c r="J33" s="47"/>
      <c r="K33" s="29">
        <v>46111.0</v>
      </c>
      <c r="L33" s="30">
        <f t="shared" si="3"/>
        <v>0</v>
      </c>
      <c r="M33" s="32"/>
      <c r="N33" s="31"/>
      <c r="O33" s="31"/>
      <c r="P33" s="32"/>
      <c r="Q33" s="31"/>
      <c r="R33" s="31"/>
      <c r="S33" s="31"/>
      <c r="T33" s="31"/>
      <c r="U33" s="31"/>
      <c r="V33" s="31"/>
      <c r="W33" s="31"/>
      <c r="X33" s="31"/>
      <c r="Y33" s="33"/>
      <c r="Z33" s="34"/>
      <c r="AA33" s="34"/>
      <c r="AB33" s="21"/>
      <c r="AD33" s="22" t="s">
        <v>27</v>
      </c>
      <c r="AE33" s="23">
        <f t="shared" si="19"/>
        <v>118684688</v>
      </c>
      <c r="AF33" s="23">
        <f>G51</f>
        <v>0</v>
      </c>
      <c r="AG33" s="63">
        <f t="shared" si="20"/>
        <v>0</v>
      </c>
      <c r="AH33" s="46"/>
      <c r="AI33" s="63">
        <f>G36</f>
        <v>0.08</v>
      </c>
      <c r="AJ33" s="63">
        <f t="shared" si="21"/>
        <v>0</v>
      </c>
      <c r="AK33" s="63">
        <f t="shared" si="22"/>
        <v>-1</v>
      </c>
      <c r="AL33" s="5"/>
      <c r="AM33" s="24"/>
      <c r="AN33" s="21"/>
    </row>
    <row r="34">
      <c r="A34" s="2"/>
      <c r="B34" s="41" t="s">
        <v>43</v>
      </c>
      <c r="C34" s="2"/>
      <c r="D34" s="54">
        <f>O35</f>
        <v>290489634</v>
      </c>
      <c r="E34" s="2"/>
      <c r="F34" s="41" t="s">
        <v>43</v>
      </c>
      <c r="G34" s="2"/>
      <c r="H34" s="54">
        <f>P35</f>
        <v>118684688</v>
      </c>
      <c r="I34" s="2"/>
      <c r="J34" s="47"/>
      <c r="K34" s="29">
        <v>46112.0</v>
      </c>
      <c r="L34" s="30">
        <f t="shared" si="3"/>
        <v>0</v>
      </c>
      <c r="M34" s="32"/>
      <c r="N34" s="31"/>
      <c r="O34" s="31"/>
      <c r="P34" s="32"/>
      <c r="Q34" s="31"/>
      <c r="R34" s="31"/>
      <c r="S34" s="31"/>
      <c r="T34" s="31"/>
      <c r="U34" s="31"/>
      <c r="V34" s="31"/>
      <c r="W34" s="31"/>
      <c r="X34" s="31"/>
      <c r="Y34" s="33"/>
      <c r="Z34" s="34"/>
      <c r="AA34" s="34"/>
      <c r="AB34" s="5"/>
      <c r="AC34" s="21" t="s">
        <v>18</v>
      </c>
      <c r="AD34" s="22" t="s">
        <v>19</v>
      </c>
      <c r="AE34" s="23">
        <f t="shared" si="19"/>
        <v>90218782</v>
      </c>
      <c r="AF34" s="23">
        <f>C15</f>
        <v>8020366</v>
      </c>
      <c r="AG34" s="63">
        <f t="shared" si="20"/>
        <v>0.08889907204</v>
      </c>
      <c r="AH34" s="46"/>
      <c r="AI34" s="63">
        <f>C18</f>
        <v>0.15</v>
      </c>
      <c r="AJ34" s="63">
        <f t="shared" si="21"/>
        <v>0.08889907204</v>
      </c>
      <c r="AK34" s="63">
        <f t="shared" si="22"/>
        <v>-0.4073395198</v>
      </c>
      <c r="AL34" s="5"/>
      <c r="AM34" s="24"/>
      <c r="AN34" s="5"/>
    </row>
    <row r="35">
      <c r="A35" s="2"/>
      <c r="B35" s="41" t="s">
        <v>44</v>
      </c>
      <c r="C35" s="2"/>
      <c r="D35" s="57">
        <f>C33/D34</f>
        <v>0.04455707325</v>
      </c>
      <c r="E35" s="2"/>
      <c r="F35" s="41" t="s">
        <v>44</v>
      </c>
      <c r="G35" s="2"/>
      <c r="H35" s="57">
        <f>G33/H34</f>
        <v>0.06278501318</v>
      </c>
      <c r="I35" s="2"/>
      <c r="J35" s="47"/>
      <c r="K35" s="75">
        <f>L35/C1</f>
        <v>22331255</v>
      </c>
      <c r="L35" s="76">
        <f t="shared" ref="L35:AA35" si="23">SUM(L4:L34)</f>
        <v>580612630</v>
      </c>
      <c r="M35" s="30">
        <f t="shared" si="23"/>
        <v>90218782</v>
      </c>
      <c r="N35" s="30">
        <f t="shared" si="23"/>
        <v>71210163.3</v>
      </c>
      <c r="O35" s="30">
        <f t="shared" si="23"/>
        <v>290489634</v>
      </c>
      <c r="P35" s="30">
        <f t="shared" si="23"/>
        <v>118684688</v>
      </c>
      <c r="Q35" s="30">
        <f t="shared" si="23"/>
        <v>4382190</v>
      </c>
      <c r="R35" s="30">
        <f t="shared" si="23"/>
        <v>1494137</v>
      </c>
      <c r="S35" s="30">
        <f t="shared" si="23"/>
        <v>490176</v>
      </c>
      <c r="T35" s="30">
        <f t="shared" si="23"/>
        <v>1274528</v>
      </c>
      <c r="U35" s="30">
        <f t="shared" si="23"/>
        <v>100903</v>
      </c>
      <c r="V35" s="30">
        <f t="shared" si="23"/>
        <v>2120688</v>
      </c>
      <c r="W35" s="30">
        <f t="shared" si="23"/>
        <v>49615.54</v>
      </c>
      <c r="X35" s="30">
        <f t="shared" si="23"/>
        <v>97125.15</v>
      </c>
      <c r="Y35" s="30">
        <f t="shared" si="23"/>
        <v>0</v>
      </c>
      <c r="Z35" s="30">
        <f t="shared" si="23"/>
        <v>0</v>
      </c>
      <c r="AA35" s="30">
        <f t="shared" si="23"/>
        <v>0</v>
      </c>
      <c r="AB35" s="5"/>
      <c r="AD35" s="22" t="s">
        <v>27</v>
      </c>
      <c r="AE35" s="23">
        <f t="shared" si="19"/>
        <v>71210163.3</v>
      </c>
      <c r="AF35" s="23">
        <f>G15</f>
        <v>9455466</v>
      </c>
      <c r="AG35" s="63">
        <f t="shared" si="20"/>
        <v>0.132782535</v>
      </c>
      <c r="AH35" s="46"/>
      <c r="AI35" s="63">
        <f>G18</f>
        <v>0.13</v>
      </c>
      <c r="AJ35" s="63">
        <f t="shared" si="21"/>
        <v>0.132782535</v>
      </c>
      <c r="AK35" s="63">
        <f t="shared" si="22"/>
        <v>0.0214041153</v>
      </c>
      <c r="AL35" s="5"/>
      <c r="AM35" s="24"/>
      <c r="AN35" s="5"/>
    </row>
    <row r="36">
      <c r="A36" s="35">
        <f>D35/C36</f>
        <v>0.5569634156</v>
      </c>
      <c r="B36" s="41" t="s">
        <v>47</v>
      </c>
      <c r="C36" s="59">
        <v>0.08</v>
      </c>
      <c r="D36" s="54">
        <f>D34*C36</f>
        <v>23239170.72</v>
      </c>
      <c r="E36" s="2"/>
      <c r="F36" s="41" t="s">
        <v>47</v>
      </c>
      <c r="G36" s="59">
        <v>0.08</v>
      </c>
      <c r="H36" s="54">
        <f>H34*G36</f>
        <v>9494775.04</v>
      </c>
      <c r="I36" s="35">
        <f>H35/G36</f>
        <v>0.7848126647</v>
      </c>
      <c r="J36" s="47"/>
      <c r="K36" s="2"/>
      <c r="L36" s="2"/>
      <c r="M36" s="35">
        <f t="shared" ref="M36:AA36" si="24">M35/$L$35</f>
        <v>0.1553854969</v>
      </c>
      <c r="N36" s="35">
        <f t="shared" si="24"/>
        <v>0.1226465971</v>
      </c>
      <c r="O36" s="35">
        <f t="shared" si="24"/>
        <v>0.5003157338</v>
      </c>
      <c r="P36" s="35">
        <f t="shared" si="24"/>
        <v>0.2044128596</v>
      </c>
      <c r="Q36" s="35">
        <f t="shared" si="24"/>
        <v>0.007547527859</v>
      </c>
      <c r="R36" s="35">
        <f t="shared" si="24"/>
        <v>0.002573380121</v>
      </c>
      <c r="S36" s="35">
        <f t="shared" si="24"/>
        <v>0.0008442392995</v>
      </c>
      <c r="T36" s="35">
        <f t="shared" si="24"/>
        <v>0.00219514343</v>
      </c>
      <c r="U36" s="35">
        <f t="shared" si="24"/>
        <v>0.0001737871255</v>
      </c>
      <c r="V36" s="35">
        <f t="shared" si="24"/>
        <v>0.003652500635</v>
      </c>
      <c r="W36" s="35">
        <f t="shared" si="24"/>
        <v>0.0000854537732</v>
      </c>
      <c r="X36" s="35">
        <f t="shared" si="24"/>
        <v>0.0001672804637</v>
      </c>
      <c r="Y36" s="35">
        <f t="shared" si="24"/>
        <v>0</v>
      </c>
      <c r="Z36" s="35">
        <f t="shared" si="24"/>
        <v>0</v>
      </c>
      <c r="AA36" s="35">
        <f t="shared" si="24"/>
        <v>0</v>
      </c>
      <c r="AB36" s="5"/>
      <c r="AC36" s="21" t="s">
        <v>31</v>
      </c>
      <c r="AD36" s="22" t="s">
        <v>19</v>
      </c>
      <c r="AE36" s="23">
        <f t="shared" si="19"/>
        <v>4382190</v>
      </c>
      <c r="AF36" s="23">
        <f>C72</f>
        <v>530991</v>
      </c>
      <c r="AG36" s="63">
        <f t="shared" si="20"/>
        <v>0.1211702368</v>
      </c>
      <c r="AH36" s="46"/>
      <c r="AI36" s="63" t="str">
        <f>C75</f>
        <v/>
      </c>
      <c r="AJ36" s="63">
        <f t="shared" si="21"/>
        <v>0.1211702368</v>
      </c>
      <c r="AK36" s="63" t="str">
        <f t="shared" si="22"/>
        <v>#DIV/0!</v>
      </c>
      <c r="AL36" s="5"/>
      <c r="AM36" s="24"/>
      <c r="AN36" s="5"/>
    </row>
    <row r="37">
      <c r="A37" s="2"/>
      <c r="B37" s="77" t="s">
        <v>50</v>
      </c>
      <c r="C37" s="61"/>
      <c r="D37" s="62">
        <f>C33-D36</f>
        <v>-10295802.82</v>
      </c>
      <c r="E37" s="2"/>
      <c r="F37" s="77" t="s">
        <v>50</v>
      </c>
      <c r="G37" s="61"/>
      <c r="H37" s="62">
        <f>G33-H36</f>
        <v>-2043155.34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5"/>
      <c r="AD37" s="22" t="s">
        <v>27</v>
      </c>
      <c r="AE37" s="23">
        <f t="shared" si="19"/>
        <v>1494137</v>
      </c>
      <c r="AF37" s="23">
        <f>G72</f>
        <v>270412</v>
      </c>
      <c r="AG37" s="63">
        <f t="shared" si="20"/>
        <v>0.1809820652</v>
      </c>
      <c r="AH37" s="46"/>
      <c r="AI37" s="63" t="str">
        <f>G75</f>
        <v/>
      </c>
      <c r="AJ37" s="63">
        <f t="shared" si="21"/>
        <v>0.1809820652</v>
      </c>
      <c r="AK37" s="63" t="str">
        <f t="shared" si="22"/>
        <v>#DIV/0!</v>
      </c>
      <c r="AL37" s="5"/>
      <c r="AM37" s="24"/>
      <c r="AN37" s="5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66" t="s">
        <v>66</v>
      </c>
      <c r="M38" s="78">
        <f>SUM(M40:N40)/$L$40</f>
        <v>0.278032094</v>
      </c>
      <c r="N38" s="79"/>
      <c r="O38" s="78">
        <f>SUM(O40:P40)/$L$40</f>
        <v>0.7047285933</v>
      </c>
      <c r="P38" s="79"/>
      <c r="Q38" s="78">
        <f>SUM(Q40:R40)/$L$40</f>
        <v>0.01012090798</v>
      </c>
      <c r="R38" s="79"/>
      <c r="S38" s="78">
        <f>SUM(S40:T40)/$L$40</f>
        <v>0.003039382729</v>
      </c>
      <c r="T38" s="79"/>
      <c r="U38" s="78">
        <f>SUM(U40:V40)/$L$40</f>
        <v>0.003826287761</v>
      </c>
      <c r="V38" s="79"/>
      <c r="W38" s="78">
        <f>SUM(W40:X40)/$L$40</f>
        <v>0.0002527342369</v>
      </c>
      <c r="X38" s="79"/>
      <c r="Y38" s="78">
        <f>SUM(Y40:Z40)/$L$40</f>
        <v>0</v>
      </c>
      <c r="Z38" s="80"/>
      <c r="AA38" s="79"/>
      <c r="AB38" s="5"/>
      <c r="AC38" s="44" t="s">
        <v>34</v>
      </c>
      <c r="AD38" s="22" t="s">
        <v>19</v>
      </c>
      <c r="AE38" s="23">
        <f t="shared" si="19"/>
        <v>490176</v>
      </c>
      <c r="AF38" s="81">
        <v>0.0</v>
      </c>
      <c r="AG38" s="63">
        <f t="shared" si="20"/>
        <v>0</v>
      </c>
      <c r="AH38" s="46"/>
      <c r="AI38" s="82">
        <f>C91</f>
        <v>0.1</v>
      </c>
      <c r="AJ38" s="63">
        <f t="shared" si="21"/>
        <v>0</v>
      </c>
      <c r="AK38" s="63">
        <f t="shared" si="22"/>
        <v>-1</v>
      </c>
      <c r="AL38" s="46"/>
      <c r="AM38" s="46"/>
      <c r="AN38" s="5"/>
    </row>
    <row r="39">
      <c r="A39" s="2"/>
      <c r="B39" s="58" t="s">
        <v>51</v>
      </c>
      <c r="C39" s="58"/>
      <c r="D39" s="64">
        <f>O42</f>
        <v>206080314.2</v>
      </c>
      <c r="E39" s="2"/>
      <c r="F39" s="58" t="s">
        <v>51</v>
      </c>
      <c r="G39" s="58"/>
      <c r="H39" s="64">
        <f>P42</f>
        <v>114376989.1</v>
      </c>
      <c r="I39" s="2"/>
      <c r="J39" s="2"/>
      <c r="K39" s="2" t="s">
        <v>67</v>
      </c>
      <c r="L39" s="35">
        <f t="shared" ref="L39:AA39" si="25">L40/$L$40</f>
        <v>1</v>
      </c>
      <c r="M39" s="83">
        <f t="shared" si="25"/>
        <v>0.1553854969</v>
      </c>
      <c r="N39" s="84">
        <f t="shared" si="25"/>
        <v>0.1226465971</v>
      </c>
      <c r="O39" s="83">
        <f t="shared" si="25"/>
        <v>0.5003157338</v>
      </c>
      <c r="P39" s="84">
        <f t="shared" si="25"/>
        <v>0.2044128596</v>
      </c>
      <c r="Q39" s="83">
        <f t="shared" si="25"/>
        <v>0.007547527859</v>
      </c>
      <c r="R39" s="84">
        <f t="shared" si="25"/>
        <v>0.002573380121</v>
      </c>
      <c r="S39" s="83">
        <f t="shared" si="25"/>
        <v>0.0008442392995</v>
      </c>
      <c r="T39" s="84">
        <f t="shared" si="25"/>
        <v>0.00219514343</v>
      </c>
      <c r="U39" s="83">
        <f t="shared" si="25"/>
        <v>0.0001737871255</v>
      </c>
      <c r="V39" s="84">
        <f t="shared" si="25"/>
        <v>0.003652500635</v>
      </c>
      <c r="W39" s="83">
        <f t="shared" si="25"/>
        <v>0.0000854537732</v>
      </c>
      <c r="X39" s="85">
        <f t="shared" si="25"/>
        <v>0.0001672804637</v>
      </c>
      <c r="Y39" s="83">
        <f t="shared" si="25"/>
        <v>0</v>
      </c>
      <c r="Z39" s="85">
        <f t="shared" si="25"/>
        <v>0</v>
      </c>
      <c r="AA39" s="84">
        <f t="shared" si="25"/>
        <v>0</v>
      </c>
      <c r="AB39" s="5"/>
      <c r="AD39" s="22" t="s">
        <v>27</v>
      </c>
      <c r="AE39" s="23">
        <f t="shared" si="19"/>
        <v>1274528</v>
      </c>
      <c r="AF39" s="81">
        <v>0.0</v>
      </c>
      <c r="AG39" s="63">
        <f t="shared" si="20"/>
        <v>0</v>
      </c>
      <c r="AH39" s="46"/>
      <c r="AI39" s="82">
        <f>G91</f>
        <v>0.1</v>
      </c>
      <c r="AJ39" s="63">
        <f t="shared" si="21"/>
        <v>0</v>
      </c>
      <c r="AK39" s="63">
        <f t="shared" si="22"/>
        <v>-1</v>
      </c>
      <c r="AL39" s="46"/>
      <c r="AM39" s="46"/>
      <c r="AN39" s="5"/>
    </row>
    <row r="40">
      <c r="A40" s="2"/>
      <c r="B40" s="2" t="s">
        <v>52</v>
      </c>
      <c r="C40" s="2"/>
      <c r="D40" s="30">
        <f>D34/$C$1</f>
        <v>11172678.23</v>
      </c>
      <c r="E40" s="2"/>
      <c r="F40" s="2" t="s">
        <v>52</v>
      </c>
      <c r="G40" s="2"/>
      <c r="H40" s="30">
        <f>H34/$C$1</f>
        <v>4564795.692</v>
      </c>
      <c r="I40" s="2"/>
      <c r="J40" s="2"/>
      <c r="K40" s="2" t="s">
        <v>68</v>
      </c>
      <c r="L40" s="76">
        <f t="shared" ref="L40:AA40" si="26">L35/$C$1*$G$1</f>
        <v>692268905</v>
      </c>
      <c r="M40" s="30">
        <f t="shared" si="26"/>
        <v>107568547.8</v>
      </c>
      <c r="N40" s="30">
        <f t="shared" si="26"/>
        <v>84904425.47</v>
      </c>
      <c r="O40" s="30">
        <f t="shared" si="26"/>
        <v>346353025.2</v>
      </c>
      <c r="P40" s="30">
        <f t="shared" si="26"/>
        <v>141508666.5</v>
      </c>
      <c r="Q40" s="30">
        <f t="shared" si="26"/>
        <v>5224918.846</v>
      </c>
      <c r="R40" s="30">
        <f t="shared" si="26"/>
        <v>1781471.038</v>
      </c>
      <c r="S40" s="30">
        <f t="shared" si="26"/>
        <v>584440.6154</v>
      </c>
      <c r="T40" s="30">
        <f t="shared" si="26"/>
        <v>1519629.538</v>
      </c>
      <c r="U40" s="30">
        <f t="shared" si="26"/>
        <v>120307.4231</v>
      </c>
      <c r="V40" s="30">
        <f t="shared" si="26"/>
        <v>2528512.615</v>
      </c>
      <c r="W40" s="30">
        <f t="shared" si="26"/>
        <v>59156.99</v>
      </c>
      <c r="X40" s="30">
        <f t="shared" si="26"/>
        <v>115803.0635</v>
      </c>
      <c r="Y40" s="30">
        <f t="shared" si="26"/>
        <v>0</v>
      </c>
      <c r="Z40" s="30">
        <f t="shared" si="26"/>
        <v>0</v>
      </c>
      <c r="AA40" s="30">
        <f t="shared" si="26"/>
        <v>0</v>
      </c>
      <c r="AB40" s="5"/>
      <c r="AC40" s="44" t="s">
        <v>37</v>
      </c>
      <c r="AD40" s="22" t="s">
        <v>19</v>
      </c>
      <c r="AE40" s="23">
        <f t="shared" si="19"/>
        <v>100903</v>
      </c>
      <c r="AF40" s="81">
        <v>0.0</v>
      </c>
      <c r="AG40" s="63">
        <f t="shared" si="20"/>
        <v>0</v>
      </c>
      <c r="AH40" s="46"/>
      <c r="AI40" s="82">
        <v>0.0</v>
      </c>
      <c r="AJ40" s="63">
        <f t="shared" si="21"/>
        <v>0</v>
      </c>
      <c r="AK40" s="63" t="str">
        <f t="shared" si="22"/>
        <v>#DIV/0!</v>
      </c>
      <c r="AL40" s="46"/>
      <c r="AM40" s="46"/>
      <c r="AN40" s="5"/>
    </row>
    <row r="41">
      <c r="A41" s="2"/>
      <c r="B41" s="2" t="s">
        <v>53</v>
      </c>
      <c r="C41" s="2"/>
      <c r="D41" s="30">
        <f>D39/$G$1*$C$1</f>
        <v>172841553.8</v>
      </c>
      <c r="E41" s="2"/>
      <c r="F41" s="2" t="s">
        <v>53</v>
      </c>
      <c r="G41" s="2"/>
      <c r="H41" s="30">
        <f>H39/$G$1*$C$1</f>
        <v>95929087.66</v>
      </c>
      <c r="I41" s="2"/>
      <c r="J41" s="2"/>
      <c r="K41" s="2" t="s">
        <v>52</v>
      </c>
      <c r="L41" s="76">
        <f t="shared" ref="L41:AA41" si="27">L35/$C$1</f>
        <v>22331255</v>
      </c>
      <c r="M41" s="30">
        <f t="shared" si="27"/>
        <v>3469953.154</v>
      </c>
      <c r="N41" s="30">
        <f t="shared" si="27"/>
        <v>2738852.435</v>
      </c>
      <c r="O41" s="30">
        <f t="shared" si="27"/>
        <v>11172678.23</v>
      </c>
      <c r="P41" s="30">
        <f t="shared" si="27"/>
        <v>4564795.692</v>
      </c>
      <c r="Q41" s="30">
        <f t="shared" si="27"/>
        <v>168545.7692</v>
      </c>
      <c r="R41" s="30">
        <f t="shared" si="27"/>
        <v>57466.80769</v>
      </c>
      <c r="S41" s="30">
        <f t="shared" si="27"/>
        <v>18852.92308</v>
      </c>
      <c r="T41" s="30">
        <f t="shared" si="27"/>
        <v>49020.30769</v>
      </c>
      <c r="U41" s="30">
        <f t="shared" si="27"/>
        <v>3880.884615</v>
      </c>
      <c r="V41" s="30">
        <f t="shared" si="27"/>
        <v>81564.92308</v>
      </c>
      <c r="W41" s="30">
        <f t="shared" si="27"/>
        <v>1908.29</v>
      </c>
      <c r="X41" s="30">
        <f t="shared" si="27"/>
        <v>3735.582692</v>
      </c>
      <c r="Y41" s="30">
        <f t="shared" si="27"/>
        <v>0</v>
      </c>
      <c r="Z41" s="30">
        <f t="shared" si="27"/>
        <v>0</v>
      </c>
      <c r="AA41" s="30">
        <f t="shared" si="27"/>
        <v>0</v>
      </c>
      <c r="AB41" s="5"/>
      <c r="AD41" s="22" t="s">
        <v>27</v>
      </c>
      <c r="AE41" s="23">
        <f t="shared" si="19"/>
        <v>2120688</v>
      </c>
      <c r="AF41" s="81">
        <v>0.0</v>
      </c>
      <c r="AG41" s="63">
        <f t="shared" si="20"/>
        <v>0</v>
      </c>
      <c r="AH41" s="46"/>
      <c r="AI41" s="82">
        <v>0.0</v>
      </c>
      <c r="AJ41" s="63">
        <f t="shared" si="21"/>
        <v>0</v>
      </c>
      <c r="AK41" s="63" t="str">
        <f t="shared" si="22"/>
        <v>#DIV/0!</v>
      </c>
      <c r="AL41" s="46"/>
      <c r="AM41" s="46"/>
      <c r="AN41" s="5"/>
    </row>
    <row r="42">
      <c r="A42" s="2"/>
      <c r="B42" s="2" t="s">
        <v>54</v>
      </c>
      <c r="C42" s="2"/>
      <c r="D42" s="30">
        <f>(D39-D34)/($G$1-$C$1)</f>
        <v>-16881863.97</v>
      </c>
      <c r="E42" s="2"/>
      <c r="F42" s="2" t="s">
        <v>54</v>
      </c>
      <c r="G42" s="2"/>
      <c r="H42" s="30">
        <f>(H39-H34)/($G$1-$C$1)</f>
        <v>-861539.774</v>
      </c>
      <c r="I42" s="2"/>
      <c r="J42" s="2"/>
      <c r="K42" s="2" t="s">
        <v>69</v>
      </c>
      <c r="L42" s="76">
        <f>SUM(M42:V42)</f>
        <v>519172084.5</v>
      </c>
      <c r="M42" s="30">
        <f>'Февраль 26'!M35</f>
        <v>105053826</v>
      </c>
      <c r="N42" s="30">
        <f>'Февраль 26'!N35</f>
        <v>84254055.2</v>
      </c>
      <c r="O42" s="30">
        <f>'Февраль 26'!O35</f>
        <v>206080314.2</v>
      </c>
      <c r="P42" s="30">
        <f>'Февраль 26'!P35</f>
        <v>114376989.1</v>
      </c>
      <c r="Q42" s="30">
        <f>'Февраль 26'!Q35</f>
        <v>3069853</v>
      </c>
      <c r="R42" s="30">
        <f>'Февраль 26'!R35</f>
        <v>2257611</v>
      </c>
      <c r="S42" s="30">
        <f>'Февраль 26'!S35</f>
        <v>619304</v>
      </c>
      <c r="T42" s="30">
        <f>'Февраль 26'!T35</f>
        <v>1719666</v>
      </c>
      <c r="U42" s="30">
        <f>'Февраль 26'!U35</f>
        <v>141359</v>
      </c>
      <c r="V42" s="30">
        <f>'Февраль 26'!V35</f>
        <v>1599107</v>
      </c>
      <c r="W42" s="30">
        <f>'Февраль 26'!W35</f>
        <v>76644.47</v>
      </c>
      <c r="X42" s="30">
        <f>'Февраль 26'!X35</f>
        <v>121963.66</v>
      </c>
      <c r="Y42" s="30">
        <f>'Февраль 26'!Y35</f>
        <v>0</v>
      </c>
      <c r="Z42" s="30">
        <f>'Февраль 26'!Z35</f>
        <v>0</v>
      </c>
      <c r="AA42" s="30">
        <f>'Февраль 26'!AA35</f>
        <v>0</v>
      </c>
      <c r="AB42" s="5"/>
      <c r="AC42" s="5"/>
      <c r="AD42" s="5"/>
      <c r="AE42" s="52">
        <f t="shared" ref="AE42:AF42" si="28">SUM(AE32:AE41)</f>
        <v>580465889.3</v>
      </c>
      <c r="AF42" s="52">
        <f t="shared" si="28"/>
        <v>18277235</v>
      </c>
      <c r="AG42" s="69">
        <f t="shared" si="20"/>
        <v>0.03148718183</v>
      </c>
      <c r="AH42" s="46"/>
      <c r="AI42" s="69">
        <f>F142</f>
        <v>0.09632702796</v>
      </c>
      <c r="AJ42" s="69">
        <f t="shared" si="21"/>
        <v>0.03148718183</v>
      </c>
      <c r="AK42" s="69">
        <f t="shared" si="22"/>
        <v>-0.6731220459</v>
      </c>
      <c r="AL42" s="5"/>
      <c r="AM42" s="5"/>
      <c r="AN42" s="5"/>
    </row>
    <row r="43">
      <c r="A43" s="2"/>
      <c r="B43" s="2" t="s">
        <v>55</v>
      </c>
      <c r="C43" s="2"/>
      <c r="D43" s="30">
        <f>D34-D41</f>
        <v>117648080.2</v>
      </c>
      <c r="E43" s="2"/>
      <c r="F43" s="2" t="s">
        <v>55</v>
      </c>
      <c r="G43" s="2"/>
      <c r="H43" s="30">
        <f>H34-H41</f>
        <v>22755600.34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5"/>
      <c r="AC43" s="46"/>
      <c r="AD43" s="46"/>
      <c r="AE43" s="46"/>
      <c r="AF43" s="46"/>
      <c r="AG43" s="46"/>
      <c r="AH43" s="46"/>
      <c r="AI43" s="46"/>
      <c r="AJ43" s="46"/>
      <c r="AK43" s="46"/>
      <c r="AL43" s="55"/>
      <c r="AM43" s="55"/>
      <c r="AN43" s="5"/>
    </row>
    <row r="44">
      <c r="A44" s="2"/>
      <c r="B44" s="2" t="s">
        <v>56</v>
      </c>
      <c r="C44" s="2"/>
      <c r="D44" s="30">
        <f>D34/$C$1*$G$1</f>
        <v>346353025.2</v>
      </c>
      <c r="E44" s="2"/>
      <c r="F44" s="2" t="s">
        <v>56</v>
      </c>
      <c r="G44" s="2"/>
      <c r="H44" s="30">
        <f>H34/$C$1*$G$1</f>
        <v>141508666.5</v>
      </c>
      <c r="I44" s="2"/>
      <c r="J44" s="2"/>
      <c r="K44" s="44" t="s">
        <v>70</v>
      </c>
      <c r="L44" s="45">
        <f>SUM(M44:X44)</f>
        <v>38730395.57</v>
      </c>
      <c r="M44" s="45">
        <f>C15</f>
        <v>8020366</v>
      </c>
      <c r="N44" s="45">
        <f>G15</f>
        <v>9455466</v>
      </c>
      <c r="O44" s="45">
        <f>C33</f>
        <v>12943367.9</v>
      </c>
      <c r="P44" s="45">
        <f>G33</f>
        <v>7451619.7</v>
      </c>
      <c r="Q44" s="45">
        <f>C72</f>
        <v>530991</v>
      </c>
      <c r="R44" s="45">
        <f>G72</f>
        <v>270412</v>
      </c>
      <c r="S44" s="45">
        <f>C88</f>
        <v>13460.13</v>
      </c>
      <c r="T44" s="45">
        <f>G88</f>
        <v>44712.84</v>
      </c>
      <c r="U44" s="81">
        <v>0.0</v>
      </c>
      <c r="V44" s="81">
        <v>0.0</v>
      </c>
      <c r="W44" s="81">
        <v>0.0</v>
      </c>
      <c r="X44" s="81">
        <v>0.0</v>
      </c>
      <c r="Y44" s="81">
        <v>0.0</v>
      </c>
      <c r="Z44" s="81">
        <v>0.0</v>
      </c>
      <c r="AA44" s="81">
        <v>0.0</v>
      </c>
      <c r="AB44" s="5"/>
      <c r="AC44" s="72" t="s">
        <v>71</v>
      </c>
      <c r="AE44" s="14" t="s">
        <v>17</v>
      </c>
      <c r="AF44" s="14" t="s">
        <v>61</v>
      </c>
      <c r="AG44" s="14" t="s">
        <v>62</v>
      </c>
      <c r="AH44" s="24"/>
      <c r="AI44" s="73" t="s">
        <v>63</v>
      </c>
      <c r="AJ44" s="73" t="s">
        <v>64</v>
      </c>
      <c r="AK44" s="14" t="s">
        <v>48</v>
      </c>
      <c r="AL44" s="5"/>
      <c r="AM44" s="5"/>
      <c r="AN44" s="5"/>
    </row>
    <row r="45">
      <c r="A45" s="2"/>
      <c r="B45" s="66" t="s">
        <v>57</v>
      </c>
      <c r="C45" s="66"/>
      <c r="D45" s="67">
        <f>D44/D39</f>
        <v>1.680670114</v>
      </c>
      <c r="E45" s="2"/>
      <c r="F45" s="66" t="s">
        <v>57</v>
      </c>
      <c r="G45" s="66"/>
      <c r="H45" s="67">
        <f>H44/H39</f>
        <v>1.237212726</v>
      </c>
      <c r="I45" s="2"/>
      <c r="J45" s="2"/>
      <c r="K45" s="44" t="s">
        <v>72</v>
      </c>
      <c r="L45" s="82">
        <f>L44/L35</f>
        <v>0.06670608521</v>
      </c>
      <c r="M45" s="82">
        <f t="shared" ref="M45:AA45" si="29">IFERROR(M44/M35, " ")</f>
        <v>0.08889907204</v>
      </c>
      <c r="N45" s="82">
        <f t="shared" si="29"/>
        <v>0.132782535</v>
      </c>
      <c r="O45" s="82">
        <f t="shared" si="29"/>
        <v>0.04455707325</v>
      </c>
      <c r="P45" s="82">
        <f t="shared" si="29"/>
        <v>0.06278501318</v>
      </c>
      <c r="Q45" s="82">
        <f t="shared" si="29"/>
        <v>0.1211702368</v>
      </c>
      <c r="R45" s="82">
        <f t="shared" si="29"/>
        <v>0.1809820652</v>
      </c>
      <c r="S45" s="82">
        <f t="shared" si="29"/>
        <v>0.02745978995</v>
      </c>
      <c r="T45" s="82">
        <f t="shared" si="29"/>
        <v>0.03508188129</v>
      </c>
      <c r="U45" s="82">
        <f t="shared" si="29"/>
        <v>0</v>
      </c>
      <c r="V45" s="82">
        <f t="shared" si="29"/>
        <v>0</v>
      </c>
      <c r="W45" s="82">
        <f t="shared" si="29"/>
        <v>0</v>
      </c>
      <c r="X45" s="82">
        <f t="shared" si="29"/>
        <v>0</v>
      </c>
      <c r="Y45" s="82" t="str">
        <f t="shared" si="29"/>
        <v> </v>
      </c>
      <c r="Z45" s="82" t="str">
        <f t="shared" si="29"/>
        <v> </v>
      </c>
      <c r="AA45" s="82" t="str">
        <f t="shared" si="29"/>
        <v> </v>
      </c>
      <c r="AB45" s="5"/>
      <c r="AC45" s="21" t="s">
        <v>24</v>
      </c>
      <c r="AD45" s="22" t="s">
        <v>19</v>
      </c>
      <c r="AE45" s="23">
        <f t="shared" ref="AE45:AE54" si="30">AE32</f>
        <v>290489634</v>
      </c>
      <c r="AF45" s="23">
        <f>C33</f>
        <v>12943367.9</v>
      </c>
      <c r="AG45" s="63">
        <f t="shared" ref="AG45:AG55" si="31">AF45/AE45</f>
        <v>0.04455707325</v>
      </c>
      <c r="AH45" s="24"/>
      <c r="AI45" s="63">
        <f t="shared" ref="AI45:AI55" si="32">AI32</f>
        <v>0.08</v>
      </c>
      <c r="AJ45" s="63">
        <f t="shared" ref="AJ45:AJ55" si="33">AG45</f>
        <v>0.04455707325</v>
      </c>
      <c r="AK45" s="63">
        <f t="shared" ref="AK45:AK55" si="34">AJ45/AI45-1</f>
        <v>-0.4430365844</v>
      </c>
      <c r="AL45" s="5"/>
      <c r="AM45" s="5"/>
      <c r="AN45" s="5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5"/>
      <c r="AD46" s="22" t="s">
        <v>27</v>
      </c>
      <c r="AE46" s="23">
        <f t="shared" si="30"/>
        <v>118684688</v>
      </c>
      <c r="AF46" s="23">
        <f>G33</f>
        <v>7451619.7</v>
      </c>
      <c r="AG46" s="63">
        <f t="shared" si="31"/>
        <v>0.06278501318</v>
      </c>
      <c r="AH46" s="24"/>
      <c r="AI46" s="63">
        <f t="shared" si="32"/>
        <v>0.08</v>
      </c>
      <c r="AJ46" s="63">
        <f t="shared" si="33"/>
        <v>0.06278501318</v>
      </c>
      <c r="AK46" s="63">
        <f t="shared" si="34"/>
        <v>-0.2151873353</v>
      </c>
      <c r="AL46" s="55"/>
      <c r="AM46" s="55"/>
      <c r="AN46" s="5"/>
    </row>
    <row r="47">
      <c r="A47" s="2"/>
      <c r="B47" s="68" t="s">
        <v>73</v>
      </c>
      <c r="C47" s="17"/>
      <c r="D47" s="17"/>
      <c r="E47" s="17"/>
      <c r="F47" s="17"/>
      <c r="G47" s="17"/>
      <c r="H47" s="18"/>
      <c r="I47" s="2"/>
      <c r="J47" s="2"/>
      <c r="K47" s="2" t="s">
        <v>74</v>
      </c>
      <c r="L47" s="35">
        <f t="shared" ref="L47:AA47" si="35">L40/L42-1</f>
        <v>0.3334093371</v>
      </c>
      <c r="M47" s="86">
        <f t="shared" si="35"/>
        <v>0.02393746011</v>
      </c>
      <c r="N47" s="87">
        <f t="shared" si="35"/>
        <v>0.007719156918</v>
      </c>
      <c r="O47" s="86">
        <f t="shared" si="35"/>
        <v>0.6806701144</v>
      </c>
      <c r="P47" s="87">
        <f t="shared" si="35"/>
        <v>0.2372127255</v>
      </c>
      <c r="Q47" s="86">
        <f t="shared" si="35"/>
        <v>0.7020094598</v>
      </c>
      <c r="R47" s="87">
        <f t="shared" si="35"/>
        <v>-0.2109043416</v>
      </c>
      <c r="S47" s="86">
        <f t="shared" si="35"/>
        <v>-0.05629446058</v>
      </c>
      <c r="T47" s="87">
        <f t="shared" si="35"/>
        <v>-0.1163228566</v>
      </c>
      <c r="U47" s="86">
        <f t="shared" si="35"/>
        <v>-0.1489227918</v>
      </c>
      <c r="V47" s="87">
        <f t="shared" si="35"/>
        <v>0.5812028935</v>
      </c>
      <c r="W47" s="86">
        <f t="shared" si="35"/>
        <v>-0.2281636235</v>
      </c>
      <c r="X47" s="88">
        <f t="shared" si="35"/>
        <v>-0.05051173881</v>
      </c>
      <c r="Y47" s="86" t="str">
        <f t="shared" si="35"/>
        <v>#DIV/0!</v>
      </c>
      <c r="Z47" s="88" t="str">
        <f t="shared" si="35"/>
        <v>#DIV/0!</v>
      </c>
      <c r="AA47" s="87" t="str">
        <f t="shared" si="35"/>
        <v>#DIV/0!</v>
      </c>
      <c r="AB47" s="5"/>
      <c r="AC47" s="21" t="s">
        <v>18</v>
      </c>
      <c r="AD47" s="22" t="s">
        <v>19</v>
      </c>
      <c r="AE47" s="23">
        <f t="shared" si="30"/>
        <v>90218782</v>
      </c>
      <c r="AF47" s="23">
        <f t="shared" ref="AF47:AF54" si="36">AF34</f>
        <v>8020366</v>
      </c>
      <c r="AG47" s="63">
        <f t="shared" si="31"/>
        <v>0.08889907204</v>
      </c>
      <c r="AH47" s="24"/>
      <c r="AI47" s="63">
        <f t="shared" si="32"/>
        <v>0.15</v>
      </c>
      <c r="AJ47" s="63">
        <f t="shared" si="33"/>
        <v>0.08889907204</v>
      </c>
      <c r="AK47" s="63">
        <f t="shared" si="34"/>
        <v>-0.4073395198</v>
      </c>
      <c r="AL47" s="55"/>
      <c r="AM47" s="55"/>
      <c r="AN47" s="5"/>
    </row>
    <row r="48">
      <c r="A48" s="2"/>
      <c r="B48" s="70" t="str">
        <f>B30</f>
        <v>Биг–Л / Март | до </v>
      </c>
      <c r="C48" s="17"/>
      <c r="D48" s="28">
        <f>$D$4</f>
        <v>46107</v>
      </c>
      <c r="E48" s="2"/>
      <c r="F48" s="70" t="str">
        <f>F30</f>
        <v>Смарт/ Март| до </v>
      </c>
      <c r="G48" s="17"/>
      <c r="H48" s="28">
        <f>$D$4</f>
        <v>46107</v>
      </c>
      <c r="I48" s="2"/>
      <c r="J48" s="2"/>
      <c r="K48" s="19" t="s">
        <v>75</v>
      </c>
      <c r="M48" s="89">
        <f>SUM(M40:N40)/SUM(M42:N42)-1</f>
        <v>0.01671928301</v>
      </c>
      <c r="N48" s="90"/>
      <c r="O48" s="89">
        <f>SUM(O40:P40)/SUM(O42:P42)-1</f>
        <v>0.5223921771</v>
      </c>
      <c r="P48" s="90"/>
      <c r="Q48" s="89">
        <f>SUM(Q40:R40)/SUM(Q42:R42)-1</f>
        <v>0.3151454209</v>
      </c>
      <c r="R48" s="90"/>
      <c r="S48" s="89">
        <f>SUM(S40:T40)/SUM(S42:T42)-1</f>
        <v>-0.1004287555</v>
      </c>
      <c r="T48" s="90"/>
      <c r="U48" s="89">
        <f>SUM(U40:V40)/SUM(U42:V42)-1</f>
        <v>0.5219027769</v>
      </c>
      <c r="V48" s="90"/>
      <c r="W48" s="89">
        <f>SUM(W40:X40)/SUM(W42:X42)-1</f>
        <v>-0.1190690257</v>
      </c>
      <c r="X48" s="90"/>
      <c r="Y48" s="91" t="str">
        <f>SUM(Y40:AA40)/SUM(Y42:AA42)-1</f>
        <v>#DIV/0!</v>
      </c>
      <c r="AA48" s="92"/>
      <c r="AB48" s="5"/>
      <c r="AD48" s="22" t="s">
        <v>27</v>
      </c>
      <c r="AE48" s="23">
        <f t="shared" si="30"/>
        <v>71210163.3</v>
      </c>
      <c r="AF48" s="23">
        <f t="shared" si="36"/>
        <v>9455466</v>
      </c>
      <c r="AG48" s="63">
        <f t="shared" si="31"/>
        <v>0.132782535</v>
      </c>
      <c r="AH48" s="24"/>
      <c r="AI48" s="63">
        <f t="shared" si="32"/>
        <v>0.13</v>
      </c>
      <c r="AJ48" s="63">
        <f t="shared" si="33"/>
        <v>0.132782535</v>
      </c>
      <c r="AK48" s="63">
        <f t="shared" si="34"/>
        <v>0.0214041153</v>
      </c>
      <c r="AL48" s="55"/>
      <c r="AM48" s="55"/>
      <c r="AN48" s="5"/>
    </row>
    <row r="49">
      <c r="A49" s="35">
        <f t="shared" ref="A49:A50" si="38">IFERROR(C49/$C$33, " ")</f>
        <v>0</v>
      </c>
      <c r="B49" s="41" t="s">
        <v>59</v>
      </c>
      <c r="C49" s="31"/>
      <c r="D49" s="71"/>
      <c r="E49" s="2"/>
      <c r="F49" s="41" t="s">
        <v>59</v>
      </c>
      <c r="G49" s="31"/>
      <c r="H49" s="53"/>
      <c r="I49" s="35">
        <f t="shared" ref="I49:I50" si="39">IFERROR(G49/$G$33, " ")</f>
        <v>0</v>
      </c>
      <c r="J49" s="2"/>
      <c r="K49" s="2" t="s">
        <v>76</v>
      </c>
      <c r="L49" s="30">
        <f t="shared" ref="L49:AA49" si="37">L40-L42</f>
        <v>173096820.5</v>
      </c>
      <c r="M49" s="93">
        <f t="shared" si="37"/>
        <v>2514721.769</v>
      </c>
      <c r="N49" s="94">
        <f t="shared" si="37"/>
        <v>650370.2731</v>
      </c>
      <c r="O49" s="93">
        <f t="shared" si="37"/>
        <v>140272711</v>
      </c>
      <c r="P49" s="94">
        <f t="shared" si="37"/>
        <v>27131677.33</v>
      </c>
      <c r="Q49" s="93">
        <f t="shared" si="37"/>
        <v>2155065.846</v>
      </c>
      <c r="R49" s="94">
        <f t="shared" si="37"/>
        <v>-476139.9615</v>
      </c>
      <c r="S49" s="95">
        <f t="shared" si="37"/>
        <v>-34863.38462</v>
      </c>
      <c r="T49" s="54">
        <f t="shared" si="37"/>
        <v>-200036.4615</v>
      </c>
      <c r="U49" s="95">
        <f t="shared" si="37"/>
        <v>-21051.57692</v>
      </c>
      <c r="V49" s="54">
        <f t="shared" si="37"/>
        <v>929405.6154</v>
      </c>
      <c r="W49" s="95">
        <f t="shared" si="37"/>
        <v>-17487.48</v>
      </c>
      <c r="X49" s="30">
        <f t="shared" si="37"/>
        <v>-6160.596538</v>
      </c>
      <c r="Y49" s="93">
        <f t="shared" si="37"/>
        <v>0</v>
      </c>
      <c r="Z49" s="96">
        <f t="shared" si="37"/>
        <v>0</v>
      </c>
      <c r="AA49" s="94">
        <f t="shared" si="37"/>
        <v>0</v>
      </c>
      <c r="AB49" s="5"/>
      <c r="AC49" s="21" t="s">
        <v>31</v>
      </c>
      <c r="AD49" s="22" t="s">
        <v>19</v>
      </c>
      <c r="AE49" s="23">
        <f t="shared" si="30"/>
        <v>4382190</v>
      </c>
      <c r="AF49" s="23">
        <f t="shared" si="36"/>
        <v>530991</v>
      </c>
      <c r="AG49" s="63">
        <f t="shared" si="31"/>
        <v>0.1211702368</v>
      </c>
      <c r="AH49" s="24"/>
      <c r="AI49" s="63" t="str">
        <f t="shared" si="32"/>
        <v/>
      </c>
      <c r="AJ49" s="63">
        <f t="shared" si="33"/>
        <v>0.1211702368</v>
      </c>
      <c r="AK49" s="63" t="str">
        <f t="shared" si="34"/>
        <v>#DIV/0!</v>
      </c>
      <c r="AL49" s="55"/>
      <c r="AM49" s="55"/>
      <c r="AN49" s="5"/>
    </row>
    <row r="50">
      <c r="A50" s="35">
        <f t="shared" si="38"/>
        <v>0</v>
      </c>
      <c r="B50" s="41" t="s">
        <v>77</v>
      </c>
      <c r="C50" s="32"/>
      <c r="D50" s="40"/>
      <c r="E50" s="2"/>
      <c r="F50" s="41" t="s">
        <v>77</v>
      </c>
      <c r="G50" s="32"/>
      <c r="H50" s="53"/>
      <c r="I50" s="35">
        <f t="shared" si="39"/>
        <v>0</v>
      </c>
      <c r="J50" s="2"/>
      <c r="K50" s="19" t="s">
        <v>78</v>
      </c>
      <c r="M50" s="97">
        <f>SUM(M40:N40)-SUM(M42:N42)</f>
        <v>3165092.042</v>
      </c>
      <c r="N50" s="90"/>
      <c r="O50" s="97">
        <f>SUM(O40:P40)-SUM(O42:P42)</f>
        <v>167404388.3</v>
      </c>
      <c r="P50" s="90"/>
      <c r="Q50" s="97">
        <f>SUM(Q40:R40)-SUM(Q42:R42)</f>
        <v>1678925.885</v>
      </c>
      <c r="R50" s="90"/>
      <c r="S50" s="97">
        <f>SUM(S40:T40)-SUM(S42:T42)</f>
        <v>-234899.8462</v>
      </c>
      <c r="T50" s="90"/>
      <c r="U50" s="97">
        <f>SUM(U40:V40)-SUM(U42:V42)</f>
        <v>908354.0385</v>
      </c>
      <c r="V50" s="90"/>
      <c r="W50" s="97">
        <f>SUM(W40:X40)-SUM(W42:X42)</f>
        <v>-23648.07654</v>
      </c>
      <c r="X50" s="90"/>
      <c r="Y50" s="97">
        <f>SUM(Y40:AA40)-SUM(Y42:AA42)</f>
        <v>0</v>
      </c>
      <c r="Z50" s="98"/>
      <c r="AA50" s="90"/>
      <c r="AB50" s="5"/>
      <c r="AD50" s="22" t="s">
        <v>27</v>
      </c>
      <c r="AE50" s="23">
        <f t="shared" si="30"/>
        <v>1494137</v>
      </c>
      <c r="AF50" s="23">
        <f t="shared" si="36"/>
        <v>270412</v>
      </c>
      <c r="AG50" s="63">
        <f t="shared" si="31"/>
        <v>0.1809820652</v>
      </c>
      <c r="AH50" s="24"/>
      <c r="AI50" s="63" t="str">
        <f t="shared" si="32"/>
        <v/>
      </c>
      <c r="AJ50" s="63">
        <f t="shared" si="33"/>
        <v>0.1809820652</v>
      </c>
      <c r="AK50" s="63" t="str">
        <f t="shared" si="34"/>
        <v>#DIV/0!</v>
      </c>
      <c r="AL50" s="55"/>
      <c r="AM50" s="55"/>
      <c r="AN50" s="5"/>
    </row>
    <row r="51">
      <c r="A51" s="2"/>
      <c r="B51" s="41" t="s">
        <v>42</v>
      </c>
      <c r="C51" s="32">
        <f>SUM(C49:C50)</f>
        <v>0</v>
      </c>
      <c r="D51" s="40"/>
      <c r="E51" s="2"/>
      <c r="F51" s="41" t="s">
        <v>42</v>
      </c>
      <c r="G51" s="32">
        <f>SUM(G49:G50)</f>
        <v>0</v>
      </c>
      <c r="H51" s="40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5"/>
      <c r="AC51" s="44" t="s">
        <v>34</v>
      </c>
      <c r="AD51" s="22" t="s">
        <v>19</v>
      </c>
      <c r="AE51" s="23">
        <f t="shared" si="30"/>
        <v>490176</v>
      </c>
      <c r="AF51" s="23">
        <f t="shared" si="36"/>
        <v>0</v>
      </c>
      <c r="AG51" s="63">
        <f t="shared" si="31"/>
        <v>0</v>
      </c>
      <c r="AH51" s="46"/>
      <c r="AI51" s="63">
        <f t="shared" si="32"/>
        <v>0.1</v>
      </c>
      <c r="AJ51" s="63">
        <f t="shared" si="33"/>
        <v>0</v>
      </c>
      <c r="AK51" s="63">
        <f t="shared" si="34"/>
        <v>-1</v>
      </c>
      <c r="AL51" s="46"/>
      <c r="AM51" s="46"/>
      <c r="AN51" s="5"/>
    </row>
    <row r="52">
      <c r="A52" s="2"/>
      <c r="B52" s="41" t="s">
        <v>43</v>
      </c>
      <c r="C52" s="4"/>
      <c r="D52" s="54">
        <f>O35</f>
        <v>290489634</v>
      </c>
      <c r="E52" s="2"/>
      <c r="F52" s="41" t="s">
        <v>43</v>
      </c>
      <c r="G52" s="4"/>
      <c r="H52" s="54">
        <f>P35</f>
        <v>118684688</v>
      </c>
      <c r="I52" s="2"/>
      <c r="J52" s="2"/>
      <c r="K52" s="2" t="s">
        <v>79</v>
      </c>
      <c r="L52" s="99">
        <v>7.0E8</v>
      </c>
      <c r="M52" s="30">
        <f t="shared" ref="M52:AA52" si="40">$L$52*M36</f>
        <v>108769847.8</v>
      </c>
      <c r="N52" s="30">
        <f t="shared" si="40"/>
        <v>85852617.97</v>
      </c>
      <c r="O52" s="30">
        <f t="shared" si="40"/>
        <v>350221013.6</v>
      </c>
      <c r="P52" s="30">
        <f t="shared" si="40"/>
        <v>143089001.7</v>
      </c>
      <c r="Q52" s="30">
        <f t="shared" si="40"/>
        <v>5283269.501</v>
      </c>
      <c r="R52" s="30">
        <f t="shared" si="40"/>
        <v>1801366.085</v>
      </c>
      <c r="S52" s="30">
        <f t="shared" si="40"/>
        <v>590967.5096</v>
      </c>
      <c r="T52" s="30">
        <f t="shared" si="40"/>
        <v>1536600.401</v>
      </c>
      <c r="U52" s="30">
        <f t="shared" si="40"/>
        <v>121650.9879</v>
      </c>
      <c r="V52" s="30">
        <f t="shared" si="40"/>
        <v>2556750.445</v>
      </c>
      <c r="W52" s="30">
        <f t="shared" si="40"/>
        <v>59817.64124</v>
      </c>
      <c r="X52" s="30">
        <f t="shared" si="40"/>
        <v>117096.3246</v>
      </c>
      <c r="Y52" s="30">
        <f t="shared" si="40"/>
        <v>0</v>
      </c>
      <c r="Z52" s="30">
        <f t="shared" si="40"/>
        <v>0</v>
      </c>
      <c r="AA52" s="30">
        <f t="shared" si="40"/>
        <v>0</v>
      </c>
      <c r="AB52" s="5"/>
      <c r="AD52" s="22" t="s">
        <v>27</v>
      </c>
      <c r="AE52" s="23">
        <f t="shared" si="30"/>
        <v>1274528</v>
      </c>
      <c r="AF52" s="23">
        <f t="shared" si="36"/>
        <v>0</v>
      </c>
      <c r="AG52" s="63">
        <f t="shared" si="31"/>
        <v>0</v>
      </c>
      <c r="AH52" s="46"/>
      <c r="AI52" s="63">
        <f t="shared" si="32"/>
        <v>0.1</v>
      </c>
      <c r="AJ52" s="63">
        <f t="shared" si="33"/>
        <v>0</v>
      </c>
      <c r="AK52" s="63">
        <f t="shared" si="34"/>
        <v>-1</v>
      </c>
      <c r="AL52" s="46"/>
      <c r="AM52" s="46"/>
      <c r="AN52" s="5"/>
    </row>
    <row r="53">
      <c r="A53" s="2"/>
      <c r="B53" s="41" t="s">
        <v>44</v>
      </c>
      <c r="C53" s="2"/>
      <c r="D53" s="57">
        <f>C51/D52</f>
        <v>0</v>
      </c>
      <c r="E53" s="2"/>
      <c r="F53" s="41" t="s">
        <v>44</v>
      </c>
      <c r="G53" s="2"/>
      <c r="H53" s="57">
        <f>G51/H52</f>
        <v>0</v>
      </c>
      <c r="I53" s="2"/>
      <c r="J53" s="2"/>
      <c r="K53" s="2" t="s">
        <v>80</v>
      </c>
      <c r="L53" s="76">
        <f t="shared" ref="L53:AA53" si="41">L52-L35</f>
        <v>119387370</v>
      </c>
      <c r="M53" s="30">
        <f t="shared" si="41"/>
        <v>18551065.81</v>
      </c>
      <c r="N53" s="30">
        <f t="shared" si="41"/>
        <v>14642454.67</v>
      </c>
      <c r="O53" s="30">
        <f t="shared" si="41"/>
        <v>59731379.63</v>
      </c>
      <c r="P53" s="30">
        <f t="shared" si="41"/>
        <v>24404313.7</v>
      </c>
      <c r="Q53" s="30">
        <f t="shared" si="41"/>
        <v>901079.5011</v>
      </c>
      <c r="R53" s="30">
        <f t="shared" si="41"/>
        <v>307229.0847</v>
      </c>
      <c r="S53" s="30">
        <f t="shared" si="41"/>
        <v>100791.5096</v>
      </c>
      <c r="T53" s="30">
        <f t="shared" si="41"/>
        <v>262072.4009</v>
      </c>
      <c r="U53" s="30">
        <f t="shared" si="41"/>
        <v>20747.98786</v>
      </c>
      <c r="V53" s="30">
        <f t="shared" si="41"/>
        <v>436062.4448</v>
      </c>
      <c r="W53" s="30">
        <f t="shared" si="41"/>
        <v>10202.10124</v>
      </c>
      <c r="X53" s="30">
        <f t="shared" si="41"/>
        <v>19971.17462</v>
      </c>
      <c r="Y53" s="30">
        <f t="shared" si="41"/>
        <v>0</v>
      </c>
      <c r="Z53" s="30">
        <f t="shared" si="41"/>
        <v>0</v>
      </c>
      <c r="AA53" s="30">
        <f t="shared" si="41"/>
        <v>0</v>
      </c>
      <c r="AB53" s="5"/>
      <c r="AC53" s="44" t="s">
        <v>37</v>
      </c>
      <c r="AD53" s="22" t="s">
        <v>19</v>
      </c>
      <c r="AE53" s="23">
        <f t="shared" si="30"/>
        <v>100903</v>
      </c>
      <c r="AF53" s="23">
        <f t="shared" si="36"/>
        <v>0</v>
      </c>
      <c r="AG53" s="63">
        <f t="shared" si="31"/>
        <v>0</v>
      </c>
      <c r="AH53" s="46"/>
      <c r="AI53" s="63">
        <f t="shared" si="32"/>
        <v>0</v>
      </c>
      <c r="AJ53" s="63">
        <f t="shared" si="33"/>
        <v>0</v>
      </c>
      <c r="AK53" s="63" t="str">
        <f t="shared" si="34"/>
        <v>#DIV/0!</v>
      </c>
      <c r="AL53" s="46"/>
      <c r="AM53" s="46"/>
      <c r="AN53" s="5"/>
    </row>
    <row r="54">
      <c r="A54" s="35">
        <f>D53/C54</f>
        <v>0</v>
      </c>
      <c r="B54" s="41" t="s">
        <v>47</v>
      </c>
      <c r="C54" s="59">
        <v>0.05</v>
      </c>
      <c r="D54" s="54">
        <f>D52*C54</f>
        <v>14524481.7</v>
      </c>
      <c r="E54" s="2"/>
      <c r="F54" s="41" t="s">
        <v>47</v>
      </c>
      <c r="G54" s="59">
        <v>0.05</v>
      </c>
      <c r="H54" s="57">
        <f>H52*G54</f>
        <v>5934234.4</v>
      </c>
      <c r="I54" s="35">
        <f>H53/G54</f>
        <v>0</v>
      </c>
      <c r="J54" s="2"/>
      <c r="K54" s="2" t="s">
        <v>81</v>
      </c>
      <c r="L54" s="76">
        <f>SUM(M54:V54)</f>
        <v>23871439.35</v>
      </c>
      <c r="M54" s="30">
        <f t="shared" ref="M54:AA54" si="42">M53/($G$1-$C$1)</f>
        <v>3710213.162</v>
      </c>
      <c r="N54" s="30">
        <f t="shared" si="42"/>
        <v>2928490.934</v>
      </c>
      <c r="O54" s="30">
        <f t="shared" si="42"/>
        <v>11946275.93</v>
      </c>
      <c r="P54" s="30">
        <f t="shared" si="42"/>
        <v>4880862.74</v>
      </c>
      <c r="Q54" s="30">
        <f t="shared" si="42"/>
        <v>180215.9002</v>
      </c>
      <c r="R54" s="30">
        <f t="shared" si="42"/>
        <v>61445.81694</v>
      </c>
      <c r="S54" s="30">
        <f t="shared" si="42"/>
        <v>20158.30192</v>
      </c>
      <c r="T54" s="30">
        <f t="shared" si="42"/>
        <v>52414.48018</v>
      </c>
      <c r="U54" s="30">
        <f t="shared" si="42"/>
        <v>4149.597571</v>
      </c>
      <c r="V54" s="30">
        <f t="shared" si="42"/>
        <v>87212.48897</v>
      </c>
      <c r="W54" s="30">
        <f t="shared" si="42"/>
        <v>2040.420248</v>
      </c>
      <c r="X54" s="30">
        <f t="shared" si="42"/>
        <v>3994.234924</v>
      </c>
      <c r="Y54" s="30">
        <f t="shared" si="42"/>
        <v>0</v>
      </c>
      <c r="Z54" s="30">
        <f t="shared" si="42"/>
        <v>0</v>
      </c>
      <c r="AA54" s="30">
        <f t="shared" si="42"/>
        <v>0</v>
      </c>
      <c r="AB54" s="5"/>
      <c r="AD54" s="22" t="s">
        <v>27</v>
      </c>
      <c r="AE54" s="23">
        <f t="shared" si="30"/>
        <v>2120688</v>
      </c>
      <c r="AF54" s="23">
        <f t="shared" si="36"/>
        <v>0</v>
      </c>
      <c r="AG54" s="63">
        <f t="shared" si="31"/>
        <v>0</v>
      </c>
      <c r="AH54" s="46"/>
      <c r="AI54" s="63">
        <f t="shared" si="32"/>
        <v>0</v>
      </c>
      <c r="AJ54" s="63">
        <f t="shared" si="33"/>
        <v>0</v>
      </c>
      <c r="AK54" s="63" t="str">
        <f t="shared" si="34"/>
        <v>#DIV/0!</v>
      </c>
      <c r="AL54" s="46"/>
      <c r="AM54" s="46"/>
      <c r="AN54" s="5"/>
    </row>
    <row r="55">
      <c r="A55" s="2"/>
      <c r="B55" s="77" t="s">
        <v>50</v>
      </c>
      <c r="C55" s="61"/>
      <c r="D55" s="62">
        <f>C51-D54</f>
        <v>-14524481.7</v>
      </c>
      <c r="E55" s="2"/>
      <c r="F55" s="77" t="s">
        <v>50</v>
      </c>
      <c r="G55" s="61"/>
      <c r="H55" s="62">
        <f>G51-H54</f>
        <v>-5934234.4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5"/>
      <c r="AC55" s="5"/>
      <c r="AD55" s="5"/>
      <c r="AE55" s="52">
        <f t="shared" ref="AE55:AF55" si="43">SUM(AE45:AE54)</f>
        <v>580465889.3</v>
      </c>
      <c r="AF55" s="52">
        <f t="shared" si="43"/>
        <v>38672222.6</v>
      </c>
      <c r="AG55" s="69">
        <f t="shared" si="31"/>
        <v>0.06662273066</v>
      </c>
      <c r="AH55" s="5"/>
      <c r="AI55" s="69">
        <f t="shared" si="32"/>
        <v>0.09632702796</v>
      </c>
      <c r="AJ55" s="69">
        <f t="shared" si="33"/>
        <v>0.06662273066</v>
      </c>
      <c r="AK55" s="69">
        <f t="shared" si="34"/>
        <v>-0.3083692908</v>
      </c>
      <c r="AL55" s="55"/>
      <c r="AM55" s="24"/>
      <c r="AN55" s="5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31">
        <v>3.0E8</v>
      </c>
      <c r="O56" s="100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5"/>
      <c r="AC56" s="55"/>
      <c r="AD56" s="55"/>
      <c r="AE56" s="55"/>
      <c r="AF56" s="55"/>
      <c r="AG56" s="55"/>
      <c r="AH56" s="55"/>
      <c r="AI56" s="55"/>
      <c r="AJ56" s="55"/>
      <c r="AK56" s="55"/>
      <c r="AL56" s="5"/>
      <c r="AM56" s="5"/>
      <c r="AN56" s="5"/>
    </row>
    <row r="57">
      <c r="A57" s="2"/>
      <c r="B57" s="58" t="s">
        <v>51</v>
      </c>
      <c r="C57" s="58"/>
      <c r="D57" s="64">
        <f>O42</f>
        <v>206080314.2</v>
      </c>
      <c r="E57" s="2"/>
      <c r="F57" s="58" t="s">
        <v>51</v>
      </c>
      <c r="G57" s="58"/>
      <c r="H57" s="64">
        <f>P42</f>
        <v>114376989.1</v>
      </c>
      <c r="I57" s="2"/>
      <c r="J57" s="2"/>
      <c r="K57" s="2"/>
      <c r="L57" s="2"/>
      <c r="M57" s="4"/>
      <c r="N57" s="58">
        <f>N56-SUM(M35:N35)</f>
        <v>138571054.7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5"/>
      <c r="AC57" s="5"/>
      <c r="AD57" s="5"/>
      <c r="AE57" s="14" t="s">
        <v>12</v>
      </c>
      <c r="AF57" s="14" t="s">
        <v>17</v>
      </c>
      <c r="AG57" s="101" t="s">
        <v>48</v>
      </c>
      <c r="AH57" s="5"/>
      <c r="AI57" s="14" t="s">
        <v>63</v>
      </c>
      <c r="AJ57" s="14" t="s">
        <v>64</v>
      </c>
      <c r="AK57" s="101" t="s">
        <v>48</v>
      </c>
      <c r="AL57" s="5"/>
      <c r="AM57" s="5"/>
      <c r="AN57" s="5"/>
    </row>
    <row r="58">
      <c r="A58" s="2"/>
      <c r="B58" s="2" t="s">
        <v>52</v>
      </c>
      <c r="C58" s="2"/>
      <c r="D58" s="30">
        <f>D52/$C$1</f>
        <v>11172678.23</v>
      </c>
      <c r="E58" s="2"/>
      <c r="F58" s="2" t="s">
        <v>52</v>
      </c>
      <c r="G58" s="2"/>
      <c r="H58" s="30">
        <f>H52/$C$1</f>
        <v>4564795.692</v>
      </c>
      <c r="I58" s="2"/>
      <c r="J58" s="2"/>
      <c r="K58" s="2"/>
      <c r="L58" s="2"/>
      <c r="M58" s="56">
        <f>M35/SUM(M35:N35)</f>
        <v>0.5588761163</v>
      </c>
      <c r="N58" s="56">
        <f>N35/SUM(M35:N35)</f>
        <v>0.4411238837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5"/>
      <c r="AC58" s="21" t="s">
        <v>24</v>
      </c>
      <c r="AD58" s="22" t="s">
        <v>19</v>
      </c>
      <c r="AE58" s="23">
        <f t="shared" ref="AE58:AE68" si="45">AG3</f>
        <v>206080314.2</v>
      </c>
      <c r="AF58" s="23">
        <f t="shared" ref="AF58:AF68" si="46">AM3</f>
        <v>290489634</v>
      </c>
      <c r="AG58" s="63">
        <f t="shared" ref="AG58:AG68" si="47">IFERROR(AF58/AE58, " ")</f>
        <v>1.409594289</v>
      </c>
      <c r="AH58" s="5"/>
      <c r="AI58" s="63">
        <f t="shared" ref="AI58:AJ58" si="44">AI45</f>
        <v>0.08</v>
      </c>
      <c r="AJ58" s="63">
        <f t="shared" si="44"/>
        <v>0.04455707325</v>
      </c>
      <c r="AK58" s="63">
        <f t="shared" ref="AK58:AK68" si="49">AJ58/AI58-1</f>
        <v>-0.4430365844</v>
      </c>
      <c r="AL58" s="5"/>
      <c r="AM58" s="5"/>
      <c r="AN58" s="5"/>
    </row>
    <row r="59">
      <c r="A59" s="2"/>
      <c r="B59" s="2" t="s">
        <v>53</v>
      </c>
      <c r="C59" s="2"/>
      <c r="D59" s="30">
        <f>D57/$G$1*$C$1</f>
        <v>172841553.8</v>
      </c>
      <c r="E59" s="2"/>
      <c r="F59" s="2" t="s">
        <v>53</v>
      </c>
      <c r="G59" s="2"/>
      <c r="H59" s="30">
        <f>H57/$G$1*$C$1</f>
        <v>95929087.66</v>
      </c>
      <c r="I59" s="2"/>
      <c r="J59" s="2"/>
      <c r="K59" s="2"/>
      <c r="L59" s="2"/>
      <c r="M59" s="58">
        <f>N57*M58</f>
        <v>77444052.88</v>
      </c>
      <c r="N59" s="58">
        <f>N57*N58</f>
        <v>61127001.82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5"/>
      <c r="AD59" s="22" t="s">
        <v>27</v>
      </c>
      <c r="AE59" s="23">
        <f t="shared" si="45"/>
        <v>114376989.1</v>
      </c>
      <c r="AF59" s="23">
        <f t="shared" si="46"/>
        <v>118684688</v>
      </c>
      <c r="AG59" s="63">
        <f t="shared" si="47"/>
        <v>1.037662286</v>
      </c>
      <c r="AH59" s="55"/>
      <c r="AI59" s="63">
        <f t="shared" ref="AI59:AJ59" si="48">AI46</f>
        <v>0.08</v>
      </c>
      <c r="AJ59" s="63">
        <f t="shared" si="48"/>
        <v>0.06278501318</v>
      </c>
      <c r="AK59" s="63">
        <f t="shared" si="49"/>
        <v>-0.2151873353</v>
      </c>
      <c r="AL59" s="5"/>
      <c r="AM59" s="5"/>
      <c r="AN59" s="5"/>
    </row>
    <row r="60">
      <c r="A60" s="2"/>
      <c r="B60" s="2" t="s">
        <v>54</v>
      </c>
      <c r="C60" s="2"/>
      <c r="D60" s="30">
        <f>(D57-D52)/($G$1-$C$1)</f>
        <v>-16881863.97</v>
      </c>
      <c r="E60" s="2"/>
      <c r="F60" s="2" t="s">
        <v>54</v>
      </c>
      <c r="G60" s="2"/>
      <c r="H60" s="30">
        <f>(H57-H52)/($G$1-$C$1)</f>
        <v>-861539.774</v>
      </c>
      <c r="I60" s="2"/>
      <c r="J60" s="2"/>
      <c r="K60" s="2"/>
      <c r="L60" s="58">
        <f>SUM(M60:N60)</f>
        <v>27714210.94</v>
      </c>
      <c r="M60" s="58">
        <f>M59/(G1-C1)</f>
        <v>15488810.58</v>
      </c>
      <c r="N60" s="58">
        <f>N59/(G1-C1)</f>
        <v>12225400.36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5"/>
      <c r="AC60" s="21" t="s">
        <v>18</v>
      </c>
      <c r="AD60" s="22" t="s">
        <v>19</v>
      </c>
      <c r="AE60" s="23">
        <f t="shared" si="45"/>
        <v>105053826</v>
      </c>
      <c r="AF60" s="23">
        <f t="shared" si="46"/>
        <v>90218782</v>
      </c>
      <c r="AG60" s="63">
        <f t="shared" si="47"/>
        <v>0.8587862569</v>
      </c>
      <c r="AH60" s="55"/>
      <c r="AI60" s="63">
        <f t="shared" ref="AI60:AJ60" si="50">AI47</f>
        <v>0.15</v>
      </c>
      <c r="AJ60" s="63">
        <f t="shared" si="50"/>
        <v>0.08889907204</v>
      </c>
      <c r="AK60" s="63">
        <f t="shared" si="49"/>
        <v>-0.4073395198</v>
      </c>
      <c r="AL60" s="5"/>
      <c r="AM60" s="5"/>
      <c r="AN60" s="46"/>
    </row>
    <row r="61">
      <c r="A61" s="2"/>
      <c r="B61" s="2" t="s">
        <v>55</v>
      </c>
      <c r="C61" s="2"/>
      <c r="D61" s="30">
        <f>D52-D59</f>
        <v>117648080.2</v>
      </c>
      <c r="E61" s="2"/>
      <c r="F61" s="2" t="s">
        <v>55</v>
      </c>
      <c r="G61" s="2"/>
      <c r="H61" s="30">
        <f>H52-H59</f>
        <v>22755600.34</v>
      </c>
      <c r="I61" s="2"/>
      <c r="J61" s="2"/>
      <c r="K61" s="2"/>
      <c r="L61" s="2"/>
      <c r="M61" s="56"/>
      <c r="N61" s="56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5"/>
      <c r="AD61" s="22" t="s">
        <v>27</v>
      </c>
      <c r="AE61" s="23">
        <f t="shared" si="45"/>
        <v>84254055.2</v>
      </c>
      <c r="AF61" s="23">
        <f t="shared" si="46"/>
        <v>71210163.3</v>
      </c>
      <c r="AG61" s="63">
        <f t="shared" si="47"/>
        <v>0.845183809</v>
      </c>
      <c r="AH61" s="55"/>
      <c r="AI61" s="63">
        <f t="shared" ref="AI61:AJ61" si="51">AI48</f>
        <v>0.13</v>
      </c>
      <c r="AJ61" s="63">
        <f t="shared" si="51"/>
        <v>0.132782535</v>
      </c>
      <c r="AK61" s="63">
        <f t="shared" si="49"/>
        <v>0.0214041153</v>
      </c>
      <c r="AL61" s="5"/>
      <c r="AM61" s="5"/>
      <c r="AN61" s="46"/>
    </row>
    <row r="62">
      <c r="A62" s="2"/>
      <c r="B62" s="2" t="s">
        <v>56</v>
      </c>
      <c r="C62" s="2"/>
      <c r="D62" s="30">
        <f>D52/$C$1*$G$1</f>
        <v>346353025.2</v>
      </c>
      <c r="E62" s="2"/>
      <c r="F62" s="2" t="s">
        <v>56</v>
      </c>
      <c r="G62" s="2"/>
      <c r="H62" s="30">
        <f>H52/$C$1*$G$1</f>
        <v>141508666.5</v>
      </c>
      <c r="I62" s="2"/>
      <c r="J62" s="2"/>
      <c r="K62" s="2"/>
      <c r="L62" s="2"/>
      <c r="M62" s="56">
        <f t="shared" ref="M62:N62" si="52">M58</f>
        <v>0.5588761163</v>
      </c>
      <c r="N62" s="56">
        <f t="shared" si="52"/>
        <v>0.4411238837</v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5"/>
      <c r="AC62" s="21" t="s">
        <v>31</v>
      </c>
      <c r="AD62" s="22" t="s">
        <v>19</v>
      </c>
      <c r="AE62" s="23">
        <f t="shared" si="45"/>
        <v>3069853</v>
      </c>
      <c r="AF62" s="23">
        <f t="shared" si="46"/>
        <v>4382190</v>
      </c>
      <c r="AG62" s="63">
        <f t="shared" si="47"/>
        <v>1.427491805</v>
      </c>
      <c r="AH62" s="55"/>
      <c r="AI62" s="63" t="str">
        <f t="shared" ref="AI62:AJ62" si="53">AI49</f>
        <v/>
      </c>
      <c r="AJ62" s="63">
        <f t="shared" si="53"/>
        <v>0.1211702368</v>
      </c>
      <c r="AK62" s="63" t="str">
        <f t="shared" si="49"/>
        <v>#DIV/0!</v>
      </c>
      <c r="AL62" s="5"/>
      <c r="AM62" s="5"/>
      <c r="AN62" s="46"/>
    </row>
    <row r="63">
      <c r="A63" s="2"/>
      <c r="B63" s="66" t="s">
        <v>57</v>
      </c>
      <c r="C63" s="66"/>
      <c r="D63" s="67">
        <f>D62/D57</f>
        <v>1.680670114</v>
      </c>
      <c r="E63" s="2"/>
      <c r="F63" s="66" t="s">
        <v>57</v>
      </c>
      <c r="G63" s="66"/>
      <c r="H63" s="67">
        <f>H62/H57</f>
        <v>1.237212726</v>
      </c>
      <c r="I63" s="2"/>
      <c r="J63" s="2"/>
      <c r="K63" s="56"/>
      <c r="L63" s="2"/>
      <c r="M63" s="58">
        <f t="shared" ref="M63:N63" si="54">$N$56*M62</f>
        <v>167662834.9</v>
      </c>
      <c r="N63" s="58">
        <f t="shared" si="54"/>
        <v>132337165.1</v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5"/>
      <c r="AD63" s="22" t="s">
        <v>27</v>
      </c>
      <c r="AE63" s="23">
        <f t="shared" si="45"/>
        <v>2257611</v>
      </c>
      <c r="AF63" s="23">
        <f t="shared" si="46"/>
        <v>1494137</v>
      </c>
      <c r="AG63" s="63">
        <f t="shared" si="47"/>
        <v>0.6618221651</v>
      </c>
      <c r="AH63" s="55"/>
      <c r="AI63" s="63" t="str">
        <f t="shared" ref="AI63:AJ63" si="55">AI50</f>
        <v/>
      </c>
      <c r="AJ63" s="63">
        <f t="shared" si="55"/>
        <v>0.1809820652</v>
      </c>
      <c r="AK63" s="63" t="str">
        <f t="shared" si="49"/>
        <v>#DIV/0!</v>
      </c>
      <c r="AL63" s="5"/>
      <c r="AM63" s="5"/>
      <c r="AN63" s="46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56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5"/>
      <c r="AC64" s="44" t="s">
        <v>34</v>
      </c>
      <c r="AD64" s="22" t="s">
        <v>19</v>
      </c>
      <c r="AE64" s="23">
        <f t="shared" si="45"/>
        <v>619304</v>
      </c>
      <c r="AF64" s="23">
        <f t="shared" si="46"/>
        <v>490176</v>
      </c>
      <c r="AG64" s="63">
        <f t="shared" si="47"/>
        <v>0.7914949685</v>
      </c>
      <c r="AH64" s="46"/>
      <c r="AI64" s="63">
        <f t="shared" ref="AI64:AJ64" si="56">AI51</f>
        <v>0.1</v>
      </c>
      <c r="AJ64" s="63">
        <f t="shared" si="56"/>
        <v>0</v>
      </c>
      <c r="AK64" s="63">
        <f t="shared" si="49"/>
        <v>-1</v>
      </c>
      <c r="AL64" s="46"/>
      <c r="AM64" s="46"/>
      <c r="AN64" s="46"/>
    </row>
    <row r="65">
      <c r="A65" s="2"/>
      <c r="B65" s="102" t="s">
        <v>31</v>
      </c>
      <c r="C65" s="17"/>
      <c r="D65" s="17"/>
      <c r="E65" s="17"/>
      <c r="F65" s="17"/>
      <c r="G65" s="17"/>
      <c r="H65" s="18"/>
      <c r="I65" s="2"/>
      <c r="J65" s="2"/>
      <c r="K65" s="56"/>
      <c r="L65" s="2">
        <f>G1-C1</f>
        <v>5</v>
      </c>
      <c r="M65" s="58">
        <f t="shared" ref="M65:N65" si="57">(M63-M35)/$L$65</f>
        <v>15488810.58</v>
      </c>
      <c r="N65" s="58">
        <f t="shared" si="57"/>
        <v>12225400.36</v>
      </c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5"/>
      <c r="AD65" s="22" t="s">
        <v>27</v>
      </c>
      <c r="AE65" s="23">
        <f t="shared" si="45"/>
        <v>1719666</v>
      </c>
      <c r="AF65" s="23">
        <f t="shared" si="46"/>
        <v>1274528</v>
      </c>
      <c r="AG65" s="63">
        <f t="shared" si="47"/>
        <v>0.7411485719</v>
      </c>
      <c r="AH65" s="46"/>
      <c r="AI65" s="63">
        <f t="shared" ref="AI65:AJ65" si="58">AI52</f>
        <v>0.1</v>
      </c>
      <c r="AJ65" s="63">
        <f t="shared" si="58"/>
        <v>0</v>
      </c>
      <c r="AK65" s="63">
        <f t="shared" si="49"/>
        <v>-1</v>
      </c>
      <c r="AL65" s="46"/>
      <c r="AM65" s="46"/>
      <c r="AN65" s="46"/>
    </row>
    <row r="66">
      <c r="A66" s="2"/>
      <c r="B66" s="70" t="str">
        <f>B30</f>
        <v>Биг–Л / Март | до </v>
      </c>
      <c r="C66" s="17"/>
      <c r="D66" s="28">
        <f>$D$4</f>
        <v>46107</v>
      </c>
      <c r="E66" s="2"/>
      <c r="F66" s="70" t="str">
        <f>F30</f>
        <v>Смарт/ Март| до </v>
      </c>
      <c r="G66" s="17"/>
      <c r="H66" s="28">
        <f>$D$4</f>
        <v>46107</v>
      </c>
      <c r="I66" s="2"/>
      <c r="J66" s="2"/>
      <c r="AB66" s="5"/>
      <c r="AC66" s="44" t="s">
        <v>37</v>
      </c>
      <c r="AD66" s="22" t="s">
        <v>19</v>
      </c>
      <c r="AE66" s="23">
        <f t="shared" si="45"/>
        <v>141359</v>
      </c>
      <c r="AF66" s="23">
        <f t="shared" si="46"/>
        <v>100903</v>
      </c>
      <c r="AG66" s="63">
        <f t="shared" si="47"/>
        <v>0.7138066908</v>
      </c>
      <c r="AH66" s="46"/>
      <c r="AI66" s="63">
        <f t="shared" ref="AI66:AJ66" si="59">AI53</f>
        <v>0</v>
      </c>
      <c r="AJ66" s="63">
        <f t="shared" si="59"/>
        <v>0</v>
      </c>
      <c r="AK66" s="63" t="str">
        <f t="shared" si="49"/>
        <v>#DIV/0!</v>
      </c>
      <c r="AL66" s="46"/>
      <c r="AM66" s="46"/>
      <c r="AN66" s="46"/>
    </row>
    <row r="67">
      <c r="A67" s="35">
        <f t="shared" ref="A67:A71" si="61">IFERROR(C67/$C$72, " ")</f>
        <v>0.9690051244</v>
      </c>
      <c r="B67" s="41" t="s">
        <v>82</v>
      </c>
      <c r="C67" s="31">
        <v>514533.0</v>
      </c>
      <c r="D67" s="53"/>
      <c r="E67" s="2"/>
      <c r="F67" s="41" t="s">
        <v>82</v>
      </c>
      <c r="G67" s="31">
        <v>231137.0</v>
      </c>
      <c r="H67" s="53"/>
      <c r="I67" s="35">
        <f t="shared" ref="I67:I71" si="62">IFERROR(G67/$G$72, " ")</f>
        <v>0.8547586646</v>
      </c>
      <c r="J67" s="2"/>
      <c r="N67" s="31">
        <v>4.5E8</v>
      </c>
      <c r="AB67" s="5"/>
      <c r="AD67" s="22" t="s">
        <v>27</v>
      </c>
      <c r="AE67" s="23">
        <f t="shared" si="45"/>
        <v>1599107</v>
      </c>
      <c r="AF67" s="23">
        <f t="shared" si="46"/>
        <v>2120688</v>
      </c>
      <c r="AG67" s="63">
        <f t="shared" si="47"/>
        <v>1.326170169</v>
      </c>
      <c r="AH67" s="46"/>
      <c r="AI67" s="63">
        <f t="shared" ref="AI67:AJ67" si="60">AI54</f>
        <v>0</v>
      </c>
      <c r="AJ67" s="63">
        <f t="shared" si="60"/>
        <v>0</v>
      </c>
      <c r="AK67" s="63" t="str">
        <f t="shared" si="49"/>
        <v>#DIV/0!</v>
      </c>
      <c r="AL67" s="46"/>
      <c r="AM67" s="46"/>
      <c r="AN67" s="46"/>
    </row>
    <row r="68">
      <c r="A68" s="35">
        <f t="shared" si="61"/>
        <v>0.03099487562</v>
      </c>
      <c r="B68" s="41" t="s">
        <v>83</v>
      </c>
      <c r="C68" s="32">
        <v>16458.0</v>
      </c>
      <c r="D68" s="74"/>
      <c r="E68" s="2"/>
      <c r="F68" s="41" t="s">
        <v>83</v>
      </c>
      <c r="G68" s="32">
        <v>39275.0</v>
      </c>
      <c r="H68" s="40"/>
      <c r="I68" s="35">
        <f t="shared" si="62"/>
        <v>0.1452413354</v>
      </c>
      <c r="J68" s="2"/>
      <c r="K68" s="56"/>
      <c r="L68" s="2"/>
      <c r="M68" s="56">
        <f t="shared" ref="M68:N68" si="63">M35/SUM($M$35:$N$35)</f>
        <v>0.5588761163</v>
      </c>
      <c r="N68" s="56">
        <f t="shared" si="63"/>
        <v>0.4411238837</v>
      </c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5"/>
      <c r="AC68" s="55"/>
      <c r="AD68" s="55"/>
      <c r="AE68" s="103">
        <f t="shared" si="45"/>
        <v>519172084.5</v>
      </c>
      <c r="AF68" s="103">
        <f t="shared" si="46"/>
        <v>580465889.3</v>
      </c>
      <c r="AG68" s="104">
        <f t="shared" si="47"/>
        <v>1.118060671</v>
      </c>
      <c r="AH68" s="55"/>
      <c r="AI68" s="69">
        <f t="shared" ref="AI68:AJ68" si="64">AI55</f>
        <v>0.09632702796</v>
      </c>
      <c r="AJ68" s="69">
        <f t="shared" si="64"/>
        <v>0.06662273066</v>
      </c>
      <c r="AK68" s="69">
        <f t="shared" si="49"/>
        <v>-0.3083692908</v>
      </c>
      <c r="AL68" s="5"/>
      <c r="AM68" s="5"/>
      <c r="AN68" s="46"/>
    </row>
    <row r="69">
      <c r="A69" s="35">
        <f t="shared" si="61"/>
        <v>0</v>
      </c>
      <c r="B69" s="41" t="s">
        <v>84</v>
      </c>
      <c r="C69" s="32"/>
      <c r="D69" s="53"/>
      <c r="E69" s="2"/>
      <c r="F69" s="41" t="s">
        <v>84</v>
      </c>
      <c r="G69" s="32"/>
      <c r="H69" s="53"/>
      <c r="I69" s="35">
        <f t="shared" si="62"/>
        <v>0</v>
      </c>
      <c r="J69" s="2"/>
      <c r="K69" s="56"/>
      <c r="L69" s="2"/>
      <c r="M69" s="58">
        <f t="shared" ref="M69:N69" si="65">$N$67*M68</f>
        <v>251494252.3</v>
      </c>
      <c r="N69" s="58">
        <f t="shared" si="65"/>
        <v>198505747.7</v>
      </c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</row>
    <row r="70">
      <c r="A70" s="35">
        <f t="shared" si="61"/>
        <v>0</v>
      </c>
      <c r="B70" s="41" t="s">
        <v>85</v>
      </c>
      <c r="C70" s="32"/>
      <c r="D70" s="53"/>
      <c r="E70" s="2"/>
      <c r="F70" s="41" t="s">
        <v>85</v>
      </c>
      <c r="G70" s="32"/>
      <c r="H70" s="53"/>
      <c r="I70" s="35">
        <f t="shared" si="62"/>
        <v>0</v>
      </c>
      <c r="J70" s="2"/>
      <c r="K70" s="56"/>
      <c r="L70" s="4">
        <v>30.0</v>
      </c>
      <c r="M70" s="58">
        <f t="shared" ref="M70:N70" si="66">M69/$L$70</f>
        <v>8383141.744</v>
      </c>
      <c r="N70" s="58">
        <f t="shared" si="66"/>
        <v>6616858.256</v>
      </c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5"/>
      <c r="AC70" s="5"/>
      <c r="AD70" s="5"/>
      <c r="AE70" s="105" t="s">
        <v>86</v>
      </c>
      <c r="AF70" s="105" t="s">
        <v>87</v>
      </c>
      <c r="AG70" s="51"/>
      <c r="AH70" s="51"/>
      <c r="AI70" s="51"/>
      <c r="AJ70" s="51"/>
      <c r="AK70" s="51" t="str">
        <f t="shared" ref="AK70:AL70" si="67">AE70</f>
        <v>Сентябрь</v>
      </c>
      <c r="AL70" s="51" t="str">
        <f t="shared" si="67"/>
        <v>Октябрь</v>
      </c>
      <c r="AM70" s="5"/>
      <c r="AN70" s="5"/>
    </row>
    <row r="71">
      <c r="A71" s="35">
        <f t="shared" si="61"/>
        <v>0</v>
      </c>
      <c r="B71" s="41" t="s">
        <v>88</v>
      </c>
      <c r="C71" s="58"/>
      <c r="D71" s="53"/>
      <c r="E71" s="2"/>
      <c r="F71" s="41" t="s">
        <v>88</v>
      </c>
      <c r="G71" s="58"/>
      <c r="H71" s="53"/>
      <c r="I71" s="35">
        <f t="shared" si="62"/>
        <v>0</v>
      </c>
      <c r="J71" s="2"/>
      <c r="K71" s="56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5"/>
      <c r="AC71" s="5"/>
      <c r="AD71" s="5"/>
      <c r="AE71" s="14" t="s">
        <v>17</v>
      </c>
      <c r="AF71" s="14" t="s">
        <v>17</v>
      </c>
      <c r="AG71" s="14" t="s">
        <v>48</v>
      </c>
      <c r="AH71" s="5"/>
      <c r="AI71" s="72" t="s">
        <v>71</v>
      </c>
      <c r="AK71" s="14" t="s">
        <v>64</v>
      </c>
      <c r="AL71" s="14" t="s">
        <v>64</v>
      </c>
      <c r="AM71" s="14" t="s">
        <v>48</v>
      </c>
      <c r="AN71" s="5"/>
    </row>
    <row r="72">
      <c r="A72" s="2"/>
      <c r="B72" s="41" t="s">
        <v>42</v>
      </c>
      <c r="C72" s="30">
        <f>SUM(C67:C71)</f>
        <v>530991</v>
      </c>
      <c r="D72" s="53"/>
      <c r="E72" s="2"/>
      <c r="F72" s="41" t="s">
        <v>42</v>
      </c>
      <c r="G72" s="30">
        <f>SUM(G67:G71)</f>
        <v>270412</v>
      </c>
      <c r="H72" s="53"/>
      <c r="I72" s="2"/>
      <c r="J72" s="2"/>
      <c r="K72" s="56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5"/>
      <c r="AC72" s="21" t="s">
        <v>24</v>
      </c>
      <c r="AD72" s="22" t="s">
        <v>19</v>
      </c>
      <c r="AE72" s="23">
        <f>'Сентябрь 25'!AA72</f>
        <v>34886232</v>
      </c>
      <c r="AF72" s="23">
        <f t="shared" ref="AF72:AF81" si="68">AF58</f>
        <v>290489634</v>
      </c>
      <c r="AG72" s="63">
        <f t="shared" ref="AG72:AG82" si="69">AF72/AE72-1</f>
        <v>7.326770114</v>
      </c>
      <c r="AH72" s="5"/>
      <c r="AI72" s="21" t="s">
        <v>24</v>
      </c>
      <c r="AJ72" s="22" t="s">
        <v>19</v>
      </c>
      <c r="AK72" s="63">
        <f>'Сентябрь 25'!AG72</f>
        <v>0.06874047045</v>
      </c>
      <c r="AL72" s="63">
        <f t="shared" ref="AL72:AL81" si="70">AJ45</f>
        <v>0.04455707325</v>
      </c>
      <c r="AM72" s="63">
        <f t="shared" ref="AM72:AM82" si="71">AL72/AK72-1</f>
        <v>-0.3518072694</v>
      </c>
      <c r="AN72" s="5"/>
    </row>
    <row r="73">
      <c r="A73" s="2"/>
      <c r="B73" s="41" t="s">
        <v>43</v>
      </c>
      <c r="C73" s="58"/>
      <c r="D73" s="54">
        <f>Q35</f>
        <v>4382190</v>
      </c>
      <c r="E73" s="2"/>
      <c r="F73" s="41" t="s">
        <v>43</v>
      </c>
      <c r="G73" s="58"/>
      <c r="H73" s="54">
        <f>R35</f>
        <v>1494137</v>
      </c>
      <c r="I73" s="2"/>
      <c r="J73" s="2"/>
      <c r="K73" s="56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5"/>
      <c r="AD73" s="22" t="s">
        <v>27</v>
      </c>
      <c r="AE73" s="23">
        <f>'Сентябрь 25'!AA73</f>
        <v>108267871</v>
      </c>
      <c r="AF73" s="23">
        <f t="shared" si="68"/>
        <v>118684688</v>
      </c>
      <c r="AG73" s="63">
        <f t="shared" si="69"/>
        <v>0.09621337248</v>
      </c>
      <c r="AH73" s="5"/>
      <c r="AJ73" s="22" t="s">
        <v>27</v>
      </c>
      <c r="AK73" s="63">
        <f>'Сентябрь 25'!AG73</f>
        <v>0.06166203268</v>
      </c>
      <c r="AL73" s="63">
        <f t="shared" si="70"/>
        <v>0.06278501318</v>
      </c>
      <c r="AM73" s="63">
        <f t="shared" si="71"/>
        <v>0.01821186306</v>
      </c>
      <c r="AN73" s="5"/>
    </row>
    <row r="74">
      <c r="A74" s="2"/>
      <c r="B74" s="41" t="s">
        <v>44</v>
      </c>
      <c r="C74" s="2"/>
      <c r="D74" s="57">
        <f>C72/D73</f>
        <v>0.1211702368</v>
      </c>
      <c r="E74" s="2"/>
      <c r="F74" s="41" t="s">
        <v>44</v>
      </c>
      <c r="G74" s="2"/>
      <c r="H74" s="57">
        <f>G72/H73</f>
        <v>0.1809820652</v>
      </c>
      <c r="I74" s="2"/>
      <c r="J74" s="2"/>
      <c r="K74" s="56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5"/>
      <c r="AC74" s="21" t="s">
        <v>18</v>
      </c>
      <c r="AD74" s="22" t="s">
        <v>19</v>
      </c>
      <c r="AE74" s="23">
        <f>'Сентябрь 25'!AA74</f>
        <v>25030992.89</v>
      </c>
      <c r="AF74" s="23">
        <f t="shared" si="68"/>
        <v>90218782</v>
      </c>
      <c r="AG74" s="63">
        <f t="shared" si="69"/>
        <v>2.604282994</v>
      </c>
      <c r="AH74" s="5"/>
      <c r="AI74" s="21" t="s">
        <v>18</v>
      </c>
      <c r="AJ74" s="22" t="s">
        <v>19</v>
      </c>
      <c r="AK74" s="63">
        <f>'Сентябрь 25'!AG74</f>
        <v>0.2317335163</v>
      </c>
      <c r="AL74" s="63">
        <f t="shared" si="70"/>
        <v>0.08889907204</v>
      </c>
      <c r="AM74" s="63">
        <f t="shared" si="71"/>
        <v>-0.6163736975</v>
      </c>
      <c r="AN74" s="5"/>
    </row>
    <row r="75">
      <c r="A75" s="35" t="str">
        <f>D74/C75</f>
        <v>#DIV/0!</v>
      </c>
      <c r="B75" s="41" t="s">
        <v>47</v>
      </c>
      <c r="C75" s="35"/>
      <c r="D75" s="54">
        <f>D73*C75</f>
        <v>0</v>
      </c>
      <c r="E75" s="2"/>
      <c r="F75" s="41" t="s">
        <v>47</v>
      </c>
      <c r="G75" s="35"/>
      <c r="H75" s="54">
        <f>H73*G75</f>
        <v>0</v>
      </c>
      <c r="I75" s="35" t="str">
        <f>H74/G75</f>
        <v>#DIV/0!</v>
      </c>
      <c r="J75" s="2"/>
      <c r="K75" s="56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5"/>
      <c r="AD75" s="22" t="s">
        <v>27</v>
      </c>
      <c r="AE75" s="23">
        <f>'Сентябрь 25'!AA75</f>
        <v>50514009.88</v>
      </c>
      <c r="AF75" s="23">
        <f t="shared" si="68"/>
        <v>71210163.3</v>
      </c>
      <c r="AG75" s="63">
        <f t="shared" si="69"/>
        <v>0.4097111567</v>
      </c>
      <c r="AH75" s="5"/>
      <c r="AJ75" s="22" t="s">
        <v>27</v>
      </c>
      <c r="AK75" s="63">
        <f>'Сентябрь 25'!AG75</f>
        <v>0.1198836722</v>
      </c>
      <c r="AL75" s="63">
        <f t="shared" si="70"/>
        <v>0.132782535</v>
      </c>
      <c r="AM75" s="63">
        <f t="shared" si="71"/>
        <v>0.1075948259</v>
      </c>
      <c r="AN75" s="5"/>
    </row>
    <row r="76">
      <c r="A76" s="2"/>
      <c r="B76" s="77" t="s">
        <v>50</v>
      </c>
      <c r="C76" s="61"/>
      <c r="D76" s="62">
        <f>C72-D75</f>
        <v>530991</v>
      </c>
      <c r="E76" s="2"/>
      <c r="F76" s="77" t="s">
        <v>50</v>
      </c>
      <c r="G76" s="61"/>
      <c r="H76" s="62">
        <f>G72-H75</f>
        <v>270412</v>
      </c>
      <c r="I76" s="2"/>
      <c r="J76" s="2"/>
      <c r="K76" s="56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5"/>
      <c r="AC76" s="21" t="s">
        <v>31</v>
      </c>
      <c r="AD76" s="22" t="s">
        <v>19</v>
      </c>
      <c r="AE76" s="23">
        <f>'Сентябрь 25'!AA76</f>
        <v>-4890173.226</v>
      </c>
      <c r="AF76" s="23">
        <f t="shared" si="68"/>
        <v>4382190</v>
      </c>
      <c r="AG76" s="63">
        <f t="shared" si="69"/>
        <v>-1.89612163</v>
      </c>
      <c r="AH76" s="5"/>
      <c r="AI76" s="21" t="s">
        <v>31</v>
      </c>
      <c r="AJ76" s="22" t="s">
        <v>19</v>
      </c>
      <c r="AK76" s="63">
        <f>'Сентябрь 25'!AG76</f>
        <v>-0.03474784883</v>
      </c>
      <c r="AL76" s="63">
        <f t="shared" si="70"/>
        <v>0.1211702368</v>
      </c>
      <c r="AM76" s="63">
        <f t="shared" si="71"/>
        <v>-4.487129157</v>
      </c>
      <c r="AN76" s="5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56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5"/>
      <c r="AD77" s="22" t="s">
        <v>27</v>
      </c>
      <c r="AE77" s="23">
        <f>'Сентябрь 25'!AA77</f>
        <v>3184978</v>
      </c>
      <c r="AF77" s="23">
        <f t="shared" si="68"/>
        <v>1494137</v>
      </c>
      <c r="AG77" s="63">
        <f t="shared" si="69"/>
        <v>-0.5308799621</v>
      </c>
      <c r="AH77" s="5"/>
      <c r="AJ77" s="22" t="s">
        <v>27</v>
      </c>
      <c r="AK77" s="63">
        <f>'Сентябрь 25'!AG77</f>
        <v>0.2059675137</v>
      </c>
      <c r="AL77" s="63">
        <f t="shared" si="70"/>
        <v>0.1809820652</v>
      </c>
      <c r="AM77" s="63">
        <f t="shared" si="71"/>
        <v>-0.1213077153</v>
      </c>
      <c r="AN77" s="5"/>
    </row>
    <row r="78">
      <c r="A78" s="2"/>
      <c r="B78" s="58" t="s">
        <v>51</v>
      </c>
      <c r="C78" s="58"/>
      <c r="D78" s="64">
        <f>Q42</f>
        <v>3069853</v>
      </c>
      <c r="E78" s="2"/>
      <c r="F78" s="58" t="s">
        <v>51</v>
      </c>
      <c r="G78" s="58"/>
      <c r="H78" s="64">
        <f>R42</f>
        <v>2257611</v>
      </c>
      <c r="I78" s="2"/>
      <c r="J78" s="2"/>
      <c r="K78" s="56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5"/>
      <c r="AC78" s="44" t="s">
        <v>34</v>
      </c>
      <c r="AD78" s="22" t="s">
        <v>19</v>
      </c>
      <c r="AE78" s="23">
        <f>'Сентябрь 25'!AA78</f>
        <v>101466</v>
      </c>
      <c r="AF78" s="23">
        <f t="shared" si="68"/>
        <v>490176</v>
      </c>
      <c r="AG78" s="63">
        <f t="shared" si="69"/>
        <v>3.830938442</v>
      </c>
      <c r="AH78" s="5"/>
      <c r="AI78" s="44" t="s">
        <v>34</v>
      </c>
      <c r="AJ78" s="22" t="s">
        <v>19</v>
      </c>
      <c r="AK78" s="63">
        <f>'Сентябрь 25'!AG78</f>
        <v>0</v>
      </c>
      <c r="AL78" s="63">
        <f t="shared" si="70"/>
        <v>0</v>
      </c>
      <c r="AM78" s="63" t="str">
        <f t="shared" si="71"/>
        <v>#DIV/0!</v>
      </c>
      <c r="AN78" s="5"/>
    </row>
    <row r="79">
      <c r="A79" s="2"/>
      <c r="B79" s="2" t="s">
        <v>52</v>
      </c>
      <c r="C79" s="2"/>
      <c r="D79" s="30">
        <f>D73/$C$1</f>
        <v>168545.7692</v>
      </c>
      <c r="E79" s="2"/>
      <c r="F79" s="2" t="s">
        <v>52</v>
      </c>
      <c r="G79" s="2"/>
      <c r="H79" s="30">
        <f>H73/$C$1</f>
        <v>57466.80769</v>
      </c>
      <c r="I79" s="2"/>
      <c r="J79" s="2"/>
      <c r="K79" s="56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5"/>
      <c r="AD79" s="22" t="s">
        <v>27</v>
      </c>
      <c r="AE79" s="23">
        <f>'Сентябрь 25'!AA79</f>
        <v>314564</v>
      </c>
      <c r="AF79" s="23">
        <f t="shared" si="68"/>
        <v>1274528</v>
      </c>
      <c r="AG79" s="63">
        <f t="shared" si="69"/>
        <v>3.051728742</v>
      </c>
      <c r="AH79" s="5"/>
      <c r="AJ79" s="22" t="s">
        <v>27</v>
      </c>
      <c r="AK79" s="63">
        <f>'Сентябрь 25'!AG79</f>
        <v>0</v>
      </c>
      <c r="AL79" s="63">
        <f t="shared" si="70"/>
        <v>0</v>
      </c>
      <c r="AM79" s="63" t="str">
        <f t="shared" si="71"/>
        <v>#DIV/0!</v>
      </c>
      <c r="AN79" s="5"/>
    </row>
    <row r="80">
      <c r="A80" s="2"/>
      <c r="B80" s="2" t="s">
        <v>53</v>
      </c>
      <c r="C80" s="2"/>
      <c r="D80" s="30">
        <f>D78/$G$1*$C$1</f>
        <v>2574715.419</v>
      </c>
      <c r="E80" s="2"/>
      <c r="F80" s="2" t="s">
        <v>53</v>
      </c>
      <c r="G80" s="2"/>
      <c r="H80" s="30">
        <f>H78/$G$1*$C$1</f>
        <v>1893480.194</v>
      </c>
      <c r="I80" s="2"/>
      <c r="J80" s="2"/>
      <c r="K80" s="56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5"/>
      <c r="AC80" s="44" t="s">
        <v>37</v>
      </c>
      <c r="AD80" s="22" t="s">
        <v>19</v>
      </c>
      <c r="AE80" s="23">
        <f>'Сентябрь 25'!AA80</f>
        <v>0</v>
      </c>
      <c r="AF80" s="23">
        <f t="shared" si="68"/>
        <v>100903</v>
      </c>
      <c r="AG80" s="63" t="str">
        <f t="shared" si="69"/>
        <v>#DIV/0!</v>
      </c>
      <c r="AH80" s="5"/>
      <c r="AI80" s="44" t="s">
        <v>37</v>
      </c>
      <c r="AJ80" s="22" t="s">
        <v>19</v>
      </c>
      <c r="AK80" s="63" t="str">
        <f>'Сентябрь 25'!AG80</f>
        <v>#DIV/0!</v>
      </c>
      <c r="AL80" s="63">
        <f t="shared" si="70"/>
        <v>0</v>
      </c>
      <c r="AM80" s="63" t="str">
        <f t="shared" si="71"/>
        <v>#DIV/0!</v>
      </c>
      <c r="AN80" s="5"/>
    </row>
    <row r="81">
      <c r="A81" s="2"/>
      <c r="B81" s="2" t="s">
        <v>54</v>
      </c>
      <c r="C81" s="2"/>
      <c r="D81" s="30">
        <f>(D78-D73)/($G$1-$C$1)</f>
        <v>-262467.4</v>
      </c>
      <c r="E81" s="2"/>
      <c r="F81" s="2" t="s">
        <v>54</v>
      </c>
      <c r="G81" s="2"/>
      <c r="H81" s="30">
        <f>(H78-H73)/($G$1-$C$1)</f>
        <v>152694.8</v>
      </c>
      <c r="I81" s="2"/>
      <c r="J81" s="2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5"/>
      <c r="AD81" s="22" t="s">
        <v>27</v>
      </c>
      <c r="AE81" s="23">
        <f>'Сентябрь 25'!AA81</f>
        <v>959556</v>
      </c>
      <c r="AF81" s="23">
        <f t="shared" si="68"/>
        <v>2120688</v>
      </c>
      <c r="AG81" s="63">
        <f t="shared" si="69"/>
        <v>1.210072158</v>
      </c>
      <c r="AH81" s="55"/>
      <c r="AJ81" s="22" t="s">
        <v>27</v>
      </c>
      <c r="AK81" s="63">
        <f>'Сентябрь 25'!AG81</f>
        <v>0</v>
      </c>
      <c r="AL81" s="63">
        <f t="shared" si="70"/>
        <v>0</v>
      </c>
      <c r="AM81" s="63" t="str">
        <f t="shared" si="71"/>
        <v>#DIV/0!</v>
      </c>
      <c r="AN81" s="55"/>
    </row>
    <row r="82">
      <c r="A82" s="2"/>
      <c r="B82" s="2" t="s">
        <v>89</v>
      </c>
      <c r="C82" s="2"/>
      <c r="D82" s="30">
        <f>D73-D80</f>
        <v>1807474.581</v>
      </c>
      <c r="E82" s="2"/>
      <c r="F82" s="2" t="s">
        <v>89</v>
      </c>
      <c r="G82" s="2"/>
      <c r="H82" s="30">
        <f>H73-H80</f>
        <v>-399343.1935</v>
      </c>
      <c r="I82" s="2"/>
      <c r="J82" s="2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5"/>
      <c r="AC82" s="55"/>
      <c r="AD82" s="55"/>
      <c r="AE82" s="52">
        <f>'Сентябрь 25'!AA82</f>
        <v>218369496.5</v>
      </c>
      <c r="AF82" s="52">
        <f>SUM(AF72:AF81)</f>
        <v>580465889.3</v>
      </c>
      <c r="AG82" s="69">
        <f t="shared" si="69"/>
        <v>1.658182111</v>
      </c>
      <c r="AH82" s="55"/>
      <c r="AI82" s="55"/>
      <c r="AJ82" s="55"/>
      <c r="AK82" s="69">
        <f>'Сентябрь 25'!AG82</f>
        <v>0.09963096194</v>
      </c>
      <c r="AL82" s="69">
        <f>AJ68</f>
        <v>0.06662273066</v>
      </c>
      <c r="AM82" s="69">
        <f t="shared" si="71"/>
        <v>-0.3313049542</v>
      </c>
      <c r="AN82" s="55"/>
    </row>
    <row r="83">
      <c r="A83" s="2"/>
      <c r="B83" s="2" t="s">
        <v>56</v>
      </c>
      <c r="C83" s="2"/>
      <c r="D83" s="30">
        <f>D73/$C$1*$G$1</f>
        <v>5224918.846</v>
      </c>
      <c r="E83" s="2"/>
      <c r="F83" s="2" t="s">
        <v>56</v>
      </c>
      <c r="G83" s="2"/>
      <c r="H83" s="30">
        <f>H73/$C$1*$G$1</f>
        <v>1781471.038</v>
      </c>
      <c r="I83" s="2"/>
      <c r="J83" s="2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5"/>
      <c r="AC83" s="55"/>
      <c r="AD83" s="55"/>
      <c r="AE83" s="55"/>
      <c r="AF83" s="55"/>
      <c r="AG83" s="52">
        <f>AF82-AE82</f>
        <v>362096392.8</v>
      </c>
      <c r="AH83" s="55"/>
      <c r="AI83" s="55"/>
      <c r="AJ83" s="55"/>
      <c r="AK83" s="55"/>
      <c r="AL83" s="55"/>
      <c r="AM83" s="55"/>
      <c r="AN83" s="55"/>
    </row>
    <row r="84">
      <c r="A84" s="2"/>
      <c r="B84" s="66" t="s">
        <v>57</v>
      </c>
      <c r="C84" s="66"/>
      <c r="D84" s="67">
        <f>D83/D78</f>
        <v>1.70200946</v>
      </c>
      <c r="E84" s="2"/>
      <c r="F84" s="66" t="s">
        <v>57</v>
      </c>
      <c r="G84" s="66"/>
      <c r="H84" s="67">
        <f>H83/H78</f>
        <v>0.7890956584</v>
      </c>
      <c r="I84" s="2"/>
      <c r="J84" s="2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  <c r="AK85" s="56"/>
      <c r="AL85" s="56"/>
      <c r="AM85" s="56"/>
      <c r="AN85" s="56"/>
    </row>
    <row r="86">
      <c r="A86" s="2"/>
      <c r="B86" s="70" t="s">
        <v>34</v>
      </c>
      <c r="C86" s="17"/>
      <c r="D86" s="17"/>
      <c r="E86" s="17"/>
      <c r="F86" s="17"/>
      <c r="G86" s="17"/>
      <c r="H86" s="18"/>
      <c r="I86" s="2"/>
      <c r="J86" s="2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6"/>
    </row>
    <row r="87">
      <c r="A87" s="2"/>
      <c r="B87" s="70" t="str">
        <f>B66</f>
        <v>Биг–Л / Март | до </v>
      </c>
      <c r="C87" s="17"/>
      <c r="D87" s="28">
        <f>$D$4</f>
        <v>46107</v>
      </c>
      <c r="E87" s="2"/>
      <c r="F87" s="70" t="str">
        <f>F66</f>
        <v>Смарт/ Март| до </v>
      </c>
      <c r="G87" s="17"/>
      <c r="H87" s="28">
        <f>$D$4</f>
        <v>46107</v>
      </c>
      <c r="I87" s="2"/>
      <c r="J87" s="2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6"/>
    </row>
    <row r="88">
      <c r="A88" s="2"/>
      <c r="B88" s="106" t="s">
        <v>90</v>
      </c>
      <c r="C88" s="107">
        <v>13460.13</v>
      </c>
      <c r="D88" s="108"/>
      <c r="E88" s="2"/>
      <c r="F88" s="106" t="s">
        <v>90</v>
      </c>
      <c r="G88" s="107">
        <v>44712.84</v>
      </c>
      <c r="H88" s="108"/>
      <c r="I88" s="2"/>
      <c r="J88" s="2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  <c r="AK88" s="56"/>
      <c r="AL88" s="56"/>
      <c r="AM88" s="56"/>
      <c r="AN88" s="56"/>
    </row>
    <row r="89">
      <c r="A89" s="2"/>
      <c r="B89" s="41" t="s">
        <v>43</v>
      </c>
      <c r="C89" s="2"/>
      <c r="D89" s="54">
        <f>S35</f>
        <v>490176</v>
      </c>
      <c r="E89" s="2"/>
      <c r="F89" s="41" t="s">
        <v>43</v>
      </c>
      <c r="G89" s="2"/>
      <c r="H89" s="54">
        <f>T35</f>
        <v>1274528</v>
      </c>
      <c r="I89" s="2"/>
      <c r="J89" s="2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  <c r="AK89" s="56"/>
      <c r="AL89" s="56"/>
      <c r="AM89" s="56"/>
      <c r="AN89" s="56"/>
    </row>
    <row r="90">
      <c r="A90" s="2"/>
      <c r="B90" s="41" t="s">
        <v>44</v>
      </c>
      <c r="C90" s="2"/>
      <c r="D90" s="57">
        <f>C88/D89</f>
        <v>0.02745978995</v>
      </c>
      <c r="E90" s="2"/>
      <c r="F90" s="41" t="s">
        <v>44</v>
      </c>
      <c r="G90" s="2"/>
      <c r="H90" s="57">
        <f>G88/H89</f>
        <v>0.03508188129</v>
      </c>
      <c r="I90" s="2"/>
      <c r="J90" s="2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  <c r="AM90" s="56"/>
      <c r="AN90" s="56"/>
    </row>
    <row r="91">
      <c r="A91" s="2"/>
      <c r="B91" s="41" t="s">
        <v>47</v>
      </c>
      <c r="C91" s="59">
        <v>0.1</v>
      </c>
      <c r="D91" s="54">
        <f>D89*C91</f>
        <v>49017.6</v>
      </c>
      <c r="E91" s="2"/>
      <c r="F91" s="41" t="s">
        <v>47</v>
      </c>
      <c r="G91" s="59">
        <v>0.1</v>
      </c>
      <c r="H91" s="54">
        <f>H89*G91</f>
        <v>127452.8</v>
      </c>
      <c r="I91" s="2"/>
      <c r="J91" s="2"/>
      <c r="K91" s="56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>
      <c r="A92" s="2"/>
      <c r="B92" s="77" t="s">
        <v>50</v>
      </c>
      <c r="C92" s="61"/>
      <c r="D92" s="62">
        <f>C88-D91</f>
        <v>-35557.47</v>
      </c>
      <c r="E92" s="2"/>
      <c r="F92" s="77" t="s">
        <v>50</v>
      </c>
      <c r="G92" s="61"/>
      <c r="H92" s="62">
        <f>G88-H91</f>
        <v>-82739.96</v>
      </c>
      <c r="I92" s="2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  <c r="AK92" s="56"/>
      <c r="AL92" s="56"/>
      <c r="AM92" s="56"/>
      <c r="AN92" s="56"/>
    </row>
    <row r="93">
      <c r="A93" s="2"/>
      <c r="B93" s="2"/>
      <c r="C93" s="2"/>
      <c r="D93" s="2"/>
      <c r="E93" s="2"/>
      <c r="F93" s="2"/>
      <c r="G93" s="2"/>
      <c r="H93" s="2"/>
      <c r="I93" s="2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  <c r="AK93" s="56"/>
      <c r="AL93" s="56"/>
      <c r="AM93" s="56"/>
      <c r="AN93" s="56"/>
    </row>
    <row r="94">
      <c r="A94" s="2"/>
      <c r="B94" s="58" t="s">
        <v>51</v>
      </c>
      <c r="C94" s="2"/>
      <c r="D94" s="64">
        <f>S42</f>
        <v>619304</v>
      </c>
      <c r="E94" s="2"/>
      <c r="F94" s="58" t="s">
        <v>51</v>
      </c>
      <c r="G94" s="2"/>
      <c r="H94" s="64">
        <f>T42</f>
        <v>1719666</v>
      </c>
      <c r="I94" s="2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N94" s="56"/>
    </row>
    <row r="95">
      <c r="A95" s="2"/>
      <c r="B95" s="2" t="s">
        <v>52</v>
      </c>
      <c r="C95" s="2"/>
      <c r="D95" s="30">
        <f>D89/$C$1</f>
        <v>18852.92308</v>
      </c>
      <c r="E95" s="2"/>
      <c r="F95" s="2" t="s">
        <v>52</v>
      </c>
      <c r="G95" s="2"/>
      <c r="H95" s="30">
        <f>H89/$C$1</f>
        <v>49020.30769</v>
      </c>
      <c r="I95" s="2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  <c r="AM95" s="56"/>
      <c r="AN95" s="56"/>
    </row>
    <row r="96">
      <c r="A96" s="2"/>
      <c r="B96" s="2" t="s">
        <v>53</v>
      </c>
      <c r="C96" s="2"/>
      <c r="D96" s="30">
        <f>D94/$G$1*$C$1</f>
        <v>519416.2581</v>
      </c>
      <c r="E96" s="2"/>
      <c r="F96" s="2" t="s">
        <v>53</v>
      </c>
      <c r="G96" s="2"/>
      <c r="H96" s="30">
        <f>H94/$G$1*$C$1</f>
        <v>1442300.516</v>
      </c>
      <c r="I96" s="2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</row>
    <row r="97">
      <c r="A97" s="2"/>
      <c r="B97" s="2" t="s">
        <v>54</v>
      </c>
      <c r="C97" s="2"/>
      <c r="D97" s="30">
        <f>(D94-D89)/($G$1-$C$1)</f>
        <v>25825.6</v>
      </c>
      <c r="E97" s="2"/>
      <c r="F97" s="2" t="s">
        <v>54</v>
      </c>
      <c r="G97" s="2"/>
      <c r="H97" s="30">
        <f>(H94-H89)/($G$1-$C$1)</f>
        <v>89027.6</v>
      </c>
      <c r="I97" s="2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6"/>
    </row>
    <row r="98">
      <c r="A98" s="2"/>
      <c r="B98" s="2" t="s">
        <v>89</v>
      </c>
      <c r="C98" s="2"/>
      <c r="D98" s="30">
        <f>D89-D96</f>
        <v>-29240.25806</v>
      </c>
      <c r="E98" s="2"/>
      <c r="F98" s="2" t="s">
        <v>89</v>
      </c>
      <c r="G98" s="2"/>
      <c r="H98" s="30">
        <f>H89-H96</f>
        <v>-167772.5161</v>
      </c>
      <c r="I98" s="2"/>
      <c r="J98" s="2"/>
      <c r="K98" s="56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>
      <c r="A99" s="2"/>
      <c r="B99" s="2" t="s">
        <v>56</v>
      </c>
      <c r="C99" s="2"/>
      <c r="D99" s="30">
        <f>D89/$C$1*$G$1</f>
        <v>584440.6154</v>
      </c>
      <c r="E99" s="2"/>
      <c r="F99" s="2" t="s">
        <v>56</v>
      </c>
      <c r="G99" s="2"/>
      <c r="H99" s="30">
        <f>H89/$C$1*$G$1</f>
        <v>1519629.538</v>
      </c>
      <c r="I99" s="2"/>
      <c r="J99" s="2"/>
      <c r="K99" s="56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>
      <c r="A100" s="2"/>
      <c r="B100" s="66" t="s">
        <v>57</v>
      </c>
      <c r="C100" s="66"/>
      <c r="D100" s="67">
        <f>D99/D94</f>
        <v>0.9437055394</v>
      </c>
      <c r="E100" s="2"/>
      <c r="F100" s="66" t="s">
        <v>57</v>
      </c>
      <c r="G100" s="66"/>
      <c r="H100" s="67">
        <f>H99/H94</f>
        <v>0.8836771434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>
      <c r="A102" s="2"/>
      <c r="B102" s="26" t="s">
        <v>91</v>
      </c>
      <c r="C102" s="17"/>
      <c r="D102" s="17"/>
      <c r="E102" s="17"/>
      <c r="F102" s="17"/>
      <c r="G102" s="17"/>
      <c r="H102" s="18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>
      <c r="A103" s="2"/>
      <c r="B103" s="70" t="str">
        <f>B82</f>
        <v>Разница от плана</v>
      </c>
      <c r="C103" s="17"/>
      <c r="D103" s="28">
        <f>$D$4</f>
        <v>46107</v>
      </c>
      <c r="E103" s="2"/>
      <c r="F103" s="70" t="str">
        <f>F82</f>
        <v>Разница от плана</v>
      </c>
      <c r="G103" s="17"/>
      <c r="H103" s="28">
        <f>$D$4</f>
        <v>46107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>
      <c r="A104" s="2"/>
      <c r="B104" s="106" t="s">
        <v>90</v>
      </c>
      <c r="C104" s="109"/>
      <c r="D104" s="110"/>
      <c r="E104" s="2"/>
      <c r="F104" s="106" t="s">
        <v>90</v>
      </c>
      <c r="G104" s="109"/>
      <c r="H104" s="111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>
      <c r="A105" s="2"/>
      <c r="B105" s="41" t="s">
        <v>43</v>
      </c>
      <c r="C105" s="2"/>
      <c r="D105" s="54">
        <f>W35</f>
        <v>49615.54</v>
      </c>
      <c r="E105" s="2"/>
      <c r="F105" s="41" t="s">
        <v>43</v>
      </c>
      <c r="G105" s="2"/>
      <c r="H105" s="54">
        <f>X35</f>
        <v>97125.15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>
      <c r="A106" s="2"/>
      <c r="B106" s="41" t="s">
        <v>44</v>
      </c>
      <c r="C106" s="2"/>
      <c r="D106" s="57">
        <f>C104/D105</f>
        <v>0</v>
      </c>
      <c r="E106" s="2"/>
      <c r="F106" s="41" t="s">
        <v>44</v>
      </c>
      <c r="G106" s="2"/>
      <c r="H106" s="57">
        <f>G104/H105</f>
        <v>0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>
      <c r="A107" s="2"/>
      <c r="B107" s="41" t="s">
        <v>47</v>
      </c>
      <c r="C107" s="59">
        <v>0.1</v>
      </c>
      <c r="D107" s="54">
        <f>D105*C107</f>
        <v>4961.554</v>
      </c>
      <c r="E107" s="2"/>
      <c r="F107" s="41" t="s">
        <v>47</v>
      </c>
      <c r="G107" s="59">
        <v>0.1</v>
      </c>
      <c r="H107" s="54">
        <f>H105*G107</f>
        <v>9712.515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>
      <c r="A108" s="2"/>
      <c r="B108" s="77" t="s">
        <v>50</v>
      </c>
      <c r="C108" s="61"/>
      <c r="D108" s="62">
        <f>C104-D107</f>
        <v>-4961.554</v>
      </c>
      <c r="E108" s="2"/>
      <c r="F108" s="77" t="s">
        <v>50</v>
      </c>
      <c r="G108" s="61"/>
      <c r="H108" s="62">
        <f>G104-H107</f>
        <v>-9712.515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>
      <c r="A110" s="2"/>
      <c r="B110" s="58" t="s">
        <v>51</v>
      </c>
      <c r="C110" s="2"/>
      <c r="D110" s="65">
        <v>0.0</v>
      </c>
      <c r="E110" s="2"/>
      <c r="F110" s="58" t="s">
        <v>51</v>
      </c>
      <c r="G110" s="2"/>
      <c r="H110" s="65">
        <v>0.0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>
      <c r="A111" s="2"/>
      <c r="B111" s="2" t="s">
        <v>52</v>
      </c>
      <c r="C111" s="2"/>
      <c r="D111" s="30">
        <f>D105/$C$1</f>
        <v>1908.29</v>
      </c>
      <c r="E111" s="2"/>
      <c r="F111" s="2" t="s">
        <v>52</v>
      </c>
      <c r="G111" s="2"/>
      <c r="H111" s="30">
        <f>H105/$C$1</f>
        <v>3735.582692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>
      <c r="A112" s="2"/>
      <c r="B112" s="2" t="s">
        <v>53</v>
      </c>
      <c r="C112" s="2"/>
      <c r="D112" s="30">
        <f>D110/$G$1*$C$1</f>
        <v>0</v>
      </c>
      <c r="E112" s="2"/>
      <c r="F112" s="2" t="s">
        <v>53</v>
      </c>
      <c r="G112" s="2"/>
      <c r="H112" s="30">
        <f>H110/$G$1*$C$1</f>
        <v>0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>
      <c r="A113" s="2"/>
      <c r="B113" s="2" t="s">
        <v>54</v>
      </c>
      <c r="C113" s="2"/>
      <c r="D113" s="30">
        <f>(D110-D105)/($G$1-$C$1)</f>
        <v>-9923.108</v>
      </c>
      <c r="E113" s="2"/>
      <c r="F113" s="2" t="s">
        <v>54</v>
      </c>
      <c r="G113" s="2"/>
      <c r="H113" s="30">
        <f>(H110-H105)/($G$1-$C$1)</f>
        <v>-19425.03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>
      <c r="A114" s="2"/>
      <c r="B114" s="2" t="s">
        <v>89</v>
      </c>
      <c r="C114" s="2"/>
      <c r="D114" s="30">
        <f>D105-D112</f>
        <v>49615.54</v>
      </c>
      <c r="E114" s="2"/>
      <c r="F114" s="2" t="s">
        <v>89</v>
      </c>
      <c r="G114" s="2"/>
      <c r="H114" s="30">
        <f>H105-H112</f>
        <v>97125.15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>
      <c r="A115" s="2"/>
      <c r="B115" s="2" t="s">
        <v>56</v>
      </c>
      <c r="C115" s="2"/>
      <c r="D115" s="30">
        <f>D105/$C$1*$G$1</f>
        <v>59156.99</v>
      </c>
      <c r="E115" s="2"/>
      <c r="F115" s="2" t="s">
        <v>56</v>
      </c>
      <c r="G115" s="2"/>
      <c r="H115" s="30">
        <f>H105/$C$1*$G$1</f>
        <v>115803.0635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>
      <c r="A116" s="2"/>
      <c r="B116" s="66" t="s">
        <v>57</v>
      </c>
      <c r="C116" s="66"/>
      <c r="D116" s="67" t="str">
        <f>D115/D110</f>
        <v>#DIV/0!</v>
      </c>
      <c r="E116" s="2"/>
      <c r="F116" s="66" t="s">
        <v>57</v>
      </c>
      <c r="G116" s="66"/>
      <c r="H116" s="67" t="str">
        <f>H115/H110</f>
        <v>#DIV/0!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>
      <c r="A120" s="2"/>
      <c r="B120" s="26" t="s">
        <v>92</v>
      </c>
      <c r="C120" s="18"/>
      <c r="D120" s="2"/>
      <c r="E120" s="26" t="s">
        <v>51</v>
      </c>
      <c r="F120" s="18"/>
      <c r="G120" s="2"/>
      <c r="H120" s="112" t="s">
        <v>93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>
      <c r="A122" s="2"/>
      <c r="B122" s="26" t="s">
        <v>94</v>
      </c>
      <c r="C122" s="18"/>
      <c r="D122" s="2"/>
      <c r="E122" s="70" t="str">
        <f>B122</f>
        <v>Выручка по маркетплейсам</v>
      </c>
      <c r="F122" s="18"/>
      <c r="G122" s="2"/>
      <c r="H122" s="112" t="s">
        <v>93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>
      <c r="A123" s="2"/>
      <c r="B123" s="2" t="s">
        <v>95</v>
      </c>
      <c r="C123" s="30">
        <f>SUM(D16, H16)</f>
        <v>161428945.3</v>
      </c>
      <c r="D123" s="2"/>
      <c r="E123" s="2" t="s">
        <v>96</v>
      </c>
      <c r="F123" s="30">
        <f>SUM(D23, H23)</f>
        <v>158774352</v>
      </c>
      <c r="G123" s="2"/>
      <c r="H123" s="113">
        <f t="shared" ref="H123:H126" si="72">C123/F123</f>
        <v>1.016719283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>
      <c r="A124" s="2"/>
      <c r="B124" s="2" t="s">
        <v>97</v>
      </c>
      <c r="C124" s="30">
        <f>SUM(D34, H34)</f>
        <v>409174322</v>
      </c>
      <c r="D124" s="2"/>
      <c r="E124" s="2" t="s">
        <v>98</v>
      </c>
      <c r="F124" s="30">
        <f>SUM(D41, H41)</f>
        <v>268770641.5</v>
      </c>
      <c r="G124" s="2"/>
      <c r="H124" s="113">
        <f t="shared" si="72"/>
        <v>1.522392177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>
      <c r="A125" s="2"/>
      <c r="B125" s="2" t="s">
        <v>99</v>
      </c>
      <c r="C125" s="30">
        <f>SUM(D73, H73)</f>
        <v>5876327</v>
      </c>
      <c r="D125" s="2"/>
      <c r="E125" s="2" t="s">
        <v>100</v>
      </c>
      <c r="F125" s="30">
        <f>SUM(D80,H80)</f>
        <v>4468195.613</v>
      </c>
      <c r="G125" s="2"/>
      <c r="H125" s="113">
        <f t="shared" si="72"/>
        <v>1.315145421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>
      <c r="A126" s="2"/>
      <c r="B126" s="2" t="s">
        <v>101</v>
      </c>
      <c r="C126" s="30">
        <f>SUM(D89,H89)</f>
        <v>1764704</v>
      </c>
      <c r="D126" s="2"/>
      <c r="E126" s="2" t="s">
        <v>102</v>
      </c>
      <c r="F126" s="30">
        <f>SUM(H96,D96)</f>
        <v>1961716.774</v>
      </c>
      <c r="G126" s="2"/>
      <c r="H126" s="113">
        <f t="shared" si="72"/>
        <v>0.8995712445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>
      <c r="A128" s="2"/>
      <c r="B128" s="26" t="s">
        <v>103</v>
      </c>
      <c r="C128" s="18"/>
      <c r="D128" s="2"/>
      <c r="E128" s="70" t="str">
        <f>B128</f>
        <v>Выручка по направлениям</v>
      </c>
      <c r="F128" s="18"/>
      <c r="G128" s="2"/>
      <c r="H128" s="112" t="s">
        <v>93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>
      <c r="A129" s="2"/>
      <c r="B129" s="4" t="s">
        <v>104</v>
      </c>
      <c r="C129" s="30">
        <f>SUM(D16, D34, D73)</f>
        <v>385090606</v>
      </c>
      <c r="D129" s="2"/>
      <c r="E129" s="2" t="s">
        <v>105</v>
      </c>
      <c r="F129" s="30">
        <f>SUM(D23, D41, D80)</f>
        <v>263525929.7</v>
      </c>
      <c r="G129" s="2"/>
      <c r="H129" s="113">
        <f t="shared" ref="H129:H130" si="73">C129/F129</f>
        <v>1.461300626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>
      <c r="A130" s="2"/>
      <c r="B130" s="4" t="s">
        <v>106</v>
      </c>
      <c r="C130" s="30">
        <f>SUM(H16, H34, H73, H89)</f>
        <v>192663516.3</v>
      </c>
      <c r="D130" s="2"/>
      <c r="E130" s="2" t="s">
        <v>107</v>
      </c>
      <c r="F130" s="30">
        <f>SUM(H23, H41, H80, H96)</f>
        <v>169929559.8</v>
      </c>
      <c r="G130" s="2"/>
      <c r="H130" s="113">
        <f t="shared" si="73"/>
        <v>1.13378459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>
      <c r="A132" s="2"/>
      <c r="B132" s="26" t="s">
        <v>108</v>
      </c>
      <c r="C132" s="18"/>
      <c r="D132" s="2"/>
      <c r="E132" s="70" t="str">
        <f>B132</f>
        <v>Суммарная выручка</v>
      </c>
      <c r="F132" s="18"/>
      <c r="G132" s="2"/>
      <c r="H132" s="112" t="s">
        <v>93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>
      <c r="A133" s="2"/>
      <c r="B133" s="2" t="s">
        <v>109</v>
      </c>
      <c r="C133" s="30">
        <f>SUM(C123:C126)</f>
        <v>578244298.3</v>
      </c>
      <c r="D133" s="2"/>
      <c r="E133" s="2" t="s">
        <v>110</v>
      </c>
      <c r="F133" s="30">
        <f>SUM(F123:F126)</f>
        <v>433974905.8</v>
      </c>
      <c r="G133" s="2"/>
      <c r="H133" s="113">
        <f t="shared" ref="H133:H134" si="74">C133/F133</f>
        <v>1.332437177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>
      <c r="A134" s="2"/>
      <c r="B134" s="2" t="s">
        <v>111</v>
      </c>
      <c r="C134" s="30">
        <f>C133/$C$1*G1</f>
        <v>689445124.9</v>
      </c>
      <c r="D134" s="2"/>
      <c r="E134" s="2" t="s">
        <v>112</v>
      </c>
      <c r="F134" s="30">
        <f>SUM(D21, H21, D39, H39, D78, H78, D94, H94)</f>
        <v>517431618.5</v>
      </c>
      <c r="G134" s="2"/>
      <c r="H134" s="113">
        <f t="shared" si="74"/>
        <v>1.332437177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>
      <c r="A136" s="2"/>
      <c r="B136" s="26" t="s">
        <v>113</v>
      </c>
      <c r="C136" s="17"/>
      <c r="D136" s="17"/>
      <c r="E136" s="17"/>
      <c r="F136" s="18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>
      <c r="A138" s="2"/>
      <c r="B138" s="26" t="s">
        <v>114</v>
      </c>
      <c r="C138" s="18"/>
      <c r="D138" s="2"/>
      <c r="E138" s="70" t="str">
        <f>B138</f>
        <v>Доля Рекламных Расходов</v>
      </c>
      <c r="F138" s="18"/>
      <c r="G138" s="2"/>
      <c r="H138" s="112" t="s">
        <v>93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>
      <c r="A139" s="2"/>
      <c r="B139" s="2" t="s">
        <v>18</v>
      </c>
      <c r="C139" s="35">
        <f>SUM(C15,G15)/SUM(D16,H16)</f>
        <v>0.1082571156</v>
      </c>
      <c r="D139" s="2"/>
      <c r="E139" s="2" t="s">
        <v>18</v>
      </c>
      <c r="F139" s="35">
        <f>(D21*C18+H21*G18)/SUM(D21, H21)</f>
        <v>0.1410987271</v>
      </c>
      <c r="G139" s="2"/>
      <c r="H139" s="35">
        <f t="shared" ref="H139:H142" si="75">C139/F139-1</f>
        <v>-0.2327562563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>
      <c r="A140" s="2"/>
      <c r="B140" s="2" t="s">
        <v>115</v>
      </c>
      <c r="C140" s="35">
        <f>SUM(C33,G33)/SUM(D34,H34)</f>
        <v>0.04984425098</v>
      </c>
      <c r="D140" s="2"/>
      <c r="E140" s="2" t="s">
        <v>115</v>
      </c>
      <c r="F140" s="35">
        <f>(D39*C36+H39*G36)/SUM(D39, H39)</f>
        <v>0.08</v>
      </c>
      <c r="G140" s="2"/>
      <c r="H140" s="35">
        <f t="shared" si="75"/>
        <v>-0.3769468628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>
      <c r="A141" s="2"/>
      <c r="B141" s="2" t="s">
        <v>31</v>
      </c>
      <c r="C141" s="35">
        <f>SUM(C72,G72)/SUM(D73,H73)</f>
        <v>0.1363782172</v>
      </c>
      <c r="D141" s="2"/>
      <c r="E141" s="2" t="s">
        <v>31</v>
      </c>
      <c r="F141" s="35">
        <f>(D78*C75+H78*G75)/SUM(D78, H78)</f>
        <v>0</v>
      </c>
      <c r="G141" s="2"/>
      <c r="H141" s="35" t="str">
        <f t="shared" si="75"/>
        <v>#DIV/0!</v>
      </c>
      <c r="I141" s="2"/>
      <c r="J141" s="2"/>
      <c r="K141" s="2"/>
      <c r="L141" s="2"/>
      <c r="M141" s="31"/>
      <c r="N141" s="31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>
      <c r="A142" s="2"/>
      <c r="B142" s="2" t="s">
        <v>116</v>
      </c>
      <c r="C142" s="35">
        <f>SUM(C15, G15, C33, G33, C72, G72, C88, G88)/C133</f>
        <v>0.06697929523</v>
      </c>
      <c r="D142" s="2"/>
      <c r="E142" s="2" t="s">
        <v>116</v>
      </c>
      <c r="F142" s="35">
        <f>SUM(D16*C18, H16*G18, D34*C36, H34*G36, D73*C75, H73*G75, H89*G91, D89*C91)/C133</f>
        <v>0.09632702796</v>
      </c>
      <c r="G142" s="2"/>
      <c r="H142" s="35">
        <f t="shared" si="75"/>
        <v>-0.3046676862</v>
      </c>
      <c r="I142" s="67">
        <f>1+H142</f>
        <v>0.6953323138</v>
      </c>
      <c r="J142" s="2"/>
      <c r="K142" s="4"/>
      <c r="L142" s="2"/>
      <c r="M142" s="114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>
      <c r="A144" s="2"/>
      <c r="B144" s="26" t="s">
        <v>117</v>
      </c>
      <c r="C144" s="17"/>
      <c r="D144" s="17"/>
      <c r="E144" s="17"/>
      <c r="F144" s="18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>
      <c r="A146" s="2"/>
      <c r="B146" s="26" t="s">
        <v>114</v>
      </c>
      <c r="C146" s="18"/>
      <c r="D146" s="2"/>
      <c r="E146" s="70" t="str">
        <f>B146</f>
        <v>Доля Рекламных Расходов</v>
      </c>
      <c r="F146" s="18"/>
      <c r="G146" s="2"/>
      <c r="H146" s="112" t="s">
        <v>93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>
      <c r="A147" s="2"/>
      <c r="B147" s="2" t="s">
        <v>18</v>
      </c>
      <c r="C147" s="35">
        <f>C139</f>
        <v>0.1082571156</v>
      </c>
      <c r="D147" s="2"/>
      <c r="E147" s="2" t="s">
        <v>18</v>
      </c>
      <c r="F147" s="35">
        <f t="shared" ref="F147:F150" si="76">F139</f>
        <v>0.1410987271</v>
      </c>
      <c r="G147" s="2"/>
      <c r="H147" s="35">
        <f t="shared" ref="H147:H150" si="77">C147/F147-1</f>
        <v>-0.2327562563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>
      <c r="A148" s="2"/>
      <c r="B148" s="2" t="s">
        <v>115</v>
      </c>
      <c r="C148" s="35">
        <f>SUM(C51,G51)/SUM(D52,H52)</f>
        <v>0</v>
      </c>
      <c r="D148" s="2"/>
      <c r="E148" s="2" t="s">
        <v>115</v>
      </c>
      <c r="F148" s="35">
        <f t="shared" si="76"/>
        <v>0.08</v>
      </c>
      <c r="G148" s="2"/>
      <c r="H148" s="35">
        <f t="shared" si="77"/>
        <v>-1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>
      <c r="A149" s="2"/>
      <c r="B149" s="2" t="s">
        <v>31</v>
      </c>
      <c r="C149" s="35">
        <f>C141</f>
        <v>0.1363782172</v>
      </c>
      <c r="D149" s="2"/>
      <c r="E149" s="2" t="s">
        <v>31</v>
      </c>
      <c r="F149" s="35">
        <f t="shared" si="76"/>
        <v>0</v>
      </c>
      <c r="G149" s="2"/>
      <c r="H149" s="35" t="str">
        <f t="shared" si="77"/>
        <v>#DIV/0!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>
      <c r="A150" s="2"/>
      <c r="B150" s="2" t="s">
        <v>116</v>
      </c>
      <c r="C150" s="35">
        <f>SUM(C15, G15, C51, G51, C72, G72, C88, G88)/C133</f>
        <v>0.03170875705</v>
      </c>
      <c r="D150" s="2"/>
      <c r="E150" s="2" t="s">
        <v>116</v>
      </c>
      <c r="F150" s="35">
        <f t="shared" si="76"/>
        <v>0.09632702796</v>
      </c>
      <c r="G150" s="2"/>
      <c r="H150" s="35">
        <f t="shared" si="77"/>
        <v>-0.6708218065</v>
      </c>
      <c r="I150" s="67">
        <f>1+H150</f>
        <v>0.3291781935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>
      <c r="A151" s="2"/>
      <c r="B151" s="2"/>
      <c r="C151" s="35"/>
      <c r="D151" s="2"/>
      <c r="E151" s="2"/>
      <c r="F151" s="35"/>
      <c r="G151" s="2"/>
      <c r="H151" s="35"/>
      <c r="I151" s="19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>
      <c r="A152" s="2"/>
      <c r="B152" s="26" t="s">
        <v>118</v>
      </c>
      <c r="C152" s="17"/>
      <c r="D152" s="17"/>
      <c r="E152" s="17"/>
      <c r="F152" s="18"/>
      <c r="G152" s="2"/>
      <c r="H152" s="35"/>
      <c r="I152" s="19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>
      <c r="A154" s="2"/>
      <c r="B154" s="115" t="s">
        <v>119</v>
      </c>
      <c r="C154" s="18"/>
      <c r="D154" s="2"/>
      <c r="E154" s="26" t="s">
        <v>60</v>
      </c>
      <c r="F154" s="18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>
      <c r="A155" s="56">
        <f t="shared" ref="A155:A158" si="78">C155/$C$159</f>
        <v>0.4512174932</v>
      </c>
      <c r="B155" s="4" t="s">
        <v>18</v>
      </c>
      <c r="C155" s="58">
        <f>SUM(C15,G15)</f>
        <v>17475832</v>
      </c>
      <c r="D155" s="2"/>
      <c r="E155" s="4" t="s">
        <v>18</v>
      </c>
      <c r="F155" s="58">
        <f>SUM(C15,G15)</f>
        <v>17475832</v>
      </c>
      <c r="G155" s="56">
        <f t="shared" ref="G155:G158" si="79">F155/$F$159</f>
        <v>0.9531193431</v>
      </c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>
      <c r="A156" s="56">
        <f t="shared" si="78"/>
        <v>0.5265886728</v>
      </c>
      <c r="B156" s="4" t="s">
        <v>115</v>
      </c>
      <c r="C156" s="58">
        <f>SUM(C33,G33)</f>
        <v>20394987.6</v>
      </c>
      <c r="D156" s="2"/>
      <c r="E156" s="4" t="s">
        <v>115</v>
      </c>
      <c r="F156" s="58">
        <f>SUM(C51,G51)</f>
        <v>0</v>
      </c>
      <c r="G156" s="56">
        <f t="shared" si="79"/>
        <v>0</v>
      </c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>
      <c r="A157" s="56">
        <f t="shared" si="78"/>
        <v>0.02069183617</v>
      </c>
      <c r="B157" s="4" t="s">
        <v>31</v>
      </c>
      <c r="C157" s="58">
        <f>SUM(C72,G72)</f>
        <v>801403</v>
      </c>
      <c r="D157" s="2"/>
      <c r="E157" s="4" t="s">
        <v>31</v>
      </c>
      <c r="F157" s="58">
        <f>SUM(C72,G72)</f>
        <v>801403</v>
      </c>
      <c r="G157" s="56">
        <f t="shared" si="79"/>
        <v>0.04370794483</v>
      </c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>
      <c r="A158" s="56">
        <f t="shared" si="78"/>
        <v>0.001501997827</v>
      </c>
      <c r="B158" s="4" t="s">
        <v>34</v>
      </c>
      <c r="C158" s="58">
        <f>SUM(C88,G88)</f>
        <v>58172.97</v>
      </c>
      <c r="D158" s="2"/>
      <c r="E158" s="4" t="s">
        <v>34</v>
      </c>
      <c r="F158" s="58">
        <f>SUM(C88,G88)</f>
        <v>58172.97</v>
      </c>
      <c r="G158" s="56">
        <f t="shared" si="79"/>
        <v>0.00317271206</v>
      </c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>
      <c r="A159" s="2"/>
      <c r="B159" s="20" t="s">
        <v>120</v>
      </c>
      <c r="C159" s="75">
        <f>SUM(C155:C158)</f>
        <v>38730395.57</v>
      </c>
      <c r="D159" s="2"/>
      <c r="E159" s="20" t="s">
        <v>120</v>
      </c>
      <c r="F159" s="75">
        <f>SUM(F155:F158)</f>
        <v>18335407.97</v>
      </c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>
      <c r="A161" s="2"/>
      <c r="B161" s="26" t="s">
        <v>121</v>
      </c>
      <c r="C161" s="17"/>
      <c r="D161" s="17"/>
      <c r="E161" s="17"/>
      <c r="F161" s="18"/>
      <c r="G161" s="2"/>
      <c r="H161" s="35"/>
      <c r="I161" s="19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>
      <c r="A163" s="2"/>
      <c r="B163" s="115" t="s">
        <v>119</v>
      </c>
      <c r="C163" s="18"/>
      <c r="D163" s="2"/>
      <c r="E163" s="26" t="s">
        <v>60</v>
      </c>
      <c r="F163" s="18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>
      <c r="A164" s="56">
        <f t="shared" ref="A164:A165" si="80">C164/$C$166</f>
        <v>0.5553308897</v>
      </c>
      <c r="B164" s="4" t="s">
        <v>19</v>
      </c>
      <c r="C164" s="58">
        <f>SUM(C15,C33,C72,C88)</f>
        <v>21508185.03</v>
      </c>
      <c r="D164" s="2"/>
      <c r="E164" s="4" t="s">
        <v>19</v>
      </c>
      <c r="F164" s="58">
        <f>SUM(C15,C51,C72,C88)</f>
        <v>8564817.13</v>
      </c>
      <c r="G164" s="56">
        <f t="shared" ref="G164:G165" si="81">F164/$F$166</f>
        <v>0.4671189833</v>
      </c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>
      <c r="A165" s="56">
        <f t="shared" si="80"/>
        <v>0.4446691103</v>
      </c>
      <c r="B165" s="4" t="s">
        <v>122</v>
      </c>
      <c r="C165" s="58">
        <f>SUM(G15,G33,G72,G88)</f>
        <v>17222210.54</v>
      </c>
      <c r="D165" s="2"/>
      <c r="E165" s="4" t="s">
        <v>122</v>
      </c>
      <c r="F165" s="58">
        <f>SUM(G15,G51,G72,G88)</f>
        <v>9770590.84</v>
      </c>
      <c r="G165" s="56">
        <f t="shared" si="81"/>
        <v>0.5328810167</v>
      </c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>
      <c r="A166" s="2"/>
      <c r="B166" s="20" t="s">
        <v>120</v>
      </c>
      <c r="C166" s="75">
        <f>SUM(C164:C165)</f>
        <v>38730395.57</v>
      </c>
      <c r="D166" s="2"/>
      <c r="E166" s="20" t="s">
        <v>120</v>
      </c>
      <c r="F166" s="75">
        <f>SUM(F164:F165)</f>
        <v>18335407.97</v>
      </c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</sheetData>
  <mergeCells count="109">
    <mergeCell ref="B4:C4"/>
    <mergeCell ref="F4:G4"/>
    <mergeCell ref="B29:H29"/>
    <mergeCell ref="B30:C30"/>
    <mergeCell ref="F30:G30"/>
    <mergeCell ref="M2:N2"/>
    <mergeCell ref="O2:P2"/>
    <mergeCell ref="Q2:R2"/>
    <mergeCell ref="S2:T2"/>
    <mergeCell ref="U2:V2"/>
    <mergeCell ref="W2:X2"/>
    <mergeCell ref="B3:H3"/>
    <mergeCell ref="Y2:AA2"/>
    <mergeCell ref="AC3:AC4"/>
    <mergeCell ref="AC5:AC6"/>
    <mergeCell ref="AC7:AC8"/>
    <mergeCell ref="AC9:AC10"/>
    <mergeCell ref="AE17:AG17"/>
    <mergeCell ref="AI17:AK17"/>
    <mergeCell ref="S38:T38"/>
    <mergeCell ref="U38:V38"/>
    <mergeCell ref="W38:X38"/>
    <mergeCell ref="Y38:AA38"/>
    <mergeCell ref="AC38:AC39"/>
    <mergeCell ref="AC40:AC41"/>
    <mergeCell ref="AC32:AC33"/>
    <mergeCell ref="AC34:AC35"/>
    <mergeCell ref="AC36:AC37"/>
    <mergeCell ref="K38:L38"/>
    <mergeCell ref="M38:N38"/>
    <mergeCell ref="O38:P38"/>
    <mergeCell ref="Q38:R38"/>
    <mergeCell ref="AC11:AC12"/>
    <mergeCell ref="AC19:AC20"/>
    <mergeCell ref="AC21:AC22"/>
    <mergeCell ref="AC23:AC24"/>
    <mergeCell ref="AC25:AC26"/>
    <mergeCell ref="AC27:AC28"/>
    <mergeCell ref="AC31:AD31"/>
    <mergeCell ref="B66:C66"/>
    <mergeCell ref="F66:G66"/>
    <mergeCell ref="B86:H86"/>
    <mergeCell ref="B87:C87"/>
    <mergeCell ref="F87:G87"/>
    <mergeCell ref="B102:H102"/>
    <mergeCell ref="F103:G103"/>
    <mergeCell ref="B103:C103"/>
    <mergeCell ref="B120:C120"/>
    <mergeCell ref="E120:F120"/>
    <mergeCell ref="B122:C122"/>
    <mergeCell ref="E122:F122"/>
    <mergeCell ref="B128:C128"/>
    <mergeCell ref="E128:F128"/>
    <mergeCell ref="E146:F146"/>
    <mergeCell ref="B152:F152"/>
    <mergeCell ref="B154:C154"/>
    <mergeCell ref="E154:F154"/>
    <mergeCell ref="B161:F161"/>
    <mergeCell ref="B163:C163"/>
    <mergeCell ref="E163:F163"/>
    <mergeCell ref="B132:C132"/>
    <mergeCell ref="E132:F132"/>
    <mergeCell ref="B136:F136"/>
    <mergeCell ref="B138:C138"/>
    <mergeCell ref="E138:F138"/>
    <mergeCell ref="B144:F144"/>
    <mergeCell ref="B146:C146"/>
    <mergeCell ref="Q48:R48"/>
    <mergeCell ref="S48:T48"/>
    <mergeCell ref="AC44:AD44"/>
    <mergeCell ref="AC45:AC46"/>
    <mergeCell ref="B47:H47"/>
    <mergeCell ref="AC47:AC48"/>
    <mergeCell ref="B48:C48"/>
    <mergeCell ref="F48:G48"/>
    <mergeCell ref="K48:L48"/>
    <mergeCell ref="Y48:AA48"/>
    <mergeCell ref="U48:V48"/>
    <mergeCell ref="W48:X48"/>
    <mergeCell ref="AC49:AC50"/>
    <mergeCell ref="S50:T50"/>
    <mergeCell ref="U50:V50"/>
    <mergeCell ref="W50:X50"/>
    <mergeCell ref="Y50:AA50"/>
    <mergeCell ref="M48:N48"/>
    <mergeCell ref="O48:P48"/>
    <mergeCell ref="K50:L50"/>
    <mergeCell ref="M50:N50"/>
    <mergeCell ref="O50:P50"/>
    <mergeCell ref="Q50:R50"/>
    <mergeCell ref="B65:H65"/>
    <mergeCell ref="AC66:AC67"/>
    <mergeCell ref="AC72:AC73"/>
    <mergeCell ref="AC74:AC75"/>
    <mergeCell ref="AC76:AC77"/>
    <mergeCell ref="AC78:AC79"/>
    <mergeCell ref="AC80:AC81"/>
    <mergeCell ref="AI72:AI73"/>
    <mergeCell ref="AI74:AI75"/>
    <mergeCell ref="AI76:AI77"/>
    <mergeCell ref="AI78:AI79"/>
    <mergeCell ref="AI80:AI81"/>
    <mergeCell ref="AC51:AC52"/>
    <mergeCell ref="AC53:AC54"/>
    <mergeCell ref="AC58:AC59"/>
    <mergeCell ref="AC60:AC61"/>
    <mergeCell ref="AC62:AC63"/>
    <mergeCell ref="AC64:AC65"/>
    <mergeCell ref="AI71:AJ71"/>
  </mergeCells>
  <conditionalFormatting sqref="D19 H19 AK32:AK42 D37 H37 AK45:AK55 D55 H55 AK58:AK68 AM72:AN82 D76 H76 D92 H92 D108 H108">
    <cfRule type="cellIs" dxfId="0" priority="1" operator="lessThan">
      <formula>0</formula>
    </cfRule>
  </conditionalFormatting>
  <conditionalFormatting sqref="D19 H19 AK32:AK42 D37 H37 AK45:AK55 D55 H55 AK58:AK68 AM72:AN82 D76 H76 D92 H92 D108 H108">
    <cfRule type="cellIs" dxfId="1" priority="2" operator="greaterThan">
      <formula>0</formula>
    </cfRule>
  </conditionalFormatting>
  <conditionalFormatting sqref="D25 H25 D43 H43 L47 M47:AA51 L49 D61 H61 AG72:AG82 D82 H82 D98 H98 D114 H114">
    <cfRule type="cellIs" dxfId="0" priority="3" operator="greaterThan">
      <formula>0</formula>
    </cfRule>
  </conditionalFormatting>
  <conditionalFormatting sqref="D25 H25 D43 H43 L47 M47:AA51 L49 D61 H61 AG72:AG82 D82 H82 D98 H98 D114 H114">
    <cfRule type="cellIs" dxfId="1" priority="4" operator="lessThan">
      <formula>0</formula>
    </cfRule>
  </conditionalFormatting>
  <conditionalFormatting sqref="AG19:AG29 AK19:AK29 D27 H27 D45 H45 D63 H63 D84 H84 D100 H100 D116 H116 H125:H136">
    <cfRule type="cellIs" dxfId="0" priority="5" operator="greaterThan">
      <formula>1</formula>
    </cfRule>
  </conditionalFormatting>
  <conditionalFormatting sqref="AG19:AG29 AK19:AK29 D27 H27 D45 H45 D63 H63 D84 H84 D100 H100 D116 H116 H125:H136">
    <cfRule type="cellIs" dxfId="1" priority="6" operator="lessThan">
      <formula>1</formula>
    </cfRule>
  </conditionalFormatting>
  <conditionalFormatting sqref="H101">
    <cfRule type="cellIs" dxfId="0" priority="7" operator="greaterThan">
      <formula>1</formula>
    </cfRule>
  </conditionalFormatting>
  <conditionalFormatting sqref="H125:H136">
    <cfRule type="cellIs" dxfId="0" priority="8" operator="greaterThan">
      <formula>1</formula>
    </cfRule>
  </conditionalFormatting>
  <conditionalFormatting sqref="H125:H136">
    <cfRule type="cellIs" dxfId="1" priority="9" operator="lessThan">
      <formula>1</formula>
    </cfRule>
  </conditionalFormatting>
  <conditionalFormatting sqref="H135:H154 H157:H159 H161:H163">
    <cfRule type="cellIs" dxfId="0" priority="10" operator="lessThan">
      <formula>1</formula>
    </cfRule>
  </conditionalFormatting>
  <conditionalFormatting sqref="H135:H154 H157:H159 H161:H163">
    <cfRule type="cellIs" dxfId="1" priority="11" operator="greaterThan">
      <formula>1</formula>
    </cfRule>
  </conditionalFormatting>
  <conditionalFormatting sqref="L47 M47:AA51 L49">
    <cfRule type="cellIs" dxfId="0" priority="12" operator="greaterThan">
      <formula>0</formula>
    </cfRule>
  </conditionalFormatting>
  <conditionalFormatting sqref="L47 M47:AA51 L49">
    <cfRule type="cellIs" dxfId="1" priority="13" operator="lessThan">
      <formula>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5"/>
    <col customWidth="1" min="3" max="4" width="15.63"/>
    <col customWidth="1" min="5" max="5" width="23.0"/>
    <col customWidth="1" min="6" max="6" width="23.5"/>
    <col customWidth="1" min="7" max="8" width="15.63"/>
    <col customWidth="1" min="11" max="11" width="28.88"/>
    <col customWidth="1" min="12" max="12" width="16.38"/>
    <col customWidth="1" min="13" max="27" width="16.25"/>
    <col customWidth="1" min="29" max="29" width="14.88"/>
    <col customWidth="1" min="30" max="30" width="12.13"/>
    <col customWidth="1" min="31" max="32" width="16.5"/>
    <col customWidth="1" min="33" max="33" width="15.38"/>
    <col customWidth="1" min="35" max="35" width="17.13"/>
    <col customWidth="1" min="39" max="39" width="15.25"/>
  </cols>
  <sheetData>
    <row r="1">
      <c r="A1" s="1">
        <v>3.0</v>
      </c>
      <c r="B1" s="2" t="s">
        <v>0</v>
      </c>
      <c r="C1" s="3">
        <v>28.0</v>
      </c>
      <c r="D1" s="2"/>
      <c r="E1" s="2"/>
      <c r="F1" s="2" t="s">
        <v>1</v>
      </c>
      <c r="G1" s="3">
        <v>28.0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4"/>
      <c r="T1" s="4"/>
      <c r="U1" s="2"/>
      <c r="V1" s="2"/>
      <c r="W1" s="2"/>
      <c r="X1" s="2"/>
      <c r="Y1" s="2"/>
      <c r="Z1" s="2"/>
      <c r="AA1" s="2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</row>
    <row r="2">
      <c r="A2" s="2" t="s">
        <v>2</v>
      </c>
      <c r="B2" s="6">
        <v>45988.0</v>
      </c>
      <c r="C2" s="2"/>
      <c r="D2" s="2"/>
      <c r="E2" s="2"/>
      <c r="F2" s="2"/>
      <c r="G2" s="2"/>
      <c r="H2" s="2"/>
      <c r="I2" s="2"/>
      <c r="J2" s="2"/>
      <c r="K2" s="2"/>
      <c r="L2" s="2"/>
      <c r="M2" s="7" t="s">
        <v>3</v>
      </c>
      <c r="O2" s="8" t="s">
        <v>4</v>
      </c>
      <c r="Q2" s="9" t="s">
        <v>5</v>
      </c>
      <c r="S2" s="10" t="s">
        <v>6</v>
      </c>
      <c r="U2" s="11" t="s">
        <v>7</v>
      </c>
      <c r="W2" s="12" t="s">
        <v>8</v>
      </c>
      <c r="Y2" s="13" t="s">
        <v>9</v>
      </c>
      <c r="AB2" s="5"/>
      <c r="AC2" s="5"/>
      <c r="AD2" s="5"/>
      <c r="AE2" s="14" t="s">
        <v>10</v>
      </c>
      <c r="AF2" s="15" t="s">
        <v>11</v>
      </c>
      <c r="AG2" s="14" t="s">
        <v>12</v>
      </c>
      <c r="AH2" s="5"/>
      <c r="AI2" s="14" t="s">
        <v>13</v>
      </c>
      <c r="AJ2" s="14" t="s">
        <v>14</v>
      </c>
      <c r="AK2" s="14" t="s">
        <v>15</v>
      </c>
      <c r="AL2" s="14" t="s">
        <v>16</v>
      </c>
      <c r="AM2" s="14" t="s">
        <v>17</v>
      </c>
      <c r="AN2" s="5"/>
    </row>
    <row r="3">
      <c r="A3" s="2"/>
      <c r="B3" s="16" t="s">
        <v>18</v>
      </c>
      <c r="C3" s="17"/>
      <c r="D3" s="17"/>
      <c r="E3" s="17"/>
      <c r="F3" s="17"/>
      <c r="G3" s="17"/>
      <c r="H3" s="18"/>
      <c r="I3" s="2"/>
      <c r="J3" s="2"/>
      <c r="K3" s="2"/>
      <c r="L3" s="2"/>
      <c r="M3" s="19" t="s">
        <v>19</v>
      </c>
      <c r="N3" s="19" t="s">
        <v>20</v>
      </c>
      <c r="O3" s="19" t="s">
        <v>19</v>
      </c>
      <c r="P3" s="19" t="s">
        <v>20</v>
      </c>
      <c r="Q3" s="19" t="s">
        <v>19</v>
      </c>
      <c r="R3" s="19" t="s">
        <v>20</v>
      </c>
      <c r="S3" s="19" t="s">
        <v>19</v>
      </c>
      <c r="T3" s="19" t="s">
        <v>20</v>
      </c>
      <c r="U3" s="19" t="s">
        <v>19</v>
      </c>
      <c r="V3" s="19" t="s">
        <v>20</v>
      </c>
      <c r="W3" s="19" t="s">
        <v>19</v>
      </c>
      <c r="X3" s="19" t="s">
        <v>20</v>
      </c>
      <c r="Y3" s="20" t="s">
        <v>21</v>
      </c>
      <c r="Z3" s="20" t="s">
        <v>22</v>
      </c>
      <c r="AA3" s="20" t="s">
        <v>23</v>
      </c>
      <c r="AB3" s="5"/>
      <c r="AC3" s="21" t="s">
        <v>24</v>
      </c>
      <c r="AD3" s="22" t="s">
        <v>19</v>
      </c>
      <c r="AE3" s="23">
        <f>D39</f>
        <v>199495328</v>
      </c>
      <c r="AF3" s="24"/>
      <c r="AG3" s="25">
        <f t="shared" ref="AG3:AG12" si="1">AE3-AF3</f>
        <v>199495328</v>
      </c>
      <c r="AH3" s="24"/>
      <c r="AI3" s="23">
        <f>O35</f>
        <v>206080314.2</v>
      </c>
      <c r="AJ3" s="24"/>
      <c r="AK3" s="23"/>
      <c r="AL3" s="24"/>
      <c r="AM3" s="23">
        <f t="shared" ref="AM3:AM12" si="2">AI3-SUM(AJ3:AL3)</f>
        <v>206080314.2</v>
      </c>
      <c r="AN3" s="5"/>
    </row>
    <row r="4">
      <c r="A4" s="2"/>
      <c r="B4" s="26" t="s">
        <v>123</v>
      </c>
      <c r="C4" s="17"/>
      <c r="D4" s="27">
        <f>TODAY()-1</f>
        <v>46107</v>
      </c>
      <c r="E4" s="2"/>
      <c r="F4" s="26" t="s">
        <v>124</v>
      </c>
      <c r="G4" s="17"/>
      <c r="H4" s="28">
        <f>$D$4</f>
        <v>46107</v>
      </c>
      <c r="I4" s="2"/>
      <c r="J4" s="2"/>
      <c r="K4" s="29">
        <v>46054.0</v>
      </c>
      <c r="L4" s="30">
        <f t="shared" ref="L4:L34" si="3">SUM(M4:AA4)</f>
        <v>22380818</v>
      </c>
      <c r="M4" s="31">
        <v>5372144.0</v>
      </c>
      <c r="N4" s="31">
        <v>2769431.0</v>
      </c>
      <c r="O4" s="31">
        <v>7651982.0</v>
      </c>
      <c r="P4" s="31">
        <v>6259469.0</v>
      </c>
      <c r="Q4" s="32">
        <v>102903.0</v>
      </c>
      <c r="R4" s="32">
        <v>81221.0</v>
      </c>
      <c r="S4" s="32">
        <v>9901.0</v>
      </c>
      <c r="T4" s="32">
        <v>68464.0</v>
      </c>
      <c r="U4" s="31">
        <v>10862.0</v>
      </c>
      <c r="V4" s="31">
        <v>53890.0</v>
      </c>
      <c r="W4" s="31">
        <v>0.0</v>
      </c>
      <c r="X4" s="31">
        <v>551.0</v>
      </c>
      <c r="Y4" s="33"/>
      <c r="Z4" s="34"/>
      <c r="AA4" s="34"/>
      <c r="AB4" s="5"/>
      <c r="AD4" s="22" t="s">
        <v>27</v>
      </c>
      <c r="AE4" s="23">
        <f>H39</f>
        <v>138055387</v>
      </c>
      <c r="AF4" s="24"/>
      <c r="AG4" s="25">
        <f t="shared" si="1"/>
        <v>138055387</v>
      </c>
      <c r="AH4" s="24"/>
      <c r="AI4" s="23">
        <f>P35</f>
        <v>114376989.1</v>
      </c>
      <c r="AJ4" s="24"/>
      <c r="AK4" s="23"/>
      <c r="AL4" s="24"/>
      <c r="AM4" s="23">
        <f t="shared" si="2"/>
        <v>114376989.1</v>
      </c>
      <c r="AN4" s="5"/>
    </row>
    <row r="5">
      <c r="A5" s="35">
        <f t="shared" ref="A5:A11" si="4">IFERROR(C5/$C$15, " ")</f>
        <v>0.8965424293</v>
      </c>
      <c r="B5" s="36" t="s">
        <v>28</v>
      </c>
      <c r="C5" s="37">
        <v>1.3483878E7</v>
      </c>
      <c r="D5" s="38"/>
      <c r="E5" s="2"/>
      <c r="F5" s="36" t="s">
        <v>28</v>
      </c>
      <c r="G5" s="37">
        <v>1.0577282E7</v>
      </c>
      <c r="H5" s="38"/>
      <c r="I5" s="35">
        <f t="shared" ref="I5:I13" si="5">IFERROR(G5/$G$15, " ")</f>
        <v>0.9576354703</v>
      </c>
      <c r="J5" s="2"/>
      <c r="K5" s="29">
        <v>46055.0</v>
      </c>
      <c r="L5" s="30">
        <f t="shared" si="3"/>
        <v>18252037</v>
      </c>
      <c r="M5" s="32">
        <v>4368346.0</v>
      </c>
      <c r="N5" s="31">
        <v>2553900.0</v>
      </c>
      <c r="O5" s="31">
        <v>7276839.0</v>
      </c>
      <c r="P5" s="31">
        <v>3722942.0</v>
      </c>
      <c r="Q5" s="32">
        <v>107801.0</v>
      </c>
      <c r="R5" s="32">
        <v>118624.0</v>
      </c>
      <c r="S5" s="32">
        <v>7429.0</v>
      </c>
      <c r="T5" s="32">
        <v>44509.0</v>
      </c>
      <c r="U5" s="31">
        <v>9858.0</v>
      </c>
      <c r="V5" s="31">
        <v>41789.0</v>
      </c>
      <c r="W5" s="31">
        <v>0.0</v>
      </c>
      <c r="X5" s="31">
        <v>0.0</v>
      </c>
      <c r="Y5" s="33"/>
      <c r="Z5" s="34"/>
      <c r="AA5" s="34"/>
      <c r="AB5" s="5"/>
      <c r="AC5" s="21" t="s">
        <v>18</v>
      </c>
      <c r="AD5" s="22" t="s">
        <v>19</v>
      </c>
      <c r="AE5" s="23">
        <f>D21</f>
        <v>110647711</v>
      </c>
      <c r="AF5" s="24"/>
      <c r="AG5" s="25">
        <f t="shared" si="1"/>
        <v>110647711</v>
      </c>
      <c r="AH5" s="24"/>
      <c r="AI5" s="23">
        <f>M35</f>
        <v>105053826</v>
      </c>
      <c r="AJ5" s="23"/>
      <c r="AK5" s="23"/>
      <c r="AL5" s="24"/>
      <c r="AM5" s="23">
        <f t="shared" si="2"/>
        <v>105053826</v>
      </c>
      <c r="AN5" s="5"/>
    </row>
    <row r="6">
      <c r="A6" s="35">
        <f t="shared" si="4"/>
        <v>0.003655218737</v>
      </c>
      <c r="B6" s="39" t="s">
        <v>29</v>
      </c>
      <c r="C6" s="32">
        <v>54974.0</v>
      </c>
      <c r="D6" s="40"/>
      <c r="E6" s="2"/>
      <c r="F6" s="39" t="s">
        <v>29</v>
      </c>
      <c r="G6" s="32">
        <v>179988.0</v>
      </c>
      <c r="H6" s="40"/>
      <c r="I6" s="35">
        <f t="shared" si="5"/>
        <v>0.01629557509</v>
      </c>
      <c r="J6" s="2"/>
      <c r="K6" s="29">
        <v>46056.0</v>
      </c>
      <c r="L6" s="30">
        <f t="shared" si="3"/>
        <v>17986719.85</v>
      </c>
      <c r="M6" s="32">
        <v>4679661.0</v>
      </c>
      <c r="N6" s="31">
        <v>2818473.0</v>
      </c>
      <c r="O6" s="32">
        <v>6841463.0</v>
      </c>
      <c r="P6" s="32">
        <v>3302445.0</v>
      </c>
      <c r="Q6" s="32">
        <v>127025.0</v>
      </c>
      <c r="R6" s="32">
        <v>95317.0</v>
      </c>
      <c r="S6" s="32">
        <v>6880.0</v>
      </c>
      <c r="T6" s="32">
        <v>64340.0</v>
      </c>
      <c r="U6" s="31">
        <v>8993.0</v>
      </c>
      <c r="V6" s="31">
        <v>39046.0</v>
      </c>
      <c r="W6" s="31">
        <v>522.5</v>
      </c>
      <c r="X6" s="31">
        <v>2554.35</v>
      </c>
      <c r="Y6" s="33"/>
      <c r="Z6" s="34"/>
      <c r="AA6" s="34"/>
      <c r="AB6" s="5"/>
      <c r="AD6" s="22" t="s">
        <v>27</v>
      </c>
      <c r="AE6" s="23">
        <f>H21</f>
        <v>80715472.5</v>
      </c>
      <c r="AF6" s="24"/>
      <c r="AG6" s="25">
        <f t="shared" si="1"/>
        <v>80715472.5</v>
      </c>
      <c r="AH6" s="24"/>
      <c r="AI6" s="23">
        <f>N35</f>
        <v>84254055.2</v>
      </c>
      <c r="AJ6" s="23"/>
      <c r="AK6" s="23"/>
      <c r="AL6" s="23"/>
      <c r="AM6" s="23">
        <f t="shared" si="2"/>
        <v>84254055.2</v>
      </c>
      <c r="AN6" s="5"/>
    </row>
    <row r="7">
      <c r="A7" s="35">
        <f t="shared" si="4"/>
        <v>0.08743947586</v>
      </c>
      <c r="B7" s="41" t="s">
        <v>30</v>
      </c>
      <c r="C7" s="32">
        <v>1315078.0</v>
      </c>
      <c r="D7" s="40"/>
      <c r="E7" s="2"/>
      <c r="F7" s="41" t="s">
        <v>30</v>
      </c>
      <c r="G7" s="32">
        <v>144385.0</v>
      </c>
      <c r="H7" s="40"/>
      <c r="I7" s="35">
        <f t="shared" si="5"/>
        <v>0.01307218597</v>
      </c>
      <c r="J7" s="2"/>
      <c r="K7" s="29">
        <v>46057.0</v>
      </c>
      <c r="L7" s="30">
        <f t="shared" si="3"/>
        <v>17866750</v>
      </c>
      <c r="M7" s="32">
        <v>3988192.0</v>
      </c>
      <c r="N7" s="32">
        <v>2391656.0</v>
      </c>
      <c r="O7" s="32">
        <v>7177214.0</v>
      </c>
      <c r="P7" s="32">
        <v>3991472.0</v>
      </c>
      <c r="Q7" s="32">
        <v>109509.0</v>
      </c>
      <c r="R7" s="32">
        <v>104352.0</v>
      </c>
      <c r="S7" s="32">
        <v>11272.0</v>
      </c>
      <c r="T7" s="32">
        <v>46619.0</v>
      </c>
      <c r="U7" s="31">
        <v>11974.0</v>
      </c>
      <c r="V7" s="31">
        <v>34490.0</v>
      </c>
      <c r="W7" s="31">
        <v>0.0</v>
      </c>
      <c r="X7" s="31">
        <v>0.0</v>
      </c>
      <c r="Y7" s="33"/>
      <c r="Z7" s="34"/>
      <c r="AA7" s="34"/>
      <c r="AB7" s="5"/>
      <c r="AC7" s="21" t="s">
        <v>31</v>
      </c>
      <c r="AD7" s="22" t="s">
        <v>19</v>
      </c>
      <c r="AE7" s="23">
        <f>D78</f>
        <v>3639698</v>
      </c>
      <c r="AF7" s="24"/>
      <c r="AG7" s="25">
        <f t="shared" si="1"/>
        <v>3639698</v>
      </c>
      <c r="AH7" s="24"/>
      <c r="AI7" s="23">
        <f>Q35</f>
        <v>3069853</v>
      </c>
      <c r="AJ7" s="23"/>
      <c r="AK7" s="23"/>
      <c r="AL7" s="24"/>
      <c r="AM7" s="23">
        <f t="shared" si="2"/>
        <v>3069853</v>
      </c>
      <c r="AN7" s="5"/>
    </row>
    <row r="8">
      <c r="A8" s="35">
        <f t="shared" si="4"/>
        <v>0</v>
      </c>
      <c r="B8" s="39" t="s">
        <v>32</v>
      </c>
      <c r="C8" s="32">
        <v>0.0</v>
      </c>
      <c r="D8" s="42"/>
      <c r="E8" s="2"/>
      <c r="F8" s="39" t="s">
        <v>32</v>
      </c>
      <c r="G8" s="32">
        <v>1464.0</v>
      </c>
      <c r="H8" s="42"/>
      <c r="I8" s="35">
        <f t="shared" si="5"/>
        <v>0.0001325461804</v>
      </c>
      <c r="J8" s="2"/>
      <c r="K8" s="29">
        <v>46058.0</v>
      </c>
      <c r="L8" s="30">
        <f t="shared" si="3"/>
        <v>19204974.4</v>
      </c>
      <c r="M8" s="32">
        <v>4047129.0</v>
      </c>
      <c r="N8" s="31">
        <v>2860213.1</v>
      </c>
      <c r="O8" s="32">
        <v>7304220.0</v>
      </c>
      <c r="P8" s="32">
        <v>4593798.0</v>
      </c>
      <c r="Q8" s="32">
        <v>168079.0</v>
      </c>
      <c r="R8" s="32">
        <v>87609.0</v>
      </c>
      <c r="S8" s="32">
        <v>16753.0</v>
      </c>
      <c r="T8" s="32">
        <v>42853.0</v>
      </c>
      <c r="U8" s="31">
        <v>15881.0</v>
      </c>
      <c r="V8" s="31">
        <v>64363.0</v>
      </c>
      <c r="W8" s="31">
        <v>2038.3</v>
      </c>
      <c r="X8" s="31">
        <v>2038.0</v>
      </c>
      <c r="Y8" s="33"/>
      <c r="Z8" s="34"/>
      <c r="AA8" s="34"/>
      <c r="AB8" s="5"/>
      <c r="AD8" s="22" t="s">
        <v>27</v>
      </c>
      <c r="AE8" s="23">
        <f>H78</f>
        <v>2771328</v>
      </c>
      <c r="AF8" s="24"/>
      <c r="AG8" s="25">
        <f t="shared" si="1"/>
        <v>2771328</v>
      </c>
      <c r="AH8" s="24"/>
      <c r="AI8" s="23">
        <f>R35</f>
        <v>2257611</v>
      </c>
      <c r="AJ8" s="23"/>
      <c r="AK8" s="23"/>
      <c r="AL8" s="24"/>
      <c r="AM8" s="23">
        <f t="shared" si="2"/>
        <v>2257611</v>
      </c>
      <c r="AN8" s="5"/>
    </row>
    <row r="9">
      <c r="A9" s="35">
        <f t="shared" si="4"/>
        <v>0.01220416458</v>
      </c>
      <c r="B9" s="41" t="s">
        <v>33</v>
      </c>
      <c r="C9" s="32">
        <v>183549.0</v>
      </c>
      <c r="D9" s="40"/>
      <c r="E9" s="2"/>
      <c r="F9" s="41" t="s">
        <v>33</v>
      </c>
      <c r="G9" s="32">
        <v>142088.0</v>
      </c>
      <c r="H9" s="40"/>
      <c r="I9" s="35">
        <f t="shared" si="5"/>
        <v>0.01286422246</v>
      </c>
      <c r="J9" s="2"/>
      <c r="K9" s="29">
        <v>46059.0</v>
      </c>
      <c r="L9" s="30">
        <f t="shared" si="3"/>
        <v>19252449.1</v>
      </c>
      <c r="M9" s="32">
        <v>4018207.0</v>
      </c>
      <c r="N9" s="31">
        <v>2954370.1</v>
      </c>
      <c r="O9" s="32">
        <v>7210530.0</v>
      </c>
      <c r="P9" s="32">
        <v>4716662.0</v>
      </c>
      <c r="Q9" s="31">
        <v>141692.0</v>
      </c>
      <c r="R9" s="31">
        <v>72584.0</v>
      </c>
      <c r="S9" s="31">
        <v>18005.0</v>
      </c>
      <c r="T9" s="31">
        <v>62434.0</v>
      </c>
      <c r="U9" s="31">
        <v>16359.0</v>
      </c>
      <c r="V9" s="31">
        <v>37574.0</v>
      </c>
      <c r="W9" s="31">
        <v>2830.0</v>
      </c>
      <c r="X9" s="31">
        <v>1202.0</v>
      </c>
      <c r="Y9" s="33"/>
      <c r="Z9" s="34"/>
      <c r="AA9" s="34"/>
      <c r="AB9" s="5"/>
      <c r="AC9" s="44" t="s">
        <v>34</v>
      </c>
      <c r="AD9" s="22" t="s">
        <v>19</v>
      </c>
      <c r="AE9" s="45">
        <f>S42</f>
        <v>355446</v>
      </c>
      <c r="AF9" s="46"/>
      <c r="AG9" s="25">
        <f t="shared" si="1"/>
        <v>355446</v>
      </c>
      <c r="AH9" s="46"/>
      <c r="AI9" s="23">
        <f>S35</f>
        <v>619304</v>
      </c>
      <c r="AJ9" s="23"/>
      <c r="AK9" s="23"/>
      <c r="AL9" s="24"/>
      <c r="AM9" s="23">
        <f t="shared" si="2"/>
        <v>619304</v>
      </c>
      <c r="AN9" s="5"/>
    </row>
    <row r="10">
      <c r="A10" s="35">
        <f t="shared" si="4"/>
        <v>0</v>
      </c>
      <c r="B10" s="41" t="s">
        <v>35</v>
      </c>
      <c r="C10" s="31">
        <v>0.0</v>
      </c>
      <c r="D10" s="40"/>
      <c r="E10" s="2"/>
      <c r="F10" s="41" t="s">
        <v>35</v>
      </c>
      <c r="G10" s="31"/>
      <c r="H10" s="40"/>
      <c r="I10" s="35">
        <f t="shared" si="5"/>
        <v>0</v>
      </c>
      <c r="J10" s="47"/>
      <c r="K10" s="29">
        <v>46060.0</v>
      </c>
      <c r="L10" s="30">
        <f t="shared" si="3"/>
        <v>19269757.9</v>
      </c>
      <c r="M10" s="32">
        <v>3597521.0</v>
      </c>
      <c r="N10" s="31">
        <v>2791137.1</v>
      </c>
      <c r="O10" s="32">
        <v>7447201.0</v>
      </c>
      <c r="P10" s="32">
        <v>5027386.0</v>
      </c>
      <c r="Q10" s="31">
        <v>135696.0</v>
      </c>
      <c r="R10" s="31">
        <v>101265.0</v>
      </c>
      <c r="S10" s="31">
        <v>32554.0</v>
      </c>
      <c r="T10" s="31">
        <v>56939.0</v>
      </c>
      <c r="U10" s="31">
        <v>17159.0</v>
      </c>
      <c r="V10" s="31">
        <v>58983.0</v>
      </c>
      <c r="W10" s="31">
        <v>2680.65</v>
      </c>
      <c r="X10" s="31">
        <v>1236.15</v>
      </c>
      <c r="Y10" s="33"/>
      <c r="Z10" s="34"/>
      <c r="AA10" s="34"/>
      <c r="AB10" s="5"/>
      <c r="AD10" s="22" t="s">
        <v>27</v>
      </c>
      <c r="AE10" s="45">
        <f>T42</f>
        <v>1486093</v>
      </c>
      <c r="AF10" s="46"/>
      <c r="AG10" s="25">
        <f t="shared" si="1"/>
        <v>1486093</v>
      </c>
      <c r="AH10" s="46"/>
      <c r="AI10" s="23">
        <f>T35</f>
        <v>1719666</v>
      </c>
      <c r="AJ10" s="23"/>
      <c r="AK10" s="23"/>
      <c r="AL10" s="24"/>
      <c r="AM10" s="23">
        <f t="shared" si="2"/>
        <v>1719666</v>
      </c>
      <c r="AN10" s="5"/>
    </row>
    <row r="11">
      <c r="A11" s="35">
        <f t="shared" si="4"/>
        <v>0</v>
      </c>
      <c r="B11" s="39" t="s">
        <v>36</v>
      </c>
      <c r="C11" s="32">
        <v>0.0</v>
      </c>
      <c r="D11" s="42"/>
      <c r="E11" s="2"/>
      <c r="F11" s="39" t="s">
        <v>36</v>
      </c>
      <c r="G11" s="32"/>
      <c r="H11" s="42"/>
      <c r="I11" s="35">
        <f t="shared" si="5"/>
        <v>0</v>
      </c>
      <c r="J11" s="47"/>
      <c r="K11" s="29">
        <v>46061.0</v>
      </c>
      <c r="L11" s="30">
        <f t="shared" si="3"/>
        <v>21288492.5</v>
      </c>
      <c r="M11" s="32">
        <v>3925173.0</v>
      </c>
      <c r="N11" s="31">
        <v>3399460.9</v>
      </c>
      <c r="O11" s="32">
        <v>8317863.0</v>
      </c>
      <c r="P11" s="32">
        <v>5272869.0</v>
      </c>
      <c r="Q11" s="31">
        <v>103297.0</v>
      </c>
      <c r="R11" s="31">
        <v>82209.0</v>
      </c>
      <c r="S11" s="31">
        <v>27343.0</v>
      </c>
      <c r="T11" s="31">
        <v>83038.0</v>
      </c>
      <c r="U11" s="31">
        <v>7335.0</v>
      </c>
      <c r="V11" s="31">
        <v>64213.0</v>
      </c>
      <c r="W11" s="31">
        <v>2899.95</v>
      </c>
      <c r="X11" s="31">
        <v>2791.65</v>
      </c>
      <c r="Y11" s="33"/>
      <c r="Z11" s="34"/>
      <c r="AA11" s="34"/>
      <c r="AB11" s="5"/>
      <c r="AC11" s="44" t="s">
        <v>37</v>
      </c>
      <c r="AD11" s="22" t="s">
        <v>19</v>
      </c>
      <c r="AE11" s="45">
        <f>U42</f>
        <v>594263</v>
      </c>
      <c r="AF11" s="46"/>
      <c r="AG11" s="25">
        <f t="shared" si="1"/>
        <v>594263</v>
      </c>
      <c r="AH11" s="46"/>
      <c r="AI11" s="23">
        <f>U35</f>
        <v>141359</v>
      </c>
      <c r="AJ11" s="23"/>
      <c r="AK11" s="23"/>
      <c r="AL11" s="24"/>
      <c r="AM11" s="23">
        <f t="shared" si="2"/>
        <v>141359</v>
      </c>
      <c r="AN11" s="5"/>
    </row>
    <row r="12">
      <c r="A12" s="46"/>
      <c r="B12" s="48" t="s">
        <v>38</v>
      </c>
      <c r="C12" s="32">
        <v>0.0</v>
      </c>
      <c r="D12" s="49"/>
      <c r="E12" s="46"/>
      <c r="F12" s="48" t="s">
        <v>38</v>
      </c>
      <c r="G12" s="32"/>
      <c r="H12" s="49"/>
      <c r="I12" s="35">
        <f t="shared" si="5"/>
        <v>0</v>
      </c>
      <c r="J12" s="47"/>
      <c r="K12" s="29">
        <v>46062.0</v>
      </c>
      <c r="L12" s="30">
        <f t="shared" si="3"/>
        <v>19834724.3</v>
      </c>
      <c r="M12" s="32">
        <v>4011785.0</v>
      </c>
      <c r="N12" s="31">
        <v>4258828.4</v>
      </c>
      <c r="O12" s="32">
        <v>7284229.0</v>
      </c>
      <c r="P12" s="32">
        <v>3949382.0</v>
      </c>
      <c r="Q12" s="31">
        <v>72535.0</v>
      </c>
      <c r="R12" s="31">
        <v>87159.0</v>
      </c>
      <c r="S12" s="31">
        <v>31309.0</v>
      </c>
      <c r="T12" s="31">
        <v>81620.0</v>
      </c>
      <c r="U12" s="31">
        <v>8070.0</v>
      </c>
      <c r="V12" s="31">
        <v>49506.0</v>
      </c>
      <c r="W12" s="31">
        <v>0.0</v>
      </c>
      <c r="X12" s="31">
        <v>300.9</v>
      </c>
      <c r="Y12" s="33"/>
      <c r="Z12" s="34"/>
      <c r="AA12" s="34"/>
      <c r="AB12" s="5"/>
      <c r="AD12" s="22" t="s">
        <v>27</v>
      </c>
      <c r="AE12" s="45">
        <f>V42</f>
        <v>954144</v>
      </c>
      <c r="AF12" s="46"/>
      <c r="AG12" s="25">
        <f t="shared" si="1"/>
        <v>954144</v>
      </c>
      <c r="AH12" s="46"/>
      <c r="AI12" s="23">
        <f>V35</f>
        <v>1599107</v>
      </c>
      <c r="AJ12" s="23"/>
      <c r="AK12" s="50"/>
      <c r="AL12" s="24"/>
      <c r="AM12" s="23">
        <f t="shared" si="2"/>
        <v>1599107</v>
      </c>
      <c r="AN12" s="5"/>
    </row>
    <row r="13">
      <c r="A13" s="46"/>
      <c r="B13" s="48" t="s">
        <v>39</v>
      </c>
      <c r="C13" s="32">
        <v>0.0</v>
      </c>
      <c r="D13" s="49"/>
      <c r="E13" s="46"/>
      <c r="F13" s="48" t="s">
        <v>39</v>
      </c>
      <c r="G13" s="32"/>
      <c r="H13" s="49"/>
      <c r="I13" s="35">
        <f t="shared" si="5"/>
        <v>0</v>
      </c>
      <c r="J13" s="47"/>
      <c r="K13" s="29">
        <v>46063.0</v>
      </c>
      <c r="L13" s="30">
        <f t="shared" si="3"/>
        <v>19306307.25</v>
      </c>
      <c r="M13" s="32">
        <v>3765396.0</v>
      </c>
      <c r="N13" s="31">
        <v>3473043.0</v>
      </c>
      <c r="O13" s="31">
        <v>7763233.0</v>
      </c>
      <c r="P13" s="32">
        <v>3903031.0</v>
      </c>
      <c r="Q13" s="31">
        <v>112806.0</v>
      </c>
      <c r="R13" s="31">
        <v>78188.0</v>
      </c>
      <c r="S13" s="31">
        <v>43065.0</v>
      </c>
      <c r="T13" s="31">
        <v>82671.0</v>
      </c>
      <c r="U13" s="31">
        <v>6499.0</v>
      </c>
      <c r="V13" s="31">
        <v>68985.0</v>
      </c>
      <c r="W13" s="31">
        <v>3685.0</v>
      </c>
      <c r="X13" s="31">
        <v>5705.25</v>
      </c>
      <c r="Y13" s="33"/>
      <c r="Z13" s="34"/>
      <c r="AA13" s="34"/>
      <c r="AB13" s="5"/>
      <c r="AC13" s="46"/>
      <c r="AD13" s="51" t="s">
        <v>40</v>
      </c>
      <c r="AE13" s="52">
        <f t="shared" ref="AE13:AG13" si="6">SUM(AE3:AE12)</f>
        <v>538714870.5</v>
      </c>
      <c r="AF13" s="52">
        <f t="shared" si="6"/>
        <v>0</v>
      </c>
      <c r="AG13" s="52">
        <f t="shared" si="6"/>
        <v>538714870.5</v>
      </c>
      <c r="AH13" s="5"/>
      <c r="AI13" s="52">
        <f t="shared" ref="AI13:AM13" si="7">SUM(AI3:AI12)</f>
        <v>519172084.5</v>
      </c>
      <c r="AJ13" s="52">
        <f t="shared" si="7"/>
        <v>0</v>
      </c>
      <c r="AK13" s="52">
        <f t="shared" si="7"/>
        <v>0</v>
      </c>
      <c r="AL13" s="52">
        <f t="shared" si="7"/>
        <v>0</v>
      </c>
      <c r="AM13" s="52">
        <f t="shared" si="7"/>
        <v>519172084.5</v>
      </c>
      <c r="AN13" s="5"/>
    </row>
    <row r="14">
      <c r="A14" s="46"/>
      <c r="B14" s="48" t="s">
        <v>41</v>
      </c>
      <c r="C14" s="32">
        <v>2387.0</v>
      </c>
      <c r="D14" s="49"/>
      <c r="E14" s="46"/>
      <c r="F14" s="48" t="s">
        <v>41</v>
      </c>
      <c r="G14" s="32"/>
      <c r="H14" s="49"/>
      <c r="I14" s="46"/>
      <c r="J14" s="47"/>
      <c r="K14" s="29">
        <v>46064.0</v>
      </c>
      <c r="L14" s="30">
        <f t="shared" si="3"/>
        <v>18578760</v>
      </c>
      <c r="M14" s="32">
        <v>3627716.0</v>
      </c>
      <c r="N14" s="31">
        <v>3122784.5</v>
      </c>
      <c r="O14" s="31">
        <v>7461659.0</v>
      </c>
      <c r="P14" s="32">
        <v>3983616.0</v>
      </c>
      <c r="Q14" s="31">
        <v>119984.0</v>
      </c>
      <c r="R14" s="31">
        <v>91511.0</v>
      </c>
      <c r="S14" s="31">
        <v>43373.0</v>
      </c>
      <c r="T14" s="31">
        <v>53458.0</v>
      </c>
      <c r="U14" s="31">
        <v>2986.0</v>
      </c>
      <c r="V14" s="31">
        <v>68405.0</v>
      </c>
      <c r="W14" s="31">
        <v>1192.5</v>
      </c>
      <c r="X14" s="31">
        <v>2075.0</v>
      </c>
      <c r="Y14" s="33"/>
      <c r="Z14" s="34"/>
      <c r="AA14" s="34"/>
      <c r="AB14" s="5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5"/>
    </row>
    <row r="15">
      <c r="A15" s="2"/>
      <c r="B15" s="41" t="s">
        <v>42</v>
      </c>
      <c r="C15" s="30">
        <f>SUM(C5:C14)</f>
        <v>15039866</v>
      </c>
      <c r="D15" s="40"/>
      <c r="E15" s="2"/>
      <c r="F15" s="41" t="s">
        <v>42</v>
      </c>
      <c r="G15" s="30">
        <f t="shared" ref="G15:H15" si="8">SUM(G5:G14)</f>
        <v>11045207</v>
      </c>
      <c r="H15" s="53">
        <f t="shared" si="8"/>
        <v>0</v>
      </c>
      <c r="I15" s="2"/>
      <c r="J15" s="47"/>
      <c r="K15" s="29">
        <v>46065.0</v>
      </c>
      <c r="L15" s="30">
        <f t="shared" si="3"/>
        <v>19675120.1</v>
      </c>
      <c r="M15" s="32">
        <v>3805866.0</v>
      </c>
      <c r="N15" s="31">
        <v>3383037.1</v>
      </c>
      <c r="O15" s="31">
        <v>7811860.0</v>
      </c>
      <c r="P15" s="32">
        <v>4297347.0</v>
      </c>
      <c r="Q15" s="31">
        <v>102139.0</v>
      </c>
      <c r="R15" s="31">
        <v>93039.0</v>
      </c>
      <c r="S15" s="31">
        <v>42722.0</v>
      </c>
      <c r="T15" s="31">
        <v>73921.0</v>
      </c>
      <c r="U15" s="31">
        <v>3146.0</v>
      </c>
      <c r="V15" s="31">
        <v>58589.0</v>
      </c>
      <c r="W15" s="31">
        <v>0.0</v>
      </c>
      <c r="X15" s="31">
        <v>3454.0</v>
      </c>
      <c r="Y15" s="33"/>
      <c r="Z15" s="34"/>
      <c r="AA15" s="34"/>
      <c r="AB15" s="5"/>
      <c r="AC15" s="5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5"/>
    </row>
    <row r="16">
      <c r="A16" s="2"/>
      <c r="B16" s="41" t="s">
        <v>43</v>
      </c>
      <c r="C16" s="2"/>
      <c r="D16" s="54">
        <f>M35</f>
        <v>105053826</v>
      </c>
      <c r="E16" s="2"/>
      <c r="F16" s="41" t="s">
        <v>43</v>
      </c>
      <c r="G16" s="2"/>
      <c r="H16" s="54">
        <f>N35</f>
        <v>84254055.2</v>
      </c>
      <c r="I16" s="2"/>
      <c r="J16" s="47"/>
      <c r="K16" s="29">
        <v>46066.0</v>
      </c>
      <c r="L16" s="30">
        <f t="shared" si="3"/>
        <v>18815684</v>
      </c>
      <c r="M16" s="32">
        <v>3709816.0</v>
      </c>
      <c r="N16" s="31">
        <v>3562179.0</v>
      </c>
      <c r="O16" s="31">
        <v>7042533.0</v>
      </c>
      <c r="P16" s="32">
        <v>4074817.0</v>
      </c>
      <c r="Q16" s="31">
        <v>130371.0</v>
      </c>
      <c r="R16" s="31">
        <v>72650.0</v>
      </c>
      <c r="S16" s="31">
        <v>68327.0</v>
      </c>
      <c r="T16" s="31">
        <v>76897.0</v>
      </c>
      <c r="U16" s="31">
        <v>3171.0</v>
      </c>
      <c r="V16" s="31">
        <v>65863.0</v>
      </c>
      <c r="W16" s="31">
        <v>4897.0</v>
      </c>
      <c r="X16" s="31">
        <v>4163.0</v>
      </c>
      <c r="Y16" s="33"/>
      <c r="Z16" s="34"/>
      <c r="AA16" s="34"/>
      <c r="AB16" s="5"/>
      <c r="AC16" s="5"/>
      <c r="AD16" s="5"/>
      <c r="AE16" s="5"/>
      <c r="AF16" s="5"/>
      <c r="AG16" s="5"/>
      <c r="AH16" s="55"/>
      <c r="AI16" s="55"/>
      <c r="AJ16" s="5"/>
      <c r="AK16" s="5"/>
      <c r="AL16" s="5"/>
      <c r="AM16" s="5"/>
      <c r="AN16" s="5"/>
    </row>
    <row r="17">
      <c r="A17" s="2"/>
      <c r="B17" s="41" t="s">
        <v>44</v>
      </c>
      <c r="C17" s="56"/>
      <c r="D17" s="57">
        <f>C15/D16</f>
        <v>0.1431634294</v>
      </c>
      <c r="E17" s="58"/>
      <c r="F17" s="41" t="s">
        <v>44</v>
      </c>
      <c r="G17" s="56"/>
      <c r="H17" s="57">
        <f>G15/H16</f>
        <v>0.1310940699</v>
      </c>
      <c r="I17" s="2"/>
      <c r="J17" s="47"/>
      <c r="K17" s="29">
        <v>46067.0</v>
      </c>
      <c r="L17" s="30">
        <f t="shared" si="3"/>
        <v>17567891</v>
      </c>
      <c r="M17" s="32">
        <v>3629820.0</v>
      </c>
      <c r="N17" s="31">
        <v>3051682.0</v>
      </c>
      <c r="O17" s="31">
        <v>6742154.0</v>
      </c>
      <c r="P17" s="32">
        <v>3796162.0</v>
      </c>
      <c r="Q17" s="31">
        <v>109704.0</v>
      </c>
      <c r="R17" s="31">
        <v>79200.0</v>
      </c>
      <c r="S17" s="31">
        <v>41974.0</v>
      </c>
      <c r="T17" s="31">
        <v>48212.0</v>
      </c>
      <c r="U17" s="31">
        <v>1243.0</v>
      </c>
      <c r="V17" s="31">
        <v>67329.0</v>
      </c>
      <c r="W17" s="31">
        <v>0.0</v>
      </c>
      <c r="X17" s="31">
        <v>411.0</v>
      </c>
      <c r="Y17" s="33"/>
      <c r="Z17" s="34"/>
      <c r="AA17" s="34"/>
      <c r="AB17" s="5"/>
      <c r="AC17" s="5"/>
      <c r="AD17" s="5"/>
      <c r="AE17" s="14" t="s">
        <v>45</v>
      </c>
      <c r="AH17" s="55"/>
      <c r="AI17" s="14" t="s">
        <v>46</v>
      </c>
      <c r="AL17" s="55"/>
      <c r="AM17" s="24"/>
      <c r="AN17" s="5"/>
    </row>
    <row r="18">
      <c r="A18" s="35">
        <f>D17/C18</f>
        <v>0.9544228626</v>
      </c>
      <c r="B18" s="41" t="s">
        <v>47</v>
      </c>
      <c r="C18" s="59">
        <v>0.15</v>
      </c>
      <c r="D18" s="54">
        <f>D16*C18</f>
        <v>15758073.9</v>
      </c>
      <c r="E18" s="2"/>
      <c r="F18" s="41" t="s">
        <v>47</v>
      </c>
      <c r="G18" s="59">
        <v>0.13</v>
      </c>
      <c r="H18" s="54">
        <f>H16*G18</f>
        <v>10953027.18</v>
      </c>
      <c r="I18" s="35">
        <f>H17/G18</f>
        <v>1.008415922</v>
      </c>
      <c r="J18" s="47"/>
      <c r="K18" s="29">
        <v>46068.0</v>
      </c>
      <c r="L18" s="30">
        <f t="shared" si="3"/>
        <v>19726430.8</v>
      </c>
      <c r="M18" s="32">
        <v>3578944.0</v>
      </c>
      <c r="N18" s="31">
        <v>3280752.0</v>
      </c>
      <c r="O18" s="31">
        <v>8138150.0</v>
      </c>
      <c r="P18" s="32">
        <v>4331470.0</v>
      </c>
      <c r="Q18" s="31">
        <v>151378.0</v>
      </c>
      <c r="R18" s="31">
        <v>62711.0</v>
      </c>
      <c r="S18" s="31">
        <v>25886.0</v>
      </c>
      <c r="T18" s="31">
        <v>78643.0</v>
      </c>
      <c r="U18" s="31">
        <v>2302.0</v>
      </c>
      <c r="V18" s="31">
        <v>71783.0</v>
      </c>
      <c r="W18" s="31">
        <v>1150.0</v>
      </c>
      <c r="X18" s="31">
        <v>3261.8</v>
      </c>
      <c r="Y18" s="33"/>
      <c r="Z18" s="34"/>
      <c r="AA18" s="34"/>
      <c r="AB18" s="5"/>
      <c r="AC18" s="55"/>
      <c r="AD18" s="55"/>
      <c r="AE18" s="14" t="s">
        <v>10</v>
      </c>
      <c r="AF18" s="14" t="s">
        <v>13</v>
      </c>
      <c r="AG18" s="14" t="s">
        <v>48</v>
      </c>
      <c r="AH18" s="5"/>
      <c r="AI18" s="14" t="s">
        <v>12</v>
      </c>
      <c r="AJ18" s="14" t="s">
        <v>17</v>
      </c>
      <c r="AK18" s="14" t="s">
        <v>48</v>
      </c>
      <c r="AL18" s="5"/>
      <c r="AM18" s="5"/>
      <c r="AN18" s="5"/>
    </row>
    <row r="19">
      <c r="A19" s="2"/>
      <c r="B19" s="60" t="s">
        <v>49</v>
      </c>
      <c r="C19" s="61"/>
      <c r="D19" s="62">
        <f>C15-D18</f>
        <v>-718207.9</v>
      </c>
      <c r="E19" s="58"/>
      <c r="F19" s="60" t="s">
        <v>50</v>
      </c>
      <c r="G19" s="61"/>
      <c r="H19" s="62">
        <f>G15-H18</f>
        <v>92179.824</v>
      </c>
      <c r="I19" s="2"/>
      <c r="J19" s="2"/>
      <c r="K19" s="29">
        <v>46069.0</v>
      </c>
      <c r="L19" s="30">
        <f t="shared" si="3"/>
        <v>16983887.98</v>
      </c>
      <c r="M19" s="32">
        <v>3456749.0</v>
      </c>
      <c r="N19" s="31">
        <v>2778825.0</v>
      </c>
      <c r="O19" s="31">
        <v>6920459.0</v>
      </c>
      <c r="P19" s="32">
        <v>3469239.0</v>
      </c>
      <c r="Q19" s="31">
        <v>111219.0</v>
      </c>
      <c r="R19" s="31">
        <v>85493.0</v>
      </c>
      <c r="S19" s="31">
        <v>22261.0</v>
      </c>
      <c r="T19" s="31">
        <v>65822.0</v>
      </c>
      <c r="U19" s="31">
        <v>3325.0</v>
      </c>
      <c r="V19" s="31">
        <v>63582.0</v>
      </c>
      <c r="W19" s="31">
        <v>4686.29</v>
      </c>
      <c r="X19" s="31">
        <v>2227.69</v>
      </c>
      <c r="Y19" s="33"/>
      <c r="Z19" s="34"/>
      <c r="AA19" s="34"/>
      <c r="AB19" s="5"/>
      <c r="AC19" s="21" t="s">
        <v>24</v>
      </c>
      <c r="AD19" s="22" t="s">
        <v>19</v>
      </c>
      <c r="AE19" s="25">
        <f t="shared" ref="AE19:AE28" si="9">AE3</f>
        <v>199495328</v>
      </c>
      <c r="AF19" s="23">
        <f t="shared" ref="AF19:AF28" si="10">AI3</f>
        <v>206080314.2</v>
      </c>
      <c r="AG19" s="63">
        <f t="shared" ref="AG19:AG29" si="11">IFERROR(AF19/AE19, " ")</f>
        <v>1.033008222</v>
      </c>
      <c r="AH19" s="5"/>
      <c r="AI19" s="23">
        <f t="shared" ref="AI19:AI28" si="12">AG3</f>
        <v>199495328</v>
      </c>
      <c r="AJ19" s="23">
        <f t="shared" ref="AJ19:AJ28" si="13">AM3</f>
        <v>206080314.2</v>
      </c>
      <c r="AK19" s="63">
        <f t="shared" ref="AK19:AK29" si="14">IFERROR(AJ19/AI19, " ")</f>
        <v>1.033008222</v>
      </c>
      <c r="AL19" s="5"/>
      <c r="AM19" s="5"/>
      <c r="AN19" s="5"/>
    </row>
    <row r="20">
      <c r="A20" s="2"/>
      <c r="B20" s="2"/>
      <c r="C20" s="2"/>
      <c r="D20" s="2"/>
      <c r="E20" s="56"/>
      <c r="F20" s="2"/>
      <c r="G20" s="2"/>
      <c r="H20" s="2"/>
      <c r="I20" s="2"/>
      <c r="J20" s="58"/>
      <c r="K20" s="29">
        <v>46070.0</v>
      </c>
      <c r="L20" s="30">
        <f t="shared" si="3"/>
        <v>16243698.22</v>
      </c>
      <c r="M20" s="32">
        <v>3509490.0</v>
      </c>
      <c r="N20" s="31">
        <v>2856296.0</v>
      </c>
      <c r="O20" s="31">
        <v>6445829.0</v>
      </c>
      <c r="P20" s="32">
        <v>3155216.0</v>
      </c>
      <c r="Q20" s="31">
        <v>83133.0</v>
      </c>
      <c r="R20" s="31">
        <v>51078.0</v>
      </c>
      <c r="S20" s="31">
        <v>22261.0</v>
      </c>
      <c r="T20" s="31">
        <v>50830.0</v>
      </c>
      <c r="U20" s="31">
        <v>1334.0</v>
      </c>
      <c r="V20" s="31">
        <v>59686.0</v>
      </c>
      <c r="W20" s="31">
        <v>1073.63</v>
      </c>
      <c r="X20" s="31">
        <v>7471.59</v>
      </c>
      <c r="Y20" s="33"/>
      <c r="Z20" s="34"/>
      <c r="AA20" s="34"/>
      <c r="AB20" s="5"/>
      <c r="AD20" s="22" t="s">
        <v>27</v>
      </c>
      <c r="AE20" s="25">
        <f t="shared" si="9"/>
        <v>138055387</v>
      </c>
      <c r="AF20" s="23">
        <f t="shared" si="10"/>
        <v>114376989.1</v>
      </c>
      <c r="AG20" s="63">
        <f t="shared" si="11"/>
        <v>0.8284862447</v>
      </c>
      <c r="AH20" s="5"/>
      <c r="AI20" s="23">
        <f t="shared" si="12"/>
        <v>138055387</v>
      </c>
      <c r="AJ20" s="23">
        <f t="shared" si="13"/>
        <v>114376989.1</v>
      </c>
      <c r="AK20" s="63">
        <f t="shared" si="14"/>
        <v>0.8284862447</v>
      </c>
      <c r="AL20" s="5"/>
      <c r="AM20" s="5"/>
      <c r="AN20" s="5"/>
    </row>
    <row r="21">
      <c r="A21" s="2"/>
      <c r="B21" s="58" t="s">
        <v>51</v>
      </c>
      <c r="C21" s="58"/>
      <c r="D21" s="64">
        <f>M42</f>
        <v>110647711</v>
      </c>
      <c r="E21" s="31"/>
      <c r="F21" s="58" t="s">
        <v>51</v>
      </c>
      <c r="G21" s="58"/>
      <c r="H21" s="65">
        <f>N42</f>
        <v>80715472.5</v>
      </c>
      <c r="I21" s="2"/>
      <c r="J21" s="58"/>
      <c r="K21" s="29">
        <v>46071.0</v>
      </c>
      <c r="L21" s="30">
        <f t="shared" si="3"/>
        <v>17429784.89</v>
      </c>
      <c r="M21" s="32">
        <v>3662400.0</v>
      </c>
      <c r="N21" s="31">
        <v>2793781.0</v>
      </c>
      <c r="O21" s="31">
        <v>7322126.0</v>
      </c>
      <c r="P21" s="32">
        <v>3330989.0</v>
      </c>
      <c r="Q21" s="31">
        <v>102799.0</v>
      </c>
      <c r="R21" s="31">
        <v>86473.0</v>
      </c>
      <c r="S21" s="31">
        <v>14371.0</v>
      </c>
      <c r="T21" s="31">
        <v>53023.0</v>
      </c>
      <c r="U21" s="31">
        <v>3458.0</v>
      </c>
      <c r="V21" s="31">
        <v>51663.0</v>
      </c>
      <c r="W21" s="31">
        <v>3141.14</v>
      </c>
      <c r="X21" s="31">
        <v>5560.75</v>
      </c>
      <c r="Y21" s="33"/>
      <c r="Z21" s="34"/>
      <c r="AA21" s="34"/>
      <c r="AB21" s="5"/>
      <c r="AC21" s="21" t="s">
        <v>18</v>
      </c>
      <c r="AD21" s="22" t="s">
        <v>19</v>
      </c>
      <c r="AE21" s="25">
        <f t="shared" si="9"/>
        <v>110647711</v>
      </c>
      <c r="AF21" s="23">
        <f t="shared" si="10"/>
        <v>105053826</v>
      </c>
      <c r="AG21" s="63">
        <f t="shared" si="11"/>
        <v>0.9494441869</v>
      </c>
      <c r="AH21" s="5"/>
      <c r="AI21" s="23">
        <f t="shared" si="12"/>
        <v>110647711</v>
      </c>
      <c r="AJ21" s="23">
        <f t="shared" si="13"/>
        <v>105053826</v>
      </c>
      <c r="AK21" s="63">
        <f t="shared" si="14"/>
        <v>0.9494441869</v>
      </c>
      <c r="AL21" s="5"/>
      <c r="AM21" s="5"/>
      <c r="AN21" s="5"/>
    </row>
    <row r="22">
      <c r="A22" s="2"/>
      <c r="B22" s="2" t="s">
        <v>52</v>
      </c>
      <c r="C22" s="2"/>
      <c r="D22" s="30">
        <f>D16/$C$1</f>
        <v>3751922.357</v>
      </c>
      <c r="E22" s="58"/>
      <c r="F22" s="2" t="s">
        <v>52</v>
      </c>
      <c r="G22" s="2"/>
      <c r="H22" s="30">
        <f>H16/$C$1</f>
        <v>3009073.4</v>
      </c>
      <c r="I22" s="58"/>
      <c r="J22" s="58"/>
      <c r="K22" s="29">
        <v>46072.0</v>
      </c>
      <c r="L22" s="30">
        <f t="shared" si="3"/>
        <v>16646957.62</v>
      </c>
      <c r="M22" s="32">
        <v>3316224.0</v>
      </c>
      <c r="N22" s="31">
        <v>2724931.0</v>
      </c>
      <c r="O22" s="31">
        <v>6735823.0</v>
      </c>
      <c r="P22" s="32">
        <v>3574250.0</v>
      </c>
      <c r="Q22" s="31">
        <v>70209.0</v>
      </c>
      <c r="R22" s="31">
        <v>73933.0</v>
      </c>
      <c r="S22" s="31">
        <v>14399.0</v>
      </c>
      <c r="T22" s="31">
        <v>68151.0</v>
      </c>
      <c r="U22" s="31">
        <v>1334.0</v>
      </c>
      <c r="V22" s="31">
        <v>60674.0</v>
      </c>
      <c r="W22" s="31">
        <v>4255.47</v>
      </c>
      <c r="X22" s="31">
        <v>2774.15</v>
      </c>
      <c r="Y22" s="33"/>
      <c r="Z22" s="34"/>
      <c r="AA22" s="34"/>
      <c r="AB22" s="5"/>
      <c r="AD22" s="22" t="s">
        <v>27</v>
      </c>
      <c r="AE22" s="25">
        <f t="shared" si="9"/>
        <v>80715472.5</v>
      </c>
      <c r="AF22" s="23">
        <f t="shared" si="10"/>
        <v>84254055.2</v>
      </c>
      <c r="AG22" s="63">
        <f t="shared" si="11"/>
        <v>1.043840203</v>
      </c>
      <c r="AH22" s="24"/>
      <c r="AI22" s="23">
        <f t="shared" si="12"/>
        <v>80715472.5</v>
      </c>
      <c r="AJ22" s="23">
        <f t="shared" si="13"/>
        <v>84254055.2</v>
      </c>
      <c r="AK22" s="63">
        <f t="shared" si="14"/>
        <v>1.043840203</v>
      </c>
      <c r="AL22" s="24"/>
      <c r="AM22" s="24"/>
      <c r="AN22" s="5"/>
    </row>
    <row r="23">
      <c r="A23" s="2"/>
      <c r="B23" s="2" t="s">
        <v>53</v>
      </c>
      <c r="C23" s="2"/>
      <c r="D23" s="30">
        <f>D21/$G$1*$C$1</f>
        <v>110647711</v>
      </c>
      <c r="E23" s="2"/>
      <c r="F23" s="2" t="s">
        <v>53</v>
      </c>
      <c r="G23" s="2"/>
      <c r="H23" s="30">
        <f>H21/$G$1*$C$1</f>
        <v>80715472.5</v>
      </c>
      <c r="I23" s="2"/>
      <c r="J23" s="47"/>
      <c r="K23" s="29">
        <v>46073.0</v>
      </c>
      <c r="L23" s="30">
        <f t="shared" si="3"/>
        <v>17953625.42</v>
      </c>
      <c r="M23" s="32">
        <v>3659255.0</v>
      </c>
      <c r="N23" s="31">
        <v>2991282.1</v>
      </c>
      <c r="O23" s="31">
        <v>6372463.0</v>
      </c>
      <c r="P23" s="31">
        <v>4658057.0</v>
      </c>
      <c r="Q23" s="31">
        <v>98858.0</v>
      </c>
      <c r="R23" s="31">
        <v>45473.0</v>
      </c>
      <c r="S23" s="31">
        <v>9943.0</v>
      </c>
      <c r="T23" s="31">
        <v>51014.0</v>
      </c>
      <c r="U23" s="31">
        <v>3998.0</v>
      </c>
      <c r="V23" s="31">
        <v>52311.0</v>
      </c>
      <c r="W23" s="31">
        <v>4799.27</v>
      </c>
      <c r="X23" s="31">
        <v>6172.05</v>
      </c>
      <c r="Y23" s="33"/>
      <c r="Z23" s="34"/>
      <c r="AA23" s="34"/>
      <c r="AB23" s="5"/>
      <c r="AC23" s="21" t="s">
        <v>31</v>
      </c>
      <c r="AD23" s="22" t="s">
        <v>19</v>
      </c>
      <c r="AE23" s="25">
        <f t="shared" si="9"/>
        <v>3639698</v>
      </c>
      <c r="AF23" s="23">
        <f t="shared" si="10"/>
        <v>3069853</v>
      </c>
      <c r="AG23" s="63">
        <f t="shared" si="11"/>
        <v>0.8434361862</v>
      </c>
      <c r="AH23" s="24"/>
      <c r="AI23" s="23">
        <f t="shared" si="12"/>
        <v>3639698</v>
      </c>
      <c r="AJ23" s="23">
        <f t="shared" si="13"/>
        <v>3069853</v>
      </c>
      <c r="AK23" s="63">
        <f t="shared" si="14"/>
        <v>0.8434361862</v>
      </c>
      <c r="AL23" s="24"/>
      <c r="AM23" s="24"/>
      <c r="AN23" s="5"/>
    </row>
    <row r="24">
      <c r="A24" s="2"/>
      <c r="B24" s="2" t="s">
        <v>54</v>
      </c>
      <c r="C24" s="2"/>
      <c r="D24" s="30" t="str">
        <f>(D21-D16)/($G$1-$C$1)</f>
        <v>#DIV/0!</v>
      </c>
      <c r="E24" s="2"/>
      <c r="F24" s="2" t="s">
        <v>54</v>
      </c>
      <c r="G24" s="2"/>
      <c r="H24" s="30" t="str">
        <f>(H21-H16)/($G$1-$C$1)</f>
        <v>#DIV/0!</v>
      </c>
      <c r="I24" s="2"/>
      <c r="J24" s="58"/>
      <c r="K24" s="29">
        <v>46074.0</v>
      </c>
      <c r="L24" s="30">
        <f t="shared" si="3"/>
        <v>16345828.38</v>
      </c>
      <c r="M24" s="32">
        <v>3546840.0</v>
      </c>
      <c r="N24" s="31">
        <v>2829425.0</v>
      </c>
      <c r="O24" s="31">
        <v>6644788.0</v>
      </c>
      <c r="P24" s="31">
        <v>3108943.0</v>
      </c>
      <c r="Q24" s="31">
        <v>11248.0</v>
      </c>
      <c r="R24" s="31">
        <v>67592.0</v>
      </c>
      <c r="S24" s="31">
        <v>5464.0</v>
      </c>
      <c r="T24" s="31">
        <v>52171.0</v>
      </c>
      <c r="U24" s="31">
        <v>0.0</v>
      </c>
      <c r="V24" s="31">
        <v>61796.0</v>
      </c>
      <c r="W24" s="31">
        <v>2723.4</v>
      </c>
      <c r="X24" s="31">
        <v>14837.98</v>
      </c>
      <c r="Y24" s="33"/>
      <c r="Z24" s="34"/>
      <c r="AA24" s="34"/>
      <c r="AB24" s="5"/>
      <c r="AD24" s="22" t="s">
        <v>27</v>
      </c>
      <c r="AE24" s="25">
        <f t="shared" si="9"/>
        <v>2771328</v>
      </c>
      <c r="AF24" s="23">
        <f t="shared" si="10"/>
        <v>2257611</v>
      </c>
      <c r="AG24" s="63">
        <f t="shared" si="11"/>
        <v>0.8146314691</v>
      </c>
      <c r="AH24" s="24"/>
      <c r="AI24" s="23">
        <f t="shared" si="12"/>
        <v>2771328</v>
      </c>
      <c r="AJ24" s="23">
        <f t="shared" si="13"/>
        <v>2257611</v>
      </c>
      <c r="AK24" s="63">
        <f t="shared" si="14"/>
        <v>0.8146314691</v>
      </c>
      <c r="AL24" s="24"/>
      <c r="AM24" s="24"/>
      <c r="AN24" s="5"/>
    </row>
    <row r="25">
      <c r="A25" s="2"/>
      <c r="B25" s="2" t="s">
        <v>55</v>
      </c>
      <c r="C25" s="2"/>
      <c r="D25" s="30">
        <f>D16-D23</f>
        <v>-5593885</v>
      </c>
      <c r="E25" s="2"/>
      <c r="F25" s="2" t="s">
        <v>55</v>
      </c>
      <c r="G25" s="2"/>
      <c r="H25" s="30">
        <f>H16-H23</f>
        <v>3538582.7</v>
      </c>
      <c r="I25" s="2"/>
      <c r="J25" s="47"/>
      <c r="K25" s="29">
        <v>46075.0</v>
      </c>
      <c r="L25" s="30">
        <f t="shared" si="3"/>
        <v>18314276.96</v>
      </c>
      <c r="M25" s="32">
        <v>3445861.0</v>
      </c>
      <c r="N25" s="31">
        <v>3335429.0</v>
      </c>
      <c r="O25" s="31">
        <v>7327483.0</v>
      </c>
      <c r="P25" s="32">
        <v>3884241.0</v>
      </c>
      <c r="Q25" s="31">
        <v>119345.0</v>
      </c>
      <c r="R25" s="31">
        <v>61954.0</v>
      </c>
      <c r="S25" s="31">
        <v>8515.0</v>
      </c>
      <c r="T25" s="31">
        <v>77844.0</v>
      </c>
      <c r="U25" s="31">
        <v>0.0</v>
      </c>
      <c r="V25" s="31">
        <v>46057.0</v>
      </c>
      <c r="W25" s="31">
        <v>4026.27</v>
      </c>
      <c r="X25" s="31">
        <v>3521.69</v>
      </c>
      <c r="Y25" s="33"/>
      <c r="Z25" s="34"/>
      <c r="AA25" s="34"/>
      <c r="AB25" s="5"/>
      <c r="AC25" s="44" t="s">
        <v>34</v>
      </c>
      <c r="AD25" s="22" t="s">
        <v>19</v>
      </c>
      <c r="AE25" s="25">
        <f t="shared" si="9"/>
        <v>355446</v>
      </c>
      <c r="AF25" s="23">
        <f t="shared" si="10"/>
        <v>619304</v>
      </c>
      <c r="AG25" s="63">
        <f t="shared" si="11"/>
        <v>1.742329355</v>
      </c>
      <c r="AH25" s="46"/>
      <c r="AI25" s="23">
        <f t="shared" si="12"/>
        <v>355446</v>
      </c>
      <c r="AJ25" s="23">
        <f t="shared" si="13"/>
        <v>619304</v>
      </c>
      <c r="AK25" s="63">
        <f t="shared" si="14"/>
        <v>1.742329355</v>
      </c>
      <c r="AL25" s="46"/>
      <c r="AM25" s="46"/>
      <c r="AN25" s="5"/>
    </row>
    <row r="26">
      <c r="A26" s="2"/>
      <c r="B26" s="2" t="s">
        <v>56</v>
      </c>
      <c r="C26" s="2"/>
      <c r="D26" s="30">
        <f>D16/$C$1*$G$1</f>
        <v>105053826</v>
      </c>
      <c r="E26" s="56"/>
      <c r="F26" s="2" t="s">
        <v>56</v>
      </c>
      <c r="G26" s="2"/>
      <c r="H26" s="30">
        <f>H16/$C$1*$G$1</f>
        <v>84254055.2</v>
      </c>
      <c r="I26" s="2"/>
      <c r="J26" s="56"/>
      <c r="K26" s="29">
        <v>46076.0</v>
      </c>
      <c r="L26" s="30">
        <f t="shared" si="3"/>
        <v>20182912.82</v>
      </c>
      <c r="M26" s="32">
        <v>3626455.0</v>
      </c>
      <c r="N26" s="31">
        <v>3158305.7</v>
      </c>
      <c r="O26" s="31">
        <v>8114736.0</v>
      </c>
      <c r="P26" s="32">
        <v>4977826.0</v>
      </c>
      <c r="Q26" s="31">
        <v>123444.0</v>
      </c>
      <c r="R26" s="31">
        <v>71588.0</v>
      </c>
      <c r="S26" s="31">
        <v>5464.0</v>
      </c>
      <c r="T26" s="31">
        <v>52202.0</v>
      </c>
      <c r="U26" s="31">
        <v>0.0</v>
      </c>
      <c r="V26" s="31">
        <v>31860.0</v>
      </c>
      <c r="W26" s="31">
        <v>7399.07</v>
      </c>
      <c r="X26" s="31">
        <v>13633.05</v>
      </c>
      <c r="Y26" s="33"/>
      <c r="Z26" s="34"/>
      <c r="AA26" s="34"/>
      <c r="AB26" s="5"/>
      <c r="AD26" s="22" t="s">
        <v>27</v>
      </c>
      <c r="AE26" s="25">
        <f t="shared" si="9"/>
        <v>1486093</v>
      </c>
      <c r="AF26" s="23">
        <f t="shared" si="10"/>
        <v>1719666</v>
      </c>
      <c r="AG26" s="63">
        <f t="shared" si="11"/>
        <v>1.157172532</v>
      </c>
      <c r="AH26" s="46"/>
      <c r="AI26" s="23">
        <f t="shared" si="12"/>
        <v>1486093</v>
      </c>
      <c r="AJ26" s="23">
        <f t="shared" si="13"/>
        <v>1719666</v>
      </c>
      <c r="AK26" s="63">
        <f t="shared" si="14"/>
        <v>1.157172532</v>
      </c>
      <c r="AL26" s="46"/>
      <c r="AM26" s="46"/>
      <c r="AN26" s="5"/>
    </row>
    <row r="27">
      <c r="A27" s="2"/>
      <c r="B27" s="66" t="s">
        <v>57</v>
      </c>
      <c r="C27" s="66"/>
      <c r="D27" s="67">
        <f>D26/D21</f>
        <v>0.9494441869</v>
      </c>
      <c r="E27" s="2"/>
      <c r="F27" s="66" t="s">
        <v>57</v>
      </c>
      <c r="G27" s="66"/>
      <c r="H27" s="67">
        <f>H26/H21</f>
        <v>1.043840203</v>
      </c>
      <c r="I27" s="2"/>
      <c r="J27" s="47"/>
      <c r="K27" s="29">
        <v>46077.0</v>
      </c>
      <c r="L27" s="30">
        <f t="shared" si="3"/>
        <v>18083191.7</v>
      </c>
      <c r="M27" s="32">
        <v>3380035.0</v>
      </c>
      <c r="N27" s="31">
        <v>2790555.1</v>
      </c>
      <c r="O27" s="31">
        <v>7879010.0</v>
      </c>
      <c r="P27" s="32">
        <v>3725965.0</v>
      </c>
      <c r="Q27" s="31">
        <v>100191.0</v>
      </c>
      <c r="R27" s="31">
        <v>80650.0</v>
      </c>
      <c r="S27" s="31">
        <v>11069.0</v>
      </c>
      <c r="T27" s="31">
        <v>55503.0</v>
      </c>
      <c r="U27" s="31">
        <v>2072.0</v>
      </c>
      <c r="V27" s="31">
        <v>50611.0</v>
      </c>
      <c r="W27" s="31">
        <v>3002.2</v>
      </c>
      <c r="X27" s="31">
        <v>4528.4</v>
      </c>
      <c r="Y27" s="33"/>
      <c r="Z27" s="34"/>
      <c r="AA27" s="34"/>
      <c r="AB27" s="5"/>
      <c r="AC27" s="44" t="s">
        <v>37</v>
      </c>
      <c r="AD27" s="22" t="s">
        <v>19</v>
      </c>
      <c r="AE27" s="25">
        <f t="shared" si="9"/>
        <v>594263</v>
      </c>
      <c r="AF27" s="23">
        <f t="shared" si="10"/>
        <v>141359</v>
      </c>
      <c r="AG27" s="63">
        <f t="shared" si="11"/>
        <v>0.2378727937</v>
      </c>
      <c r="AH27" s="46"/>
      <c r="AI27" s="23">
        <f t="shared" si="12"/>
        <v>594263</v>
      </c>
      <c r="AJ27" s="23">
        <f t="shared" si="13"/>
        <v>141359</v>
      </c>
      <c r="AK27" s="63">
        <f t="shared" si="14"/>
        <v>0.2378727937</v>
      </c>
      <c r="AL27" s="46"/>
      <c r="AM27" s="46"/>
      <c r="AN27" s="5"/>
    </row>
    <row r="28">
      <c r="A28" s="2"/>
      <c r="B28" s="2"/>
      <c r="C28" s="2"/>
      <c r="D28" s="2"/>
      <c r="E28" s="2"/>
      <c r="F28" s="2"/>
      <c r="G28" s="2"/>
      <c r="H28" s="2"/>
      <c r="I28" s="2"/>
      <c r="J28" s="47"/>
      <c r="K28" s="29">
        <v>46078.0</v>
      </c>
      <c r="L28" s="30">
        <f t="shared" si="3"/>
        <v>18672837.9</v>
      </c>
      <c r="M28" s="32">
        <v>3622040.0</v>
      </c>
      <c r="N28" s="31">
        <v>2976212.1</v>
      </c>
      <c r="O28" s="31">
        <v>7904447.0</v>
      </c>
      <c r="P28" s="32">
        <v>3828920.0</v>
      </c>
      <c r="Q28" s="31">
        <v>119847.0</v>
      </c>
      <c r="R28" s="31">
        <v>80911.0</v>
      </c>
      <c r="S28" s="31">
        <v>20222.0</v>
      </c>
      <c r="T28" s="31">
        <v>59756.0</v>
      </c>
      <c r="U28" s="31">
        <v>0.0</v>
      </c>
      <c r="V28" s="31">
        <v>45359.0</v>
      </c>
      <c r="W28" s="31">
        <v>6573.56</v>
      </c>
      <c r="X28" s="31">
        <v>8550.24</v>
      </c>
      <c r="Y28" s="33"/>
      <c r="Z28" s="34"/>
      <c r="AA28" s="34"/>
      <c r="AB28" s="5"/>
      <c r="AD28" s="22" t="s">
        <v>27</v>
      </c>
      <c r="AE28" s="25">
        <f t="shared" si="9"/>
        <v>954144</v>
      </c>
      <c r="AF28" s="23">
        <f t="shared" si="10"/>
        <v>1599107</v>
      </c>
      <c r="AG28" s="63">
        <f t="shared" si="11"/>
        <v>1.675959813</v>
      </c>
      <c r="AH28" s="46"/>
      <c r="AI28" s="23">
        <f t="shared" si="12"/>
        <v>954144</v>
      </c>
      <c r="AJ28" s="23">
        <f t="shared" si="13"/>
        <v>1599107</v>
      </c>
      <c r="AK28" s="63">
        <f t="shared" si="14"/>
        <v>1.675959813</v>
      </c>
      <c r="AL28" s="46"/>
      <c r="AM28" s="46"/>
      <c r="AN28" s="5"/>
    </row>
    <row r="29">
      <c r="A29" s="2"/>
      <c r="B29" s="68" t="s">
        <v>58</v>
      </c>
      <c r="C29" s="17"/>
      <c r="D29" s="17"/>
      <c r="E29" s="17"/>
      <c r="F29" s="17"/>
      <c r="G29" s="17"/>
      <c r="H29" s="18"/>
      <c r="I29" s="2"/>
      <c r="J29" s="30"/>
      <c r="K29" s="29">
        <v>46079.0</v>
      </c>
      <c r="L29" s="30">
        <f t="shared" si="3"/>
        <v>18178155.44</v>
      </c>
      <c r="M29" s="32">
        <v>3491165.0</v>
      </c>
      <c r="N29" s="31">
        <v>2973035.0</v>
      </c>
      <c r="O29" s="31">
        <v>7591972.0</v>
      </c>
      <c r="P29" s="32">
        <v>3818584.0</v>
      </c>
      <c r="Q29" s="31">
        <v>81534.0</v>
      </c>
      <c r="R29" s="31">
        <v>74568.0</v>
      </c>
      <c r="S29" s="31">
        <v>17164.0</v>
      </c>
      <c r="T29" s="31">
        <v>44107.0</v>
      </c>
      <c r="U29" s="31">
        <v>0.0</v>
      </c>
      <c r="V29" s="31">
        <v>73990.0</v>
      </c>
      <c r="W29" s="31">
        <v>3658.51</v>
      </c>
      <c r="X29" s="31">
        <v>8377.93</v>
      </c>
      <c r="Y29" s="33"/>
      <c r="Z29" s="34"/>
      <c r="AA29" s="34"/>
      <c r="AB29" s="5"/>
      <c r="AC29" s="24"/>
      <c r="AD29" s="24"/>
      <c r="AE29" s="52">
        <f t="shared" ref="AE29:AF29" si="15">SUM(AE19:AE28)</f>
        <v>538714870.5</v>
      </c>
      <c r="AF29" s="52">
        <f t="shared" si="15"/>
        <v>519172084.5</v>
      </c>
      <c r="AG29" s="69">
        <f t="shared" si="11"/>
        <v>0.9637233218</v>
      </c>
      <c r="AH29" s="24"/>
      <c r="AI29" s="52">
        <f t="shared" ref="AI29:AJ29" si="16">SUM(AI19:AI24)</f>
        <v>535324924.5</v>
      </c>
      <c r="AJ29" s="52">
        <f t="shared" si="16"/>
        <v>515092648.5</v>
      </c>
      <c r="AK29" s="69">
        <f t="shared" si="14"/>
        <v>0.9622056155</v>
      </c>
      <c r="AL29" s="24"/>
      <c r="AM29" s="24"/>
      <c r="AN29" s="5"/>
    </row>
    <row r="30">
      <c r="A30" s="2"/>
      <c r="B30" s="70" t="str">
        <f>B4</f>
        <v>Биг–Л / Февраль | до </v>
      </c>
      <c r="C30" s="17"/>
      <c r="D30" s="28">
        <f>$D$4</f>
        <v>46107</v>
      </c>
      <c r="E30" s="2"/>
      <c r="F30" s="70" t="str">
        <f>F4</f>
        <v>Смарт/ Февраль| до </v>
      </c>
      <c r="G30" s="17"/>
      <c r="H30" s="28">
        <f>$D$4</f>
        <v>46107</v>
      </c>
      <c r="I30" s="2"/>
      <c r="J30" s="30"/>
      <c r="K30" s="29">
        <v>46080.0</v>
      </c>
      <c r="L30" s="30">
        <f t="shared" si="3"/>
        <v>17083965</v>
      </c>
      <c r="M30" s="32">
        <v>3060688.0</v>
      </c>
      <c r="N30" s="31">
        <v>2685352.0</v>
      </c>
      <c r="O30" s="31">
        <v>7317169.0</v>
      </c>
      <c r="P30" s="32">
        <v>3643196.0</v>
      </c>
      <c r="Q30" s="31">
        <v>124962.0</v>
      </c>
      <c r="R30" s="31">
        <v>78003.0</v>
      </c>
      <c r="S30" s="31">
        <v>24396.0</v>
      </c>
      <c r="T30" s="31">
        <v>56772.0</v>
      </c>
      <c r="U30" s="31">
        <v>0.0</v>
      </c>
      <c r="V30" s="31">
        <v>86140.0</v>
      </c>
      <c r="W30" s="31">
        <v>1212.0</v>
      </c>
      <c r="X30" s="31">
        <v>6075.0</v>
      </c>
      <c r="Y30" s="33"/>
      <c r="Z30" s="34"/>
      <c r="AA30" s="34"/>
      <c r="AB30" s="5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5"/>
    </row>
    <row r="31">
      <c r="A31" s="35">
        <f t="shared" ref="A31:A32" si="17">IFERROR(C31/$C$33, " ")</f>
        <v>0.8714311166</v>
      </c>
      <c r="B31" s="41" t="s">
        <v>59</v>
      </c>
      <c r="C31" s="31">
        <v>8602065.0</v>
      </c>
      <c r="D31" s="71"/>
      <c r="E31" s="2"/>
      <c r="F31" s="41" t="s">
        <v>59</v>
      </c>
      <c r="G31" s="31">
        <v>6013051.0</v>
      </c>
      <c r="H31" s="53"/>
      <c r="I31" s="35">
        <f t="shared" ref="I31:I32" si="18">IFERROR(G31/$G$33, " ")</f>
        <v>0.9731575705</v>
      </c>
      <c r="J31" s="47"/>
      <c r="K31" s="29">
        <v>46081.0</v>
      </c>
      <c r="L31" s="30">
        <f t="shared" si="3"/>
        <v>18244654.08</v>
      </c>
      <c r="M31" s="32">
        <v>3150908.0</v>
      </c>
      <c r="N31" s="31">
        <v>2689679.0</v>
      </c>
      <c r="O31" s="31">
        <v>8032879.15</v>
      </c>
      <c r="P31" s="32">
        <v>3978695.13</v>
      </c>
      <c r="Q31" s="31">
        <v>128145.0</v>
      </c>
      <c r="R31" s="31">
        <v>92256.0</v>
      </c>
      <c r="S31" s="31">
        <v>16982.0</v>
      </c>
      <c r="T31" s="31">
        <v>67853.0</v>
      </c>
      <c r="U31" s="31">
        <v>0.0</v>
      </c>
      <c r="V31" s="31">
        <v>70570.0</v>
      </c>
      <c r="W31" s="31">
        <v>8197.76</v>
      </c>
      <c r="X31" s="31">
        <v>8489.04</v>
      </c>
      <c r="Y31" s="33"/>
      <c r="Z31" s="34"/>
      <c r="AA31" s="34"/>
      <c r="AB31" s="5"/>
      <c r="AC31" s="72" t="s">
        <v>60</v>
      </c>
      <c r="AE31" s="14" t="s">
        <v>17</v>
      </c>
      <c r="AF31" s="14" t="s">
        <v>61</v>
      </c>
      <c r="AG31" s="14" t="s">
        <v>62</v>
      </c>
      <c r="AH31" s="46"/>
      <c r="AI31" s="73" t="s">
        <v>63</v>
      </c>
      <c r="AJ31" s="73" t="s">
        <v>64</v>
      </c>
      <c r="AK31" s="14" t="s">
        <v>48</v>
      </c>
      <c r="AL31" s="24"/>
      <c r="AM31" s="24"/>
      <c r="AN31" s="5"/>
    </row>
    <row r="32">
      <c r="A32" s="35">
        <f t="shared" si="17"/>
        <v>0.1285688834</v>
      </c>
      <c r="B32" s="39" t="s">
        <v>65</v>
      </c>
      <c r="C32" s="31">
        <v>1269128.3</v>
      </c>
      <c r="D32" s="74"/>
      <c r="E32" s="2"/>
      <c r="F32" s="39" t="s">
        <v>65</v>
      </c>
      <c r="G32" s="32">
        <v>165856.9</v>
      </c>
      <c r="H32" s="53"/>
      <c r="I32" s="35">
        <f t="shared" si="18"/>
        <v>0.02684242955</v>
      </c>
      <c r="J32" s="47"/>
      <c r="K32" s="29"/>
      <c r="L32" s="30">
        <f t="shared" si="3"/>
        <v>0</v>
      </c>
      <c r="M32" s="32"/>
      <c r="N32" s="31"/>
      <c r="O32" s="31"/>
      <c r="P32" s="32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5"/>
      <c r="AC32" s="21" t="s">
        <v>24</v>
      </c>
      <c r="AD32" s="22" t="s">
        <v>19</v>
      </c>
      <c r="AE32" s="23">
        <f t="shared" ref="AE32:AE41" si="19">AM3</f>
        <v>206080314.2</v>
      </c>
      <c r="AF32" s="23">
        <f>C51</f>
        <v>0</v>
      </c>
      <c r="AG32" s="63">
        <f t="shared" ref="AG32:AG42" si="20">AF32/AE32</f>
        <v>0</v>
      </c>
      <c r="AH32" s="46"/>
      <c r="AI32" s="63">
        <f>C36</f>
        <v>0.08</v>
      </c>
      <c r="AJ32" s="63">
        <f t="shared" ref="AJ32:AJ42" si="21">AG32</f>
        <v>0</v>
      </c>
      <c r="AK32" s="63">
        <f t="shared" ref="AK32:AK42" si="22">AJ32/AI32-1</f>
        <v>-1</v>
      </c>
      <c r="AL32" s="24"/>
      <c r="AM32" s="24"/>
      <c r="AN32" s="5"/>
    </row>
    <row r="33">
      <c r="A33" s="2"/>
      <c r="B33" s="41" t="s">
        <v>42</v>
      </c>
      <c r="C33" s="32">
        <f>SUM(C31:C32)</f>
        <v>9871193.3</v>
      </c>
      <c r="D33" s="40"/>
      <c r="E33" s="2"/>
      <c r="F33" s="41" t="s">
        <v>42</v>
      </c>
      <c r="G33" s="32">
        <f>SUM(G31:G32)</f>
        <v>6178907.9</v>
      </c>
      <c r="H33" s="40"/>
      <c r="I33" s="2"/>
      <c r="J33" s="47"/>
      <c r="K33" s="29"/>
      <c r="L33" s="30">
        <f t="shared" si="3"/>
        <v>0</v>
      </c>
      <c r="M33" s="32"/>
      <c r="N33" s="31"/>
      <c r="O33" s="31"/>
      <c r="P33" s="32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21"/>
      <c r="AD33" s="22" t="s">
        <v>27</v>
      </c>
      <c r="AE33" s="23">
        <f t="shared" si="19"/>
        <v>114376989.1</v>
      </c>
      <c r="AF33" s="23">
        <f>G51</f>
        <v>0</v>
      </c>
      <c r="AG33" s="63">
        <f t="shared" si="20"/>
        <v>0</v>
      </c>
      <c r="AH33" s="46"/>
      <c r="AI33" s="63">
        <f>G36</f>
        <v>0.08</v>
      </c>
      <c r="AJ33" s="63">
        <f t="shared" si="21"/>
        <v>0</v>
      </c>
      <c r="AK33" s="63">
        <f t="shared" si="22"/>
        <v>-1</v>
      </c>
      <c r="AL33" s="5"/>
      <c r="AM33" s="24"/>
      <c r="AN33" s="21"/>
    </row>
    <row r="34">
      <c r="A34" s="2"/>
      <c r="B34" s="41" t="s">
        <v>43</v>
      </c>
      <c r="C34" s="2"/>
      <c r="D34" s="54">
        <f>O35</f>
        <v>206080314.2</v>
      </c>
      <c r="E34" s="2"/>
      <c r="F34" s="41" t="s">
        <v>43</v>
      </c>
      <c r="G34" s="2"/>
      <c r="H34" s="54">
        <f>P35</f>
        <v>114376989.1</v>
      </c>
      <c r="I34" s="2"/>
      <c r="J34" s="47"/>
      <c r="K34" s="29"/>
      <c r="L34" s="30">
        <f t="shared" si="3"/>
        <v>0</v>
      </c>
      <c r="M34" s="32"/>
      <c r="N34" s="31"/>
      <c r="O34" s="31"/>
      <c r="P34" s="32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5"/>
      <c r="AC34" s="21" t="s">
        <v>18</v>
      </c>
      <c r="AD34" s="22" t="s">
        <v>19</v>
      </c>
      <c r="AE34" s="23">
        <f t="shared" si="19"/>
        <v>105053826</v>
      </c>
      <c r="AF34" s="23">
        <f>C15</f>
        <v>15039866</v>
      </c>
      <c r="AG34" s="63">
        <f t="shared" si="20"/>
        <v>0.1431634294</v>
      </c>
      <c r="AH34" s="46"/>
      <c r="AI34" s="63">
        <f>C18</f>
        <v>0.15</v>
      </c>
      <c r="AJ34" s="63">
        <f t="shared" si="21"/>
        <v>0.1431634294</v>
      </c>
      <c r="AK34" s="63">
        <f t="shared" si="22"/>
        <v>-0.04557713744</v>
      </c>
      <c r="AL34" s="5"/>
      <c r="AM34" s="24"/>
      <c r="AN34" s="5"/>
    </row>
    <row r="35">
      <c r="A35" s="2"/>
      <c r="B35" s="41" t="s">
        <v>44</v>
      </c>
      <c r="C35" s="2"/>
      <c r="D35" s="57">
        <f>C33/D34</f>
        <v>0.04789973919</v>
      </c>
      <c r="E35" s="2"/>
      <c r="F35" s="41" t="s">
        <v>44</v>
      </c>
      <c r="G35" s="2"/>
      <c r="H35" s="57">
        <f>G33/H34</f>
        <v>0.05402229895</v>
      </c>
      <c r="I35" s="2"/>
      <c r="J35" s="47"/>
      <c r="K35" s="75">
        <f>L35/C1</f>
        <v>18548953.31</v>
      </c>
      <c r="L35" s="76">
        <f t="shared" ref="L35:AA35" si="23">SUM(L4:L34)</f>
        <v>519370692.6</v>
      </c>
      <c r="M35" s="30">
        <f t="shared" si="23"/>
        <v>105053826</v>
      </c>
      <c r="N35" s="30">
        <f t="shared" si="23"/>
        <v>84254055.2</v>
      </c>
      <c r="O35" s="30">
        <f t="shared" si="23"/>
        <v>206080314.2</v>
      </c>
      <c r="P35" s="30">
        <f t="shared" si="23"/>
        <v>114376989.1</v>
      </c>
      <c r="Q35" s="30">
        <f t="shared" si="23"/>
        <v>3069853</v>
      </c>
      <c r="R35" s="30">
        <f t="shared" si="23"/>
        <v>2257611</v>
      </c>
      <c r="S35" s="30">
        <f t="shared" si="23"/>
        <v>619304</v>
      </c>
      <c r="T35" s="30">
        <f t="shared" si="23"/>
        <v>1719666</v>
      </c>
      <c r="U35" s="30">
        <f t="shared" si="23"/>
        <v>141359</v>
      </c>
      <c r="V35" s="30">
        <f t="shared" si="23"/>
        <v>1599107</v>
      </c>
      <c r="W35" s="30">
        <f t="shared" si="23"/>
        <v>76644.47</v>
      </c>
      <c r="X35" s="30">
        <f t="shared" si="23"/>
        <v>121963.66</v>
      </c>
      <c r="Y35" s="30">
        <f t="shared" si="23"/>
        <v>0</v>
      </c>
      <c r="Z35" s="30">
        <f t="shared" si="23"/>
        <v>0</v>
      </c>
      <c r="AA35" s="30">
        <f t="shared" si="23"/>
        <v>0</v>
      </c>
      <c r="AB35" s="5"/>
      <c r="AD35" s="22" t="s">
        <v>27</v>
      </c>
      <c r="AE35" s="23">
        <f t="shared" si="19"/>
        <v>84254055.2</v>
      </c>
      <c r="AF35" s="23">
        <f>G15</f>
        <v>11045207</v>
      </c>
      <c r="AG35" s="63">
        <f t="shared" si="20"/>
        <v>0.1310940699</v>
      </c>
      <c r="AH35" s="46"/>
      <c r="AI35" s="63">
        <f>G18</f>
        <v>0.13</v>
      </c>
      <c r="AJ35" s="63">
        <f t="shared" si="21"/>
        <v>0.1310940699</v>
      </c>
      <c r="AK35" s="63">
        <f t="shared" si="22"/>
        <v>0.008415922148</v>
      </c>
      <c r="AL35" s="5"/>
      <c r="AM35" s="24"/>
      <c r="AN35" s="5"/>
    </row>
    <row r="36">
      <c r="A36" s="35">
        <f>D35/C36</f>
        <v>0.5987467399</v>
      </c>
      <c r="B36" s="41" t="s">
        <v>47</v>
      </c>
      <c r="C36" s="59">
        <v>0.08</v>
      </c>
      <c r="D36" s="54">
        <f>D34*C36</f>
        <v>16486425.13</v>
      </c>
      <c r="E36" s="2"/>
      <c r="F36" s="41" t="s">
        <v>47</v>
      </c>
      <c r="G36" s="59">
        <v>0.08</v>
      </c>
      <c r="H36" s="54">
        <f>H34*G36</f>
        <v>9150159.13</v>
      </c>
      <c r="I36" s="35">
        <f>H35/G36</f>
        <v>0.6752787369</v>
      </c>
      <c r="J36" s="47"/>
      <c r="K36" s="2"/>
      <c r="L36" s="2"/>
      <c r="M36" s="35">
        <f t="shared" ref="M36:AA36" si="24">M35/$L$35</f>
        <v>0.2022713786</v>
      </c>
      <c r="N36" s="35">
        <f t="shared" si="24"/>
        <v>0.162223353</v>
      </c>
      <c r="O36" s="35">
        <f t="shared" si="24"/>
        <v>0.3967884925</v>
      </c>
      <c r="P36" s="35">
        <f t="shared" si="24"/>
        <v>0.2202222627</v>
      </c>
      <c r="Q36" s="35">
        <f t="shared" si="24"/>
        <v>0.005910716649</v>
      </c>
      <c r="R36" s="35">
        <f t="shared" si="24"/>
        <v>0.004346820165</v>
      </c>
      <c r="S36" s="35">
        <f t="shared" si="24"/>
        <v>0.001192412296</v>
      </c>
      <c r="T36" s="35">
        <f t="shared" si="24"/>
        <v>0.003311057063</v>
      </c>
      <c r="U36" s="35">
        <f t="shared" si="24"/>
        <v>0.0002721736171</v>
      </c>
      <c r="V36" s="35">
        <f t="shared" si="24"/>
        <v>0.003078931913</v>
      </c>
      <c r="W36" s="35">
        <f t="shared" si="24"/>
        <v>0.0001475718039</v>
      </c>
      <c r="X36" s="35">
        <f t="shared" si="24"/>
        <v>0.0002348296924</v>
      </c>
      <c r="Y36" s="35">
        <f t="shared" si="24"/>
        <v>0</v>
      </c>
      <c r="Z36" s="35">
        <f t="shared" si="24"/>
        <v>0</v>
      </c>
      <c r="AA36" s="35">
        <f t="shared" si="24"/>
        <v>0</v>
      </c>
      <c r="AB36" s="5"/>
      <c r="AC36" s="21" t="s">
        <v>31</v>
      </c>
      <c r="AD36" s="22" t="s">
        <v>19</v>
      </c>
      <c r="AE36" s="23">
        <f t="shared" si="19"/>
        <v>3069853</v>
      </c>
      <c r="AF36" s="23">
        <f>C72</f>
        <v>585970</v>
      </c>
      <c r="AG36" s="63">
        <f t="shared" si="20"/>
        <v>0.1908788466</v>
      </c>
      <c r="AH36" s="46"/>
      <c r="AI36" s="63">
        <f>C75</f>
        <v>0.18</v>
      </c>
      <c r="AJ36" s="63">
        <f t="shared" si="21"/>
        <v>0.1908788466</v>
      </c>
      <c r="AK36" s="63">
        <f t="shared" si="22"/>
        <v>0.0604380369</v>
      </c>
      <c r="AL36" s="5"/>
      <c r="AM36" s="24"/>
      <c r="AN36" s="5"/>
    </row>
    <row r="37">
      <c r="A37" s="2"/>
      <c r="B37" s="77" t="s">
        <v>50</v>
      </c>
      <c r="C37" s="61"/>
      <c r="D37" s="62">
        <f>C33-D36</f>
        <v>-6615231.832</v>
      </c>
      <c r="E37" s="2"/>
      <c r="F37" s="77" t="s">
        <v>50</v>
      </c>
      <c r="G37" s="61"/>
      <c r="H37" s="62">
        <f>G33-H36</f>
        <v>-2971251.23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5"/>
      <c r="AD37" s="22" t="s">
        <v>27</v>
      </c>
      <c r="AE37" s="23">
        <f t="shared" si="19"/>
        <v>2257611</v>
      </c>
      <c r="AF37" s="23">
        <f>G72</f>
        <v>437052</v>
      </c>
      <c r="AG37" s="63">
        <f t="shared" si="20"/>
        <v>0.1935904813</v>
      </c>
      <c r="AH37" s="46"/>
      <c r="AI37" s="63">
        <f>G75</f>
        <v>0.175</v>
      </c>
      <c r="AJ37" s="63">
        <f t="shared" si="21"/>
        <v>0.1935904813</v>
      </c>
      <c r="AK37" s="63">
        <f t="shared" si="22"/>
        <v>0.1062313215</v>
      </c>
      <c r="AL37" s="5"/>
      <c r="AM37" s="24"/>
      <c r="AN37" s="5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66" t="s">
        <v>66</v>
      </c>
      <c r="M38" s="78">
        <f>SUM(M40:N40)/$L$40</f>
        <v>0.3644947316</v>
      </c>
      <c r="N38" s="79"/>
      <c r="O38" s="78">
        <f>SUM(O40:P40)/$L$40</f>
        <v>0.6170107552</v>
      </c>
      <c r="P38" s="79"/>
      <c r="Q38" s="78">
        <f>SUM(Q40:R40)/$L$40</f>
        <v>0.01025753681</v>
      </c>
      <c r="R38" s="79"/>
      <c r="S38" s="78">
        <f>SUM(S40:T40)/$L$40</f>
        <v>0.004503469359</v>
      </c>
      <c r="T38" s="79"/>
      <c r="U38" s="78">
        <f>SUM(U40:V40)/$L$40</f>
        <v>0.00335110553</v>
      </c>
      <c r="V38" s="79"/>
      <c r="W38" s="78">
        <f>SUM(W40:X40)/$L$40</f>
        <v>0.0003824014963</v>
      </c>
      <c r="X38" s="79"/>
      <c r="Y38" s="78">
        <f>SUM(Y40:Z40)/$L$40</f>
        <v>0</v>
      </c>
      <c r="Z38" s="80"/>
      <c r="AA38" s="79"/>
      <c r="AB38" s="5"/>
      <c r="AC38" s="44" t="s">
        <v>34</v>
      </c>
      <c r="AD38" s="22" t="s">
        <v>19</v>
      </c>
      <c r="AE38" s="23">
        <f t="shared" si="19"/>
        <v>619304</v>
      </c>
      <c r="AF38" s="81">
        <v>0.0</v>
      </c>
      <c r="AG38" s="63">
        <f t="shared" si="20"/>
        <v>0</v>
      </c>
      <c r="AH38" s="46"/>
      <c r="AI38" s="82">
        <f>C91</f>
        <v>0.1</v>
      </c>
      <c r="AJ38" s="63">
        <f t="shared" si="21"/>
        <v>0</v>
      </c>
      <c r="AK38" s="63">
        <f t="shared" si="22"/>
        <v>-1</v>
      </c>
      <c r="AL38" s="46"/>
      <c r="AM38" s="46"/>
      <c r="AN38" s="5"/>
    </row>
    <row r="39">
      <c r="A39" s="2"/>
      <c r="B39" s="58" t="s">
        <v>51</v>
      </c>
      <c r="C39" s="58"/>
      <c r="D39" s="64">
        <f>O42</f>
        <v>199495328</v>
      </c>
      <c r="E39" s="2"/>
      <c r="F39" s="58" t="s">
        <v>51</v>
      </c>
      <c r="G39" s="58"/>
      <c r="H39" s="64">
        <f>P42</f>
        <v>138055387</v>
      </c>
      <c r="I39" s="2"/>
      <c r="J39" s="2"/>
      <c r="K39" s="2" t="s">
        <v>67</v>
      </c>
      <c r="L39" s="35">
        <f t="shared" ref="L39:AA39" si="25">L40/$L$40</f>
        <v>1</v>
      </c>
      <c r="M39" s="83">
        <f t="shared" si="25"/>
        <v>0.2022713786</v>
      </c>
      <c r="N39" s="84">
        <f t="shared" si="25"/>
        <v>0.162223353</v>
      </c>
      <c r="O39" s="83">
        <f t="shared" si="25"/>
        <v>0.3967884925</v>
      </c>
      <c r="P39" s="84">
        <f t="shared" si="25"/>
        <v>0.2202222627</v>
      </c>
      <c r="Q39" s="83">
        <f t="shared" si="25"/>
        <v>0.005910716649</v>
      </c>
      <c r="R39" s="84">
        <f t="shared" si="25"/>
        <v>0.004346820165</v>
      </c>
      <c r="S39" s="83">
        <f t="shared" si="25"/>
        <v>0.001192412296</v>
      </c>
      <c r="T39" s="84">
        <f t="shared" si="25"/>
        <v>0.003311057063</v>
      </c>
      <c r="U39" s="83">
        <f t="shared" si="25"/>
        <v>0.0002721736171</v>
      </c>
      <c r="V39" s="84">
        <f t="shared" si="25"/>
        <v>0.003078931913</v>
      </c>
      <c r="W39" s="83">
        <f t="shared" si="25"/>
        <v>0.0001475718039</v>
      </c>
      <c r="X39" s="85">
        <f t="shared" si="25"/>
        <v>0.0002348296924</v>
      </c>
      <c r="Y39" s="83">
        <f t="shared" si="25"/>
        <v>0</v>
      </c>
      <c r="Z39" s="85">
        <f t="shared" si="25"/>
        <v>0</v>
      </c>
      <c r="AA39" s="84">
        <f t="shared" si="25"/>
        <v>0</v>
      </c>
      <c r="AB39" s="5"/>
      <c r="AD39" s="22" t="s">
        <v>27</v>
      </c>
      <c r="AE39" s="23">
        <f t="shared" si="19"/>
        <v>1719666</v>
      </c>
      <c r="AF39" s="81">
        <v>0.0</v>
      </c>
      <c r="AG39" s="63">
        <f t="shared" si="20"/>
        <v>0</v>
      </c>
      <c r="AH39" s="46"/>
      <c r="AI39" s="82">
        <f>G91</f>
        <v>0.1</v>
      </c>
      <c r="AJ39" s="63">
        <f t="shared" si="21"/>
        <v>0</v>
      </c>
      <c r="AK39" s="63">
        <f t="shared" si="22"/>
        <v>-1</v>
      </c>
      <c r="AL39" s="46"/>
      <c r="AM39" s="46"/>
      <c r="AN39" s="5"/>
    </row>
    <row r="40">
      <c r="A40" s="2"/>
      <c r="B40" s="2" t="s">
        <v>52</v>
      </c>
      <c r="C40" s="2"/>
      <c r="D40" s="30">
        <f>D34/$C$1</f>
        <v>7360011.22</v>
      </c>
      <c r="E40" s="2"/>
      <c r="F40" s="2" t="s">
        <v>52</v>
      </c>
      <c r="G40" s="2"/>
      <c r="H40" s="30">
        <f>H34/$C$1</f>
        <v>4084892.469</v>
      </c>
      <c r="I40" s="2"/>
      <c r="J40" s="2"/>
      <c r="K40" s="2" t="s">
        <v>68</v>
      </c>
      <c r="L40" s="76">
        <f t="shared" ref="L40:AA40" si="26">L35/$C$1*$G$1</f>
        <v>519370692.6</v>
      </c>
      <c r="M40" s="30">
        <f t="shared" si="26"/>
        <v>105053826</v>
      </c>
      <c r="N40" s="30">
        <f t="shared" si="26"/>
        <v>84254055.2</v>
      </c>
      <c r="O40" s="30">
        <f t="shared" si="26"/>
        <v>206080314.2</v>
      </c>
      <c r="P40" s="30">
        <f t="shared" si="26"/>
        <v>114376989.1</v>
      </c>
      <c r="Q40" s="30">
        <f t="shared" si="26"/>
        <v>3069853</v>
      </c>
      <c r="R40" s="30">
        <f t="shared" si="26"/>
        <v>2257611</v>
      </c>
      <c r="S40" s="30">
        <f t="shared" si="26"/>
        <v>619304</v>
      </c>
      <c r="T40" s="30">
        <f t="shared" si="26"/>
        <v>1719666</v>
      </c>
      <c r="U40" s="30">
        <f t="shared" si="26"/>
        <v>141359</v>
      </c>
      <c r="V40" s="30">
        <f t="shared" si="26"/>
        <v>1599107</v>
      </c>
      <c r="W40" s="30">
        <f t="shared" si="26"/>
        <v>76644.47</v>
      </c>
      <c r="X40" s="30">
        <f t="shared" si="26"/>
        <v>121963.66</v>
      </c>
      <c r="Y40" s="30">
        <f t="shared" si="26"/>
        <v>0</v>
      </c>
      <c r="Z40" s="30">
        <f t="shared" si="26"/>
        <v>0</v>
      </c>
      <c r="AA40" s="30">
        <f t="shared" si="26"/>
        <v>0</v>
      </c>
      <c r="AB40" s="5"/>
      <c r="AC40" s="44" t="s">
        <v>37</v>
      </c>
      <c r="AD40" s="22" t="s">
        <v>19</v>
      </c>
      <c r="AE40" s="23">
        <f t="shared" si="19"/>
        <v>141359</v>
      </c>
      <c r="AF40" s="81">
        <v>0.0</v>
      </c>
      <c r="AG40" s="63">
        <f t="shared" si="20"/>
        <v>0</v>
      </c>
      <c r="AH40" s="46"/>
      <c r="AI40" s="82">
        <v>0.0</v>
      </c>
      <c r="AJ40" s="63">
        <f t="shared" si="21"/>
        <v>0</v>
      </c>
      <c r="AK40" s="63" t="str">
        <f t="shared" si="22"/>
        <v>#DIV/0!</v>
      </c>
      <c r="AL40" s="46"/>
      <c r="AM40" s="46"/>
      <c r="AN40" s="5"/>
    </row>
    <row r="41">
      <c r="A41" s="2"/>
      <c r="B41" s="2" t="s">
        <v>53</v>
      </c>
      <c r="C41" s="2"/>
      <c r="D41" s="30">
        <f>D39/$G$1*$C$1</f>
        <v>199495328</v>
      </c>
      <c r="E41" s="2"/>
      <c r="F41" s="2" t="s">
        <v>53</v>
      </c>
      <c r="G41" s="2"/>
      <c r="H41" s="30">
        <f>H39/$G$1*$C$1</f>
        <v>138055387</v>
      </c>
      <c r="I41" s="2"/>
      <c r="J41" s="2"/>
      <c r="K41" s="2" t="s">
        <v>52</v>
      </c>
      <c r="L41" s="76">
        <f t="shared" ref="L41:AA41" si="27">L35/$C$1</f>
        <v>18548953.31</v>
      </c>
      <c r="M41" s="30">
        <f t="shared" si="27"/>
        <v>3751922.357</v>
      </c>
      <c r="N41" s="30">
        <f t="shared" si="27"/>
        <v>3009073.4</v>
      </c>
      <c r="O41" s="30">
        <f t="shared" si="27"/>
        <v>7360011.22</v>
      </c>
      <c r="P41" s="30">
        <f t="shared" si="27"/>
        <v>4084892.469</v>
      </c>
      <c r="Q41" s="30">
        <f t="shared" si="27"/>
        <v>109637.6071</v>
      </c>
      <c r="R41" s="30">
        <f t="shared" si="27"/>
        <v>80628.96429</v>
      </c>
      <c r="S41" s="30">
        <f t="shared" si="27"/>
        <v>22118</v>
      </c>
      <c r="T41" s="30">
        <f t="shared" si="27"/>
        <v>61416.64286</v>
      </c>
      <c r="U41" s="30">
        <f t="shared" si="27"/>
        <v>5048.535714</v>
      </c>
      <c r="V41" s="30">
        <f t="shared" si="27"/>
        <v>57110.96429</v>
      </c>
      <c r="W41" s="30">
        <f t="shared" si="27"/>
        <v>2737.3025</v>
      </c>
      <c r="X41" s="30">
        <f t="shared" si="27"/>
        <v>4355.845</v>
      </c>
      <c r="Y41" s="30">
        <f t="shared" si="27"/>
        <v>0</v>
      </c>
      <c r="Z41" s="30">
        <f t="shared" si="27"/>
        <v>0</v>
      </c>
      <c r="AA41" s="30">
        <f t="shared" si="27"/>
        <v>0</v>
      </c>
      <c r="AB41" s="5"/>
      <c r="AD41" s="22" t="s">
        <v>27</v>
      </c>
      <c r="AE41" s="23">
        <f t="shared" si="19"/>
        <v>1599107</v>
      </c>
      <c r="AF41" s="81">
        <v>0.0</v>
      </c>
      <c r="AG41" s="63">
        <f t="shared" si="20"/>
        <v>0</v>
      </c>
      <c r="AH41" s="46"/>
      <c r="AI41" s="82">
        <v>0.0</v>
      </c>
      <c r="AJ41" s="63">
        <f t="shared" si="21"/>
        <v>0</v>
      </c>
      <c r="AK41" s="63" t="str">
        <f t="shared" si="22"/>
        <v>#DIV/0!</v>
      </c>
      <c r="AL41" s="46"/>
      <c r="AM41" s="46"/>
      <c r="AN41" s="5"/>
    </row>
    <row r="42">
      <c r="A42" s="2"/>
      <c r="B42" s="2" t="s">
        <v>54</v>
      </c>
      <c r="C42" s="2"/>
      <c r="D42" s="30" t="str">
        <f>(D39-D34)/($G$1-$C$1)</f>
        <v>#DIV/0!</v>
      </c>
      <c r="E42" s="2"/>
      <c r="F42" s="2" t="s">
        <v>54</v>
      </c>
      <c r="G42" s="2"/>
      <c r="H42" s="30" t="str">
        <f>(H39-H34)/($G$1-$C$1)</f>
        <v>#DIV/0!</v>
      </c>
      <c r="I42" s="2"/>
      <c r="J42" s="2"/>
      <c r="K42" s="2" t="s">
        <v>69</v>
      </c>
      <c r="L42" s="76">
        <f>SUM(M42:V42)</f>
        <v>538714870.5</v>
      </c>
      <c r="M42" s="30">
        <f>'Январь 26'!M35</f>
        <v>110647711</v>
      </c>
      <c r="N42" s="30">
        <f>'Январь 26'!N35</f>
        <v>80715472.5</v>
      </c>
      <c r="O42" s="30">
        <f>'Январь 26'!O35</f>
        <v>199495328</v>
      </c>
      <c r="P42" s="30">
        <f>'Январь 26'!P35</f>
        <v>138055387</v>
      </c>
      <c r="Q42" s="30">
        <f>'Январь 26'!Q35</f>
        <v>3639698</v>
      </c>
      <c r="R42" s="30">
        <f>'Январь 26'!R35</f>
        <v>2771328</v>
      </c>
      <c r="S42" s="30">
        <f>'Январь 26'!S35</f>
        <v>355446</v>
      </c>
      <c r="T42" s="30">
        <f>'Январь 26'!T35</f>
        <v>1486093</v>
      </c>
      <c r="U42" s="30">
        <f>'Январь 26'!U35</f>
        <v>594263</v>
      </c>
      <c r="V42" s="30">
        <f>'Январь 26'!V35</f>
        <v>954144</v>
      </c>
      <c r="W42" s="30">
        <f>'Январь 26'!W35</f>
        <v>16504.5</v>
      </c>
      <c r="X42" s="30">
        <f>'Январь 26'!X35</f>
        <v>54552.52</v>
      </c>
      <c r="Y42" s="30">
        <f>'Январь 26'!Y35</f>
        <v>36781</v>
      </c>
      <c r="Z42" s="30">
        <f>'Январь 26'!Z35</f>
        <v>0</v>
      </c>
      <c r="AA42" s="30">
        <f>'Январь 26'!AA35</f>
        <v>0</v>
      </c>
      <c r="AB42" s="5"/>
      <c r="AC42" s="5"/>
      <c r="AD42" s="5"/>
      <c r="AE42" s="52">
        <f t="shared" ref="AE42:AF42" si="28">SUM(AE32:AE41)</f>
        <v>519172084.5</v>
      </c>
      <c r="AF42" s="52">
        <f t="shared" si="28"/>
        <v>27108095</v>
      </c>
      <c r="AG42" s="69">
        <f t="shared" si="20"/>
        <v>0.05221408433</v>
      </c>
      <c r="AH42" s="46"/>
      <c r="AI42" s="69">
        <f>F142</f>
        <v>0.1034518106</v>
      </c>
      <c r="AJ42" s="69">
        <f t="shared" si="21"/>
        <v>0.05221408433</v>
      </c>
      <c r="AK42" s="69">
        <f t="shared" si="22"/>
        <v>-0.4952810974</v>
      </c>
      <c r="AL42" s="5"/>
      <c r="AM42" s="5"/>
      <c r="AN42" s="5"/>
    </row>
    <row r="43">
      <c r="A43" s="2"/>
      <c r="B43" s="2" t="s">
        <v>55</v>
      </c>
      <c r="C43" s="2"/>
      <c r="D43" s="30">
        <f>D34-D41</f>
        <v>6584986.15</v>
      </c>
      <c r="E43" s="2"/>
      <c r="F43" s="2" t="s">
        <v>55</v>
      </c>
      <c r="G43" s="2"/>
      <c r="H43" s="30">
        <f>H34-H41</f>
        <v>-23678397.87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5"/>
      <c r="AC43" s="46"/>
      <c r="AD43" s="46"/>
      <c r="AE43" s="46"/>
      <c r="AF43" s="46"/>
      <c r="AG43" s="46"/>
      <c r="AH43" s="46"/>
      <c r="AI43" s="46"/>
      <c r="AJ43" s="46"/>
      <c r="AK43" s="46"/>
      <c r="AL43" s="55"/>
      <c r="AM43" s="55"/>
      <c r="AN43" s="5"/>
    </row>
    <row r="44">
      <c r="A44" s="2"/>
      <c r="B44" s="2" t="s">
        <v>56</v>
      </c>
      <c r="C44" s="2"/>
      <c r="D44" s="30">
        <f>D34/$C$1*$G$1</f>
        <v>206080314.2</v>
      </c>
      <c r="E44" s="2"/>
      <c r="F44" s="2" t="s">
        <v>56</v>
      </c>
      <c r="G44" s="2"/>
      <c r="H44" s="30">
        <f>H34/$C$1*$G$1</f>
        <v>114376989.1</v>
      </c>
      <c r="I44" s="2"/>
      <c r="J44" s="2"/>
      <c r="K44" s="44" t="s">
        <v>70</v>
      </c>
      <c r="L44" s="45">
        <f>SUM(M44:X44)</f>
        <v>43158196.2</v>
      </c>
      <c r="M44" s="45">
        <f>C15</f>
        <v>15039866</v>
      </c>
      <c r="N44" s="45">
        <f>G15</f>
        <v>11045207</v>
      </c>
      <c r="O44" s="45">
        <f>C33</f>
        <v>9871193.3</v>
      </c>
      <c r="P44" s="45">
        <f>G33</f>
        <v>6178907.9</v>
      </c>
      <c r="Q44" s="45">
        <f>C72</f>
        <v>585970</v>
      </c>
      <c r="R44" s="45">
        <f>G72</f>
        <v>437052</v>
      </c>
      <c r="S44" s="45" t="str">
        <f>C88</f>
        <v/>
      </c>
      <c r="T44" s="45" t="str">
        <f>G88</f>
        <v/>
      </c>
      <c r="U44" s="81">
        <v>0.0</v>
      </c>
      <c r="V44" s="81">
        <v>0.0</v>
      </c>
      <c r="W44" s="81">
        <v>0.0</v>
      </c>
      <c r="X44" s="81">
        <v>0.0</v>
      </c>
      <c r="Y44" s="81">
        <v>0.0</v>
      </c>
      <c r="Z44" s="81">
        <v>0.0</v>
      </c>
      <c r="AA44" s="81">
        <v>0.0</v>
      </c>
      <c r="AB44" s="5"/>
      <c r="AC44" s="72" t="s">
        <v>71</v>
      </c>
      <c r="AE44" s="14" t="s">
        <v>17</v>
      </c>
      <c r="AF44" s="14" t="s">
        <v>61</v>
      </c>
      <c r="AG44" s="14" t="s">
        <v>62</v>
      </c>
      <c r="AH44" s="24"/>
      <c r="AI44" s="73" t="s">
        <v>63</v>
      </c>
      <c r="AJ44" s="73" t="s">
        <v>64</v>
      </c>
      <c r="AK44" s="14" t="s">
        <v>48</v>
      </c>
      <c r="AL44" s="5"/>
      <c r="AM44" s="5"/>
      <c r="AN44" s="5"/>
    </row>
    <row r="45">
      <c r="A45" s="2"/>
      <c r="B45" s="66" t="s">
        <v>57</v>
      </c>
      <c r="C45" s="66"/>
      <c r="D45" s="67">
        <f>D44/D39</f>
        <v>1.033008222</v>
      </c>
      <c r="E45" s="2"/>
      <c r="F45" s="66" t="s">
        <v>57</v>
      </c>
      <c r="G45" s="66"/>
      <c r="H45" s="67">
        <f>H44/H39</f>
        <v>0.8284862447</v>
      </c>
      <c r="I45" s="2"/>
      <c r="J45" s="2"/>
      <c r="K45" s="44" t="s">
        <v>72</v>
      </c>
      <c r="L45" s="82">
        <f>L44/L35</f>
        <v>0.0830970958</v>
      </c>
      <c r="M45" s="82">
        <f t="shared" ref="M45:AA45" si="29">IFERROR(M44/M35, " ")</f>
        <v>0.1431634294</v>
      </c>
      <c r="N45" s="82">
        <f t="shared" si="29"/>
        <v>0.1310940699</v>
      </c>
      <c r="O45" s="82">
        <f t="shared" si="29"/>
        <v>0.04789973919</v>
      </c>
      <c r="P45" s="82">
        <f t="shared" si="29"/>
        <v>0.05402229895</v>
      </c>
      <c r="Q45" s="82">
        <f t="shared" si="29"/>
        <v>0.1908788466</v>
      </c>
      <c r="R45" s="82">
        <f t="shared" si="29"/>
        <v>0.1935904813</v>
      </c>
      <c r="S45" s="82">
        <f t="shared" si="29"/>
        <v>0</v>
      </c>
      <c r="T45" s="82">
        <f t="shared" si="29"/>
        <v>0</v>
      </c>
      <c r="U45" s="82">
        <f t="shared" si="29"/>
        <v>0</v>
      </c>
      <c r="V45" s="82">
        <f t="shared" si="29"/>
        <v>0</v>
      </c>
      <c r="W45" s="82">
        <f t="shared" si="29"/>
        <v>0</v>
      </c>
      <c r="X45" s="82">
        <f t="shared" si="29"/>
        <v>0</v>
      </c>
      <c r="Y45" s="82" t="str">
        <f t="shared" si="29"/>
        <v> </v>
      </c>
      <c r="Z45" s="82" t="str">
        <f t="shared" si="29"/>
        <v> </v>
      </c>
      <c r="AA45" s="82" t="str">
        <f t="shared" si="29"/>
        <v> </v>
      </c>
      <c r="AB45" s="5"/>
      <c r="AC45" s="21" t="s">
        <v>24</v>
      </c>
      <c r="AD45" s="22" t="s">
        <v>19</v>
      </c>
      <c r="AE45" s="23">
        <f t="shared" ref="AE45:AE54" si="30">AE32</f>
        <v>206080314.2</v>
      </c>
      <c r="AF45" s="23">
        <f>C33</f>
        <v>9871193.3</v>
      </c>
      <c r="AG45" s="63">
        <f t="shared" ref="AG45:AG55" si="31">AF45/AE45</f>
        <v>0.04789973919</v>
      </c>
      <c r="AH45" s="24"/>
      <c r="AI45" s="63">
        <f t="shared" ref="AI45:AI55" si="32">AI32</f>
        <v>0.08</v>
      </c>
      <c r="AJ45" s="63">
        <f t="shared" ref="AJ45:AJ55" si="33">AG45</f>
        <v>0.04789973919</v>
      </c>
      <c r="AK45" s="63">
        <f t="shared" ref="AK45:AK55" si="34">AJ45/AI45-1</f>
        <v>-0.4012532601</v>
      </c>
      <c r="AL45" s="5"/>
      <c r="AM45" s="5"/>
      <c r="AN45" s="5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5"/>
      <c r="AD46" s="22" t="s">
        <v>27</v>
      </c>
      <c r="AE46" s="23">
        <f t="shared" si="30"/>
        <v>114376989.1</v>
      </c>
      <c r="AF46" s="23">
        <f>G33</f>
        <v>6178907.9</v>
      </c>
      <c r="AG46" s="63">
        <f t="shared" si="31"/>
        <v>0.05402229895</v>
      </c>
      <c r="AH46" s="24"/>
      <c r="AI46" s="63">
        <f t="shared" si="32"/>
        <v>0.08</v>
      </c>
      <c r="AJ46" s="63">
        <f t="shared" si="33"/>
        <v>0.05402229895</v>
      </c>
      <c r="AK46" s="63">
        <f t="shared" si="34"/>
        <v>-0.3247212631</v>
      </c>
      <c r="AL46" s="55"/>
      <c r="AM46" s="55"/>
      <c r="AN46" s="5"/>
    </row>
    <row r="47">
      <c r="A47" s="2"/>
      <c r="B47" s="68" t="s">
        <v>73</v>
      </c>
      <c r="C47" s="17"/>
      <c r="D47" s="17"/>
      <c r="E47" s="17"/>
      <c r="F47" s="17"/>
      <c r="G47" s="17"/>
      <c r="H47" s="18"/>
      <c r="I47" s="2"/>
      <c r="J47" s="2"/>
      <c r="K47" s="2" t="s">
        <v>74</v>
      </c>
      <c r="L47" s="35">
        <f t="shared" ref="L47:AA47" si="35">L40/L42-1</f>
        <v>-0.03590800802</v>
      </c>
      <c r="M47" s="86">
        <f t="shared" si="35"/>
        <v>-0.05055581312</v>
      </c>
      <c r="N47" s="87">
        <f t="shared" si="35"/>
        <v>0.043840203</v>
      </c>
      <c r="O47" s="86">
        <f t="shared" si="35"/>
        <v>0.03300822238</v>
      </c>
      <c r="P47" s="87">
        <f t="shared" si="35"/>
        <v>-0.1715137553</v>
      </c>
      <c r="Q47" s="86">
        <f t="shared" si="35"/>
        <v>-0.1565638138</v>
      </c>
      <c r="R47" s="87">
        <f t="shared" si="35"/>
        <v>-0.1853685309</v>
      </c>
      <c r="S47" s="86">
        <f t="shared" si="35"/>
        <v>0.7423293552</v>
      </c>
      <c r="T47" s="87">
        <f t="shared" si="35"/>
        <v>0.1571725323</v>
      </c>
      <c r="U47" s="86">
        <f t="shared" si="35"/>
        <v>-0.7621272063</v>
      </c>
      <c r="V47" s="87">
        <f t="shared" si="35"/>
        <v>0.6759598132</v>
      </c>
      <c r="W47" s="86">
        <f t="shared" si="35"/>
        <v>3.643852889</v>
      </c>
      <c r="X47" s="88">
        <f t="shared" si="35"/>
        <v>1.235710834</v>
      </c>
      <c r="Y47" s="86">
        <f t="shared" si="35"/>
        <v>-1</v>
      </c>
      <c r="Z47" s="88" t="str">
        <f t="shared" si="35"/>
        <v>#DIV/0!</v>
      </c>
      <c r="AA47" s="87" t="str">
        <f t="shared" si="35"/>
        <v>#DIV/0!</v>
      </c>
      <c r="AB47" s="5"/>
      <c r="AC47" s="21" t="s">
        <v>18</v>
      </c>
      <c r="AD47" s="22" t="s">
        <v>19</v>
      </c>
      <c r="AE47" s="23">
        <f t="shared" si="30"/>
        <v>105053826</v>
      </c>
      <c r="AF47" s="23">
        <f t="shared" ref="AF47:AF54" si="36">AF34</f>
        <v>15039866</v>
      </c>
      <c r="AG47" s="63">
        <f t="shared" si="31"/>
        <v>0.1431634294</v>
      </c>
      <c r="AH47" s="24"/>
      <c r="AI47" s="63">
        <f t="shared" si="32"/>
        <v>0.15</v>
      </c>
      <c r="AJ47" s="63">
        <f t="shared" si="33"/>
        <v>0.1431634294</v>
      </c>
      <c r="AK47" s="63">
        <f t="shared" si="34"/>
        <v>-0.04557713744</v>
      </c>
      <c r="AL47" s="55"/>
      <c r="AM47" s="55"/>
      <c r="AN47" s="5"/>
    </row>
    <row r="48">
      <c r="A48" s="2"/>
      <c r="B48" s="70" t="str">
        <f>B30</f>
        <v>Биг–Л / Февраль | до </v>
      </c>
      <c r="C48" s="17"/>
      <c r="D48" s="28">
        <f>$D$4</f>
        <v>46107</v>
      </c>
      <c r="E48" s="2"/>
      <c r="F48" s="70" t="str">
        <f>F30</f>
        <v>Смарт/ Февраль| до </v>
      </c>
      <c r="G48" s="17"/>
      <c r="H48" s="28">
        <f>$D$4</f>
        <v>46107</v>
      </c>
      <c r="I48" s="2"/>
      <c r="J48" s="2"/>
      <c r="K48" s="19" t="s">
        <v>75</v>
      </c>
      <c r="M48" s="89">
        <f>SUM(M40:N40)/SUM(M42:N42)-1</f>
        <v>-0.01074032247</v>
      </c>
      <c r="N48" s="90"/>
      <c r="O48" s="89">
        <f>SUM(O40:P40)/SUM(O42:P42)-1</f>
        <v>-0.0506395364</v>
      </c>
      <c r="P48" s="90"/>
      <c r="Q48" s="89">
        <f>SUM(Q40:R40)/SUM(Q42:R42)-1</f>
        <v>-0.1690153807</v>
      </c>
      <c r="R48" s="90"/>
      <c r="S48" s="89">
        <f>SUM(S40:T40)/SUM(S42:T42)-1</f>
        <v>0.2701170054</v>
      </c>
      <c r="T48" s="90"/>
      <c r="U48" s="89">
        <f>SUM(U40:V40)/SUM(U42:V42)-1</f>
        <v>0.1240365098</v>
      </c>
      <c r="V48" s="90"/>
      <c r="W48" s="89">
        <f>SUM(W40:X40)/SUM(W42:X42)-1</f>
        <v>1.795052903</v>
      </c>
      <c r="X48" s="90"/>
      <c r="Y48" s="91">
        <f>SUM(Y40:AA40)/SUM(Y42:AA42)-1</f>
        <v>-1</v>
      </c>
      <c r="AA48" s="92"/>
      <c r="AB48" s="5"/>
      <c r="AD48" s="22" t="s">
        <v>27</v>
      </c>
      <c r="AE48" s="23">
        <f t="shared" si="30"/>
        <v>84254055.2</v>
      </c>
      <c r="AF48" s="23">
        <f t="shared" si="36"/>
        <v>11045207</v>
      </c>
      <c r="AG48" s="63">
        <f t="shared" si="31"/>
        <v>0.1310940699</v>
      </c>
      <c r="AH48" s="24"/>
      <c r="AI48" s="63">
        <f t="shared" si="32"/>
        <v>0.13</v>
      </c>
      <c r="AJ48" s="63">
        <f t="shared" si="33"/>
        <v>0.1310940699</v>
      </c>
      <c r="AK48" s="63">
        <f t="shared" si="34"/>
        <v>0.008415922148</v>
      </c>
      <c r="AL48" s="55"/>
      <c r="AM48" s="55"/>
      <c r="AN48" s="5"/>
    </row>
    <row r="49">
      <c r="A49" s="35">
        <f t="shared" ref="A49:A50" si="38">IFERROR(C49/$C$33, " ")</f>
        <v>0</v>
      </c>
      <c r="B49" s="41" t="s">
        <v>59</v>
      </c>
      <c r="C49" s="31"/>
      <c r="D49" s="71"/>
      <c r="E49" s="2"/>
      <c r="F49" s="41" t="s">
        <v>59</v>
      </c>
      <c r="G49" s="31"/>
      <c r="H49" s="53"/>
      <c r="I49" s="35">
        <f t="shared" ref="I49:I50" si="39">IFERROR(G49/$G$33, " ")</f>
        <v>0</v>
      </c>
      <c r="J49" s="2"/>
      <c r="K49" s="2" t="s">
        <v>76</v>
      </c>
      <c r="L49" s="30">
        <f t="shared" ref="L49:AA49" si="37">L40-L42</f>
        <v>-19344177.89</v>
      </c>
      <c r="M49" s="93">
        <f t="shared" si="37"/>
        <v>-5593885</v>
      </c>
      <c r="N49" s="94">
        <f t="shared" si="37"/>
        <v>3538582.7</v>
      </c>
      <c r="O49" s="93">
        <f t="shared" si="37"/>
        <v>6584986.15</v>
      </c>
      <c r="P49" s="94">
        <f t="shared" si="37"/>
        <v>-23678397.87</v>
      </c>
      <c r="Q49" s="93">
        <f t="shared" si="37"/>
        <v>-569845</v>
      </c>
      <c r="R49" s="94">
        <f t="shared" si="37"/>
        <v>-513717</v>
      </c>
      <c r="S49" s="95">
        <f t="shared" si="37"/>
        <v>263858</v>
      </c>
      <c r="T49" s="54">
        <f t="shared" si="37"/>
        <v>233573</v>
      </c>
      <c r="U49" s="95">
        <f t="shared" si="37"/>
        <v>-452904</v>
      </c>
      <c r="V49" s="54">
        <f t="shared" si="37"/>
        <v>644963</v>
      </c>
      <c r="W49" s="95">
        <f t="shared" si="37"/>
        <v>60139.97</v>
      </c>
      <c r="X49" s="30">
        <f t="shared" si="37"/>
        <v>67411.14</v>
      </c>
      <c r="Y49" s="93">
        <f t="shared" si="37"/>
        <v>-36781</v>
      </c>
      <c r="Z49" s="96">
        <f t="shared" si="37"/>
        <v>0</v>
      </c>
      <c r="AA49" s="94">
        <f t="shared" si="37"/>
        <v>0</v>
      </c>
      <c r="AB49" s="5"/>
      <c r="AC49" s="21" t="s">
        <v>31</v>
      </c>
      <c r="AD49" s="22" t="s">
        <v>19</v>
      </c>
      <c r="AE49" s="23">
        <f t="shared" si="30"/>
        <v>3069853</v>
      </c>
      <c r="AF49" s="23">
        <f t="shared" si="36"/>
        <v>585970</v>
      </c>
      <c r="AG49" s="63">
        <f t="shared" si="31"/>
        <v>0.1908788466</v>
      </c>
      <c r="AH49" s="24"/>
      <c r="AI49" s="63">
        <f t="shared" si="32"/>
        <v>0.18</v>
      </c>
      <c r="AJ49" s="63">
        <f t="shared" si="33"/>
        <v>0.1908788466</v>
      </c>
      <c r="AK49" s="63">
        <f t="shared" si="34"/>
        <v>0.0604380369</v>
      </c>
      <c r="AL49" s="55"/>
      <c r="AM49" s="55"/>
      <c r="AN49" s="5"/>
    </row>
    <row r="50">
      <c r="A50" s="35">
        <f t="shared" si="38"/>
        <v>0</v>
      </c>
      <c r="B50" s="41" t="s">
        <v>77</v>
      </c>
      <c r="C50" s="32"/>
      <c r="D50" s="40"/>
      <c r="E50" s="2"/>
      <c r="F50" s="41" t="s">
        <v>77</v>
      </c>
      <c r="G50" s="32"/>
      <c r="H50" s="53"/>
      <c r="I50" s="35">
        <f t="shared" si="39"/>
        <v>0</v>
      </c>
      <c r="J50" s="2"/>
      <c r="K50" s="19" t="s">
        <v>78</v>
      </c>
      <c r="M50" s="97">
        <f>SUM(M40:N40)-SUM(M42:N42)</f>
        <v>-2055302.3</v>
      </c>
      <c r="N50" s="90"/>
      <c r="O50" s="97">
        <f>SUM(O40:P40)-SUM(O42:P42)</f>
        <v>-17093411.72</v>
      </c>
      <c r="P50" s="90"/>
      <c r="Q50" s="97">
        <f>SUM(Q40:R40)-SUM(Q42:R42)</f>
        <v>-1083562</v>
      </c>
      <c r="R50" s="90"/>
      <c r="S50" s="97">
        <f>SUM(S40:T40)-SUM(S42:T42)</f>
        <v>497431</v>
      </c>
      <c r="T50" s="90"/>
      <c r="U50" s="97">
        <f>SUM(U40:V40)-SUM(U42:V42)</f>
        <v>192059</v>
      </c>
      <c r="V50" s="90"/>
      <c r="W50" s="97">
        <f>SUM(W40:X40)-SUM(W42:X42)</f>
        <v>127551.11</v>
      </c>
      <c r="X50" s="90"/>
      <c r="Y50" s="97">
        <f>SUM(Y40:AA40)-SUM(Y42:AA42)</f>
        <v>-36781</v>
      </c>
      <c r="Z50" s="98"/>
      <c r="AA50" s="90"/>
      <c r="AB50" s="5"/>
      <c r="AD50" s="22" t="s">
        <v>27</v>
      </c>
      <c r="AE50" s="23">
        <f t="shared" si="30"/>
        <v>2257611</v>
      </c>
      <c r="AF50" s="23">
        <f t="shared" si="36"/>
        <v>437052</v>
      </c>
      <c r="AG50" s="63">
        <f t="shared" si="31"/>
        <v>0.1935904813</v>
      </c>
      <c r="AH50" s="24"/>
      <c r="AI50" s="63">
        <f t="shared" si="32"/>
        <v>0.175</v>
      </c>
      <c r="AJ50" s="63">
        <f t="shared" si="33"/>
        <v>0.1935904813</v>
      </c>
      <c r="AK50" s="63">
        <f t="shared" si="34"/>
        <v>0.1062313215</v>
      </c>
      <c r="AL50" s="55"/>
      <c r="AM50" s="55"/>
      <c r="AN50" s="5"/>
    </row>
    <row r="51">
      <c r="A51" s="2"/>
      <c r="B51" s="41" t="s">
        <v>42</v>
      </c>
      <c r="C51" s="32">
        <f>SUM(C49:C50)</f>
        <v>0</v>
      </c>
      <c r="D51" s="40"/>
      <c r="E51" s="2"/>
      <c r="F51" s="41" t="s">
        <v>42</v>
      </c>
      <c r="G51" s="32">
        <f>SUM(G49:G50)</f>
        <v>0</v>
      </c>
      <c r="H51" s="40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5"/>
      <c r="AC51" s="44" t="s">
        <v>34</v>
      </c>
      <c r="AD51" s="22" t="s">
        <v>19</v>
      </c>
      <c r="AE51" s="23">
        <f t="shared" si="30"/>
        <v>619304</v>
      </c>
      <c r="AF51" s="23">
        <f t="shared" si="36"/>
        <v>0</v>
      </c>
      <c r="AG51" s="63">
        <f t="shared" si="31"/>
        <v>0</v>
      </c>
      <c r="AH51" s="46"/>
      <c r="AI51" s="63">
        <f t="shared" si="32"/>
        <v>0.1</v>
      </c>
      <c r="AJ51" s="63">
        <f t="shared" si="33"/>
        <v>0</v>
      </c>
      <c r="AK51" s="63">
        <f t="shared" si="34"/>
        <v>-1</v>
      </c>
      <c r="AL51" s="46"/>
      <c r="AM51" s="46"/>
      <c r="AN51" s="5"/>
    </row>
    <row r="52">
      <c r="A52" s="2"/>
      <c r="B52" s="41" t="s">
        <v>43</v>
      </c>
      <c r="C52" s="4"/>
      <c r="D52" s="54">
        <f>O35</f>
        <v>206080314.2</v>
      </c>
      <c r="E52" s="2"/>
      <c r="F52" s="41" t="s">
        <v>43</v>
      </c>
      <c r="G52" s="4"/>
      <c r="H52" s="54">
        <f>P35</f>
        <v>114376989.1</v>
      </c>
      <c r="I52" s="2"/>
      <c r="J52" s="2"/>
      <c r="K52" s="2" t="s">
        <v>79</v>
      </c>
      <c r="L52" s="99">
        <v>7.5E8</v>
      </c>
      <c r="M52" s="30">
        <f t="shared" ref="M52:AA52" si="40">$L$52*M36</f>
        <v>151703534</v>
      </c>
      <c r="N52" s="30">
        <f t="shared" si="40"/>
        <v>121667514.7</v>
      </c>
      <c r="O52" s="30">
        <f t="shared" si="40"/>
        <v>297591369.3</v>
      </c>
      <c r="P52" s="30">
        <f t="shared" si="40"/>
        <v>165166697.1</v>
      </c>
      <c r="Q52" s="30">
        <f t="shared" si="40"/>
        <v>4433037.487</v>
      </c>
      <c r="R52" s="30">
        <f t="shared" si="40"/>
        <v>3260115.124</v>
      </c>
      <c r="S52" s="30">
        <f t="shared" si="40"/>
        <v>894309.2219</v>
      </c>
      <c r="T52" s="30">
        <f t="shared" si="40"/>
        <v>2483292.797</v>
      </c>
      <c r="U52" s="30">
        <f t="shared" si="40"/>
        <v>204130.2128</v>
      </c>
      <c r="V52" s="30">
        <f t="shared" si="40"/>
        <v>2309198.935</v>
      </c>
      <c r="W52" s="30">
        <f t="shared" si="40"/>
        <v>110678.8529</v>
      </c>
      <c r="X52" s="30">
        <f t="shared" si="40"/>
        <v>176122.2693</v>
      </c>
      <c r="Y52" s="30">
        <f t="shared" si="40"/>
        <v>0</v>
      </c>
      <c r="Z52" s="30">
        <f t="shared" si="40"/>
        <v>0</v>
      </c>
      <c r="AA52" s="30">
        <f t="shared" si="40"/>
        <v>0</v>
      </c>
      <c r="AB52" s="5"/>
      <c r="AD52" s="22" t="s">
        <v>27</v>
      </c>
      <c r="AE52" s="23">
        <f t="shared" si="30"/>
        <v>1719666</v>
      </c>
      <c r="AF52" s="23">
        <f t="shared" si="36"/>
        <v>0</v>
      </c>
      <c r="AG52" s="63">
        <f t="shared" si="31"/>
        <v>0</v>
      </c>
      <c r="AH52" s="46"/>
      <c r="AI52" s="63">
        <f t="shared" si="32"/>
        <v>0.1</v>
      </c>
      <c r="AJ52" s="63">
        <f t="shared" si="33"/>
        <v>0</v>
      </c>
      <c r="AK52" s="63">
        <f t="shared" si="34"/>
        <v>-1</v>
      </c>
      <c r="AL52" s="46"/>
      <c r="AM52" s="46"/>
      <c r="AN52" s="5"/>
    </row>
    <row r="53">
      <c r="A53" s="2"/>
      <c r="B53" s="41" t="s">
        <v>44</v>
      </c>
      <c r="C53" s="2"/>
      <c r="D53" s="57">
        <f>C51/D52</f>
        <v>0</v>
      </c>
      <c r="E53" s="2"/>
      <c r="F53" s="41" t="s">
        <v>44</v>
      </c>
      <c r="G53" s="2"/>
      <c r="H53" s="57">
        <f>G51/H52</f>
        <v>0</v>
      </c>
      <c r="I53" s="2"/>
      <c r="J53" s="2"/>
      <c r="K53" s="2" t="s">
        <v>80</v>
      </c>
      <c r="L53" s="76">
        <f t="shared" ref="L53:AA53" si="41">L52-L35</f>
        <v>230629307.4</v>
      </c>
      <c r="M53" s="30">
        <f t="shared" si="41"/>
        <v>46649707.95</v>
      </c>
      <c r="N53" s="30">
        <f t="shared" si="41"/>
        <v>37413459.54</v>
      </c>
      <c r="O53" s="30">
        <f t="shared" si="41"/>
        <v>91511055.2</v>
      </c>
      <c r="P53" s="30">
        <f t="shared" si="41"/>
        <v>50789707.93</v>
      </c>
      <c r="Q53" s="30">
        <f t="shared" si="41"/>
        <v>1363184.487</v>
      </c>
      <c r="R53" s="30">
        <f t="shared" si="41"/>
        <v>1002504.124</v>
      </c>
      <c r="S53" s="30">
        <f t="shared" si="41"/>
        <v>275005.2219</v>
      </c>
      <c r="T53" s="30">
        <f t="shared" si="41"/>
        <v>763626.7971</v>
      </c>
      <c r="U53" s="30">
        <f t="shared" si="41"/>
        <v>62771.21279</v>
      </c>
      <c r="V53" s="30">
        <f t="shared" si="41"/>
        <v>710091.9345</v>
      </c>
      <c r="W53" s="30">
        <f t="shared" si="41"/>
        <v>34034.38292</v>
      </c>
      <c r="X53" s="30">
        <f t="shared" si="41"/>
        <v>54158.60932</v>
      </c>
      <c r="Y53" s="30">
        <f t="shared" si="41"/>
        <v>0</v>
      </c>
      <c r="Z53" s="30">
        <f t="shared" si="41"/>
        <v>0</v>
      </c>
      <c r="AA53" s="30">
        <f t="shared" si="41"/>
        <v>0</v>
      </c>
      <c r="AB53" s="5"/>
      <c r="AC53" s="44" t="s">
        <v>37</v>
      </c>
      <c r="AD53" s="22" t="s">
        <v>19</v>
      </c>
      <c r="AE53" s="23">
        <f t="shared" si="30"/>
        <v>141359</v>
      </c>
      <c r="AF53" s="23">
        <f t="shared" si="36"/>
        <v>0</v>
      </c>
      <c r="AG53" s="63">
        <f t="shared" si="31"/>
        <v>0</v>
      </c>
      <c r="AH53" s="46"/>
      <c r="AI53" s="63">
        <f t="shared" si="32"/>
        <v>0</v>
      </c>
      <c r="AJ53" s="63">
        <f t="shared" si="33"/>
        <v>0</v>
      </c>
      <c r="AK53" s="63" t="str">
        <f t="shared" si="34"/>
        <v>#DIV/0!</v>
      </c>
      <c r="AL53" s="46"/>
      <c r="AM53" s="46"/>
      <c r="AN53" s="5"/>
    </row>
    <row r="54">
      <c r="A54" s="35">
        <f>D53/C54</f>
        <v>0</v>
      </c>
      <c r="B54" s="41" t="s">
        <v>47</v>
      </c>
      <c r="C54" s="59">
        <v>0.05</v>
      </c>
      <c r="D54" s="54">
        <f>D52*C54</f>
        <v>10304015.71</v>
      </c>
      <c r="E54" s="2"/>
      <c r="F54" s="41" t="s">
        <v>47</v>
      </c>
      <c r="G54" s="59">
        <v>0.05</v>
      </c>
      <c r="H54" s="57">
        <f>H52*G54</f>
        <v>5718849.457</v>
      </c>
      <c r="I54" s="35">
        <f>H53/G54</f>
        <v>0</v>
      </c>
      <c r="J54" s="2"/>
      <c r="K54" s="2" t="s">
        <v>81</v>
      </c>
      <c r="L54" s="76" t="str">
        <f>SUM(M54:V54)</f>
        <v>#DIV/0!</v>
      </c>
      <c r="M54" s="30" t="str">
        <f t="shared" ref="M54:AA54" si="42">M53/($G$1-$C$1)</f>
        <v>#DIV/0!</v>
      </c>
      <c r="N54" s="30" t="str">
        <f t="shared" si="42"/>
        <v>#DIV/0!</v>
      </c>
      <c r="O54" s="30" t="str">
        <f t="shared" si="42"/>
        <v>#DIV/0!</v>
      </c>
      <c r="P54" s="30" t="str">
        <f t="shared" si="42"/>
        <v>#DIV/0!</v>
      </c>
      <c r="Q54" s="30" t="str">
        <f t="shared" si="42"/>
        <v>#DIV/0!</v>
      </c>
      <c r="R54" s="30" t="str">
        <f t="shared" si="42"/>
        <v>#DIV/0!</v>
      </c>
      <c r="S54" s="30" t="str">
        <f t="shared" si="42"/>
        <v>#DIV/0!</v>
      </c>
      <c r="T54" s="30" t="str">
        <f t="shared" si="42"/>
        <v>#DIV/0!</v>
      </c>
      <c r="U54" s="30" t="str">
        <f t="shared" si="42"/>
        <v>#DIV/0!</v>
      </c>
      <c r="V54" s="30" t="str">
        <f t="shared" si="42"/>
        <v>#DIV/0!</v>
      </c>
      <c r="W54" s="30" t="str">
        <f t="shared" si="42"/>
        <v>#DIV/0!</v>
      </c>
      <c r="X54" s="30" t="str">
        <f t="shared" si="42"/>
        <v>#DIV/0!</v>
      </c>
      <c r="Y54" s="30" t="str">
        <f t="shared" si="42"/>
        <v>#DIV/0!</v>
      </c>
      <c r="Z54" s="30" t="str">
        <f t="shared" si="42"/>
        <v>#DIV/0!</v>
      </c>
      <c r="AA54" s="30" t="str">
        <f t="shared" si="42"/>
        <v>#DIV/0!</v>
      </c>
      <c r="AB54" s="5"/>
      <c r="AD54" s="22" t="s">
        <v>27</v>
      </c>
      <c r="AE54" s="23">
        <f t="shared" si="30"/>
        <v>1599107</v>
      </c>
      <c r="AF54" s="23">
        <f t="shared" si="36"/>
        <v>0</v>
      </c>
      <c r="AG54" s="63">
        <f t="shared" si="31"/>
        <v>0</v>
      </c>
      <c r="AH54" s="46"/>
      <c r="AI54" s="63">
        <f t="shared" si="32"/>
        <v>0</v>
      </c>
      <c r="AJ54" s="63">
        <f t="shared" si="33"/>
        <v>0</v>
      </c>
      <c r="AK54" s="63" t="str">
        <f t="shared" si="34"/>
        <v>#DIV/0!</v>
      </c>
      <c r="AL54" s="46"/>
      <c r="AM54" s="46"/>
      <c r="AN54" s="5"/>
    </row>
    <row r="55">
      <c r="A55" s="2"/>
      <c r="B55" s="77" t="s">
        <v>50</v>
      </c>
      <c r="C55" s="61"/>
      <c r="D55" s="62">
        <f>C51-D54</f>
        <v>-10304015.71</v>
      </c>
      <c r="E55" s="2"/>
      <c r="F55" s="77" t="s">
        <v>50</v>
      </c>
      <c r="G55" s="61"/>
      <c r="H55" s="62">
        <f>G51-H54</f>
        <v>-5718849.457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5"/>
      <c r="AC55" s="5"/>
      <c r="AD55" s="5"/>
      <c r="AE55" s="52">
        <f t="shared" ref="AE55:AF55" si="43">SUM(AE45:AE54)</f>
        <v>519172084.5</v>
      </c>
      <c r="AF55" s="52">
        <f t="shared" si="43"/>
        <v>43158196.2</v>
      </c>
      <c r="AG55" s="69">
        <f t="shared" si="31"/>
        <v>0.08312888441</v>
      </c>
      <c r="AH55" s="5"/>
      <c r="AI55" s="69">
        <f t="shared" si="32"/>
        <v>0.1034518106</v>
      </c>
      <c r="AJ55" s="69">
        <f t="shared" si="33"/>
        <v>0.08312888441</v>
      </c>
      <c r="AK55" s="69">
        <f t="shared" si="34"/>
        <v>-0.1964482408</v>
      </c>
      <c r="AL55" s="55"/>
      <c r="AM55" s="24"/>
      <c r="AN55" s="5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31">
        <v>2.1E8</v>
      </c>
      <c r="O56" s="100"/>
      <c r="P56" s="2"/>
      <c r="Q56" s="56">
        <f>SUM(Q44:R44)/SUM(Q40:R40)</f>
        <v>0.1920279518</v>
      </c>
      <c r="R56" s="2"/>
      <c r="S56" s="2"/>
      <c r="T56" s="2"/>
      <c r="U56" s="2"/>
      <c r="V56" s="2"/>
      <c r="W56" s="2"/>
      <c r="X56" s="2"/>
      <c r="Y56" s="2"/>
      <c r="Z56" s="2"/>
      <c r="AA56" s="2"/>
      <c r="AB56" s="5"/>
      <c r="AC56" s="55"/>
      <c r="AD56" s="55"/>
      <c r="AE56" s="55"/>
      <c r="AF56" s="55"/>
      <c r="AG56" s="55"/>
      <c r="AH56" s="55"/>
      <c r="AI56" s="55"/>
      <c r="AJ56" s="55"/>
      <c r="AK56" s="55"/>
      <c r="AL56" s="5"/>
      <c r="AM56" s="5"/>
      <c r="AN56" s="5"/>
    </row>
    <row r="57">
      <c r="A57" s="2"/>
      <c r="B57" s="58" t="s">
        <v>51</v>
      </c>
      <c r="C57" s="58"/>
      <c r="D57" s="64">
        <f>O42</f>
        <v>199495328</v>
      </c>
      <c r="E57" s="2"/>
      <c r="F57" s="58" t="s">
        <v>51</v>
      </c>
      <c r="G57" s="58"/>
      <c r="H57" s="64">
        <f>P42</f>
        <v>138055387</v>
      </c>
      <c r="I57" s="2"/>
      <c r="J57" s="2"/>
      <c r="K57" s="2"/>
      <c r="L57" s="2"/>
      <c r="M57" s="4"/>
      <c r="N57" s="58">
        <f>N56-SUM(M35:N35)</f>
        <v>20692118.8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5"/>
      <c r="AC57" s="5"/>
      <c r="AD57" s="5"/>
      <c r="AE57" s="14" t="s">
        <v>12</v>
      </c>
      <c r="AF57" s="14" t="s">
        <v>17</v>
      </c>
      <c r="AG57" s="101" t="s">
        <v>48</v>
      </c>
      <c r="AH57" s="5"/>
      <c r="AI57" s="14" t="s">
        <v>63</v>
      </c>
      <c r="AJ57" s="14" t="s">
        <v>64</v>
      </c>
      <c r="AK57" s="101" t="s">
        <v>48</v>
      </c>
      <c r="AL57" s="5"/>
      <c r="AM57" s="5"/>
      <c r="AN57" s="5"/>
    </row>
    <row r="58">
      <c r="A58" s="2"/>
      <c r="B58" s="2" t="s">
        <v>52</v>
      </c>
      <c r="C58" s="2"/>
      <c r="D58" s="30">
        <f>D52/$C$1</f>
        <v>7360011.22</v>
      </c>
      <c r="E58" s="2"/>
      <c r="F58" s="2" t="s">
        <v>52</v>
      </c>
      <c r="G58" s="2"/>
      <c r="H58" s="30">
        <f>H52/$C$1</f>
        <v>4084892.469</v>
      </c>
      <c r="I58" s="2"/>
      <c r="J58" s="2"/>
      <c r="K58" s="2"/>
      <c r="L58" s="2"/>
      <c r="M58" s="56">
        <f>M35/SUM(M35:N35)</f>
        <v>0.5549363573</v>
      </c>
      <c r="N58" s="56">
        <f>N35/SUM(M35:N35)</f>
        <v>0.4450636427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5"/>
      <c r="AC58" s="21" t="s">
        <v>24</v>
      </c>
      <c r="AD58" s="22" t="s">
        <v>19</v>
      </c>
      <c r="AE58" s="23">
        <f t="shared" ref="AE58:AE68" si="45">AG3</f>
        <v>199495328</v>
      </c>
      <c r="AF58" s="23">
        <f t="shared" ref="AF58:AF68" si="46">AM3</f>
        <v>206080314.2</v>
      </c>
      <c r="AG58" s="63">
        <f t="shared" ref="AG58:AG68" si="47">IFERROR(AF58/AE58, " ")</f>
        <v>1.033008222</v>
      </c>
      <c r="AH58" s="5"/>
      <c r="AI58" s="63">
        <f t="shared" ref="AI58:AJ58" si="44">AI45</f>
        <v>0.08</v>
      </c>
      <c r="AJ58" s="63">
        <f t="shared" si="44"/>
        <v>0.04789973919</v>
      </c>
      <c r="AK58" s="63">
        <f t="shared" ref="AK58:AK68" si="49">AJ58/AI58-1</f>
        <v>-0.4012532601</v>
      </c>
      <c r="AL58" s="5"/>
      <c r="AM58" s="5"/>
      <c r="AN58" s="5"/>
    </row>
    <row r="59">
      <c r="A59" s="2"/>
      <c r="B59" s="2" t="s">
        <v>53</v>
      </c>
      <c r="C59" s="2"/>
      <c r="D59" s="30">
        <f>D57/$G$1*$C$1</f>
        <v>199495328</v>
      </c>
      <c r="E59" s="2"/>
      <c r="F59" s="2" t="s">
        <v>53</v>
      </c>
      <c r="G59" s="2"/>
      <c r="H59" s="30">
        <f>H57/$G$1*$C$1</f>
        <v>138055387</v>
      </c>
      <c r="I59" s="2"/>
      <c r="J59" s="2"/>
      <c r="K59" s="2"/>
      <c r="L59" s="2"/>
      <c r="M59" s="58">
        <f>N57*M58</f>
        <v>11482809.03</v>
      </c>
      <c r="N59" s="58">
        <f>N57*N58</f>
        <v>9209309.768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5"/>
      <c r="AD59" s="22" t="s">
        <v>27</v>
      </c>
      <c r="AE59" s="23">
        <f t="shared" si="45"/>
        <v>138055387</v>
      </c>
      <c r="AF59" s="23">
        <f t="shared" si="46"/>
        <v>114376989.1</v>
      </c>
      <c r="AG59" s="63">
        <f t="shared" si="47"/>
        <v>0.8284862447</v>
      </c>
      <c r="AH59" s="55"/>
      <c r="AI59" s="63">
        <f t="shared" ref="AI59:AJ59" si="48">AI46</f>
        <v>0.08</v>
      </c>
      <c r="AJ59" s="63">
        <f t="shared" si="48"/>
        <v>0.05402229895</v>
      </c>
      <c r="AK59" s="63">
        <f t="shared" si="49"/>
        <v>-0.3247212631</v>
      </c>
      <c r="AL59" s="5"/>
      <c r="AM59" s="5"/>
      <c r="AN59" s="5"/>
    </row>
    <row r="60">
      <c r="A60" s="2"/>
      <c r="B60" s="2" t="s">
        <v>54</v>
      </c>
      <c r="C60" s="2"/>
      <c r="D60" s="30" t="str">
        <f>(D57-D52)/($G$1-$C$1)</f>
        <v>#DIV/0!</v>
      </c>
      <c r="E60" s="2"/>
      <c r="F60" s="2" t="s">
        <v>54</v>
      </c>
      <c r="G60" s="2"/>
      <c r="H60" s="30" t="str">
        <f>(H57-H52)/($G$1-$C$1)</f>
        <v>#DIV/0!</v>
      </c>
      <c r="I60" s="2"/>
      <c r="J60" s="2"/>
      <c r="K60" s="2"/>
      <c r="L60" s="58" t="str">
        <f>SUM(M60:N60)</f>
        <v>#DIV/0!</v>
      </c>
      <c r="M60" s="58" t="str">
        <f>M59/(G1-C1)</f>
        <v>#DIV/0!</v>
      </c>
      <c r="N60" s="58" t="str">
        <f>N59/(G1-C1)</f>
        <v>#DIV/0!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5"/>
      <c r="AC60" s="21" t="s">
        <v>18</v>
      </c>
      <c r="AD60" s="22" t="s">
        <v>19</v>
      </c>
      <c r="AE60" s="23">
        <f t="shared" si="45"/>
        <v>110647711</v>
      </c>
      <c r="AF60" s="23">
        <f t="shared" si="46"/>
        <v>105053826</v>
      </c>
      <c r="AG60" s="63">
        <f t="shared" si="47"/>
        <v>0.9494441869</v>
      </c>
      <c r="AH60" s="55"/>
      <c r="AI60" s="63">
        <f t="shared" ref="AI60:AJ60" si="50">AI47</f>
        <v>0.15</v>
      </c>
      <c r="AJ60" s="63">
        <f t="shared" si="50"/>
        <v>0.1431634294</v>
      </c>
      <c r="AK60" s="63">
        <f t="shared" si="49"/>
        <v>-0.04557713744</v>
      </c>
      <c r="AL60" s="5"/>
      <c r="AM60" s="5"/>
      <c r="AN60" s="46"/>
    </row>
    <row r="61">
      <c r="A61" s="2"/>
      <c r="B61" s="2" t="s">
        <v>55</v>
      </c>
      <c r="C61" s="2"/>
      <c r="D61" s="30">
        <f>D52-D59</f>
        <v>6584986.15</v>
      </c>
      <c r="E61" s="2"/>
      <c r="F61" s="2" t="s">
        <v>55</v>
      </c>
      <c r="G61" s="2"/>
      <c r="H61" s="30">
        <f>H52-H59</f>
        <v>-23678397.87</v>
      </c>
      <c r="I61" s="2"/>
      <c r="J61" s="2"/>
      <c r="K61" s="2"/>
      <c r="L61" s="2"/>
      <c r="M61" s="56"/>
      <c r="N61" s="56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5"/>
      <c r="AD61" s="22" t="s">
        <v>27</v>
      </c>
      <c r="AE61" s="23">
        <f t="shared" si="45"/>
        <v>80715472.5</v>
      </c>
      <c r="AF61" s="23">
        <f t="shared" si="46"/>
        <v>84254055.2</v>
      </c>
      <c r="AG61" s="63">
        <f t="shared" si="47"/>
        <v>1.043840203</v>
      </c>
      <c r="AH61" s="55"/>
      <c r="AI61" s="63">
        <f t="shared" ref="AI61:AJ61" si="51">AI48</f>
        <v>0.13</v>
      </c>
      <c r="AJ61" s="63">
        <f t="shared" si="51"/>
        <v>0.1310940699</v>
      </c>
      <c r="AK61" s="63">
        <f t="shared" si="49"/>
        <v>0.008415922148</v>
      </c>
      <c r="AL61" s="5"/>
      <c r="AM61" s="5"/>
      <c r="AN61" s="46"/>
    </row>
    <row r="62">
      <c r="A62" s="2"/>
      <c r="B62" s="2" t="s">
        <v>56</v>
      </c>
      <c r="C62" s="2"/>
      <c r="D62" s="30">
        <f>D52/$C$1*$G$1</f>
        <v>206080314.2</v>
      </c>
      <c r="E62" s="2"/>
      <c r="F62" s="2" t="s">
        <v>56</v>
      </c>
      <c r="G62" s="2"/>
      <c r="H62" s="30">
        <f>H52/$C$1*$G$1</f>
        <v>114376989.1</v>
      </c>
      <c r="I62" s="2"/>
      <c r="J62" s="2"/>
      <c r="K62" s="2"/>
      <c r="L62" s="2"/>
      <c r="M62" s="56">
        <f t="shared" ref="M62:N62" si="52">M58</f>
        <v>0.5549363573</v>
      </c>
      <c r="N62" s="56">
        <f t="shared" si="52"/>
        <v>0.4450636427</v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5"/>
      <c r="AC62" s="21" t="s">
        <v>31</v>
      </c>
      <c r="AD62" s="22" t="s">
        <v>19</v>
      </c>
      <c r="AE62" s="23">
        <f t="shared" si="45"/>
        <v>3639698</v>
      </c>
      <c r="AF62" s="23">
        <f t="shared" si="46"/>
        <v>3069853</v>
      </c>
      <c r="AG62" s="63">
        <f t="shared" si="47"/>
        <v>0.8434361862</v>
      </c>
      <c r="AH62" s="55"/>
      <c r="AI62" s="63">
        <f t="shared" ref="AI62:AJ62" si="53">AI49</f>
        <v>0.18</v>
      </c>
      <c r="AJ62" s="63">
        <f t="shared" si="53"/>
        <v>0.1908788466</v>
      </c>
      <c r="AK62" s="63">
        <f t="shared" si="49"/>
        <v>0.0604380369</v>
      </c>
      <c r="AL62" s="5"/>
      <c r="AM62" s="5"/>
      <c r="AN62" s="46"/>
    </row>
    <row r="63">
      <c r="A63" s="2"/>
      <c r="B63" s="66" t="s">
        <v>57</v>
      </c>
      <c r="C63" s="66"/>
      <c r="D63" s="67">
        <f>D62/D57</f>
        <v>1.033008222</v>
      </c>
      <c r="E63" s="2"/>
      <c r="F63" s="66" t="s">
        <v>57</v>
      </c>
      <c r="G63" s="66"/>
      <c r="H63" s="67">
        <f>H62/H57</f>
        <v>0.8284862447</v>
      </c>
      <c r="I63" s="2"/>
      <c r="J63" s="2"/>
      <c r="K63" s="56"/>
      <c r="L63" s="2"/>
      <c r="M63" s="58">
        <f t="shared" ref="M63:N63" si="54">$N$56*M62</f>
        <v>116536635</v>
      </c>
      <c r="N63" s="58">
        <f t="shared" si="54"/>
        <v>93463364.97</v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5"/>
      <c r="AD63" s="22" t="s">
        <v>27</v>
      </c>
      <c r="AE63" s="23">
        <f t="shared" si="45"/>
        <v>2771328</v>
      </c>
      <c r="AF63" s="23">
        <f t="shared" si="46"/>
        <v>2257611</v>
      </c>
      <c r="AG63" s="63">
        <f t="shared" si="47"/>
        <v>0.8146314691</v>
      </c>
      <c r="AH63" s="55"/>
      <c r="AI63" s="63">
        <f t="shared" ref="AI63:AJ63" si="55">AI50</f>
        <v>0.175</v>
      </c>
      <c r="AJ63" s="63">
        <f t="shared" si="55"/>
        <v>0.1935904813</v>
      </c>
      <c r="AK63" s="63">
        <f t="shared" si="49"/>
        <v>0.1062313215</v>
      </c>
      <c r="AL63" s="5"/>
      <c r="AM63" s="5"/>
      <c r="AN63" s="46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56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5"/>
      <c r="AC64" s="44" t="s">
        <v>34</v>
      </c>
      <c r="AD64" s="22" t="s">
        <v>19</v>
      </c>
      <c r="AE64" s="23">
        <f t="shared" si="45"/>
        <v>355446</v>
      </c>
      <c r="AF64" s="23">
        <f t="shared" si="46"/>
        <v>619304</v>
      </c>
      <c r="AG64" s="63">
        <f t="shared" si="47"/>
        <v>1.742329355</v>
      </c>
      <c r="AH64" s="46"/>
      <c r="AI64" s="63">
        <f t="shared" ref="AI64:AJ64" si="56">AI51</f>
        <v>0.1</v>
      </c>
      <c r="AJ64" s="63">
        <f t="shared" si="56"/>
        <v>0</v>
      </c>
      <c r="AK64" s="63">
        <f t="shared" si="49"/>
        <v>-1</v>
      </c>
      <c r="AL64" s="46"/>
      <c r="AM64" s="46"/>
      <c r="AN64" s="46"/>
    </row>
    <row r="65">
      <c r="A65" s="2"/>
      <c r="B65" s="102" t="s">
        <v>31</v>
      </c>
      <c r="C65" s="17"/>
      <c r="D65" s="17"/>
      <c r="E65" s="17"/>
      <c r="F65" s="17"/>
      <c r="G65" s="17"/>
      <c r="H65" s="18"/>
      <c r="I65" s="2"/>
      <c r="J65" s="2"/>
      <c r="K65" s="56"/>
      <c r="L65" s="2">
        <f>G1-C1</f>
        <v>0</v>
      </c>
      <c r="M65" s="58" t="str">
        <f t="shared" ref="M65:N65" si="57">(M63-M35)/$L$65</f>
        <v>#DIV/0!</v>
      </c>
      <c r="N65" s="58" t="str">
        <f t="shared" si="57"/>
        <v>#DIV/0!</v>
      </c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5"/>
      <c r="AD65" s="22" t="s">
        <v>27</v>
      </c>
      <c r="AE65" s="23">
        <f t="shared" si="45"/>
        <v>1486093</v>
      </c>
      <c r="AF65" s="23">
        <f t="shared" si="46"/>
        <v>1719666</v>
      </c>
      <c r="AG65" s="63">
        <f t="shared" si="47"/>
        <v>1.157172532</v>
      </c>
      <c r="AH65" s="46"/>
      <c r="AI65" s="63">
        <f t="shared" ref="AI65:AJ65" si="58">AI52</f>
        <v>0.1</v>
      </c>
      <c r="AJ65" s="63">
        <f t="shared" si="58"/>
        <v>0</v>
      </c>
      <c r="AK65" s="63">
        <f t="shared" si="49"/>
        <v>-1</v>
      </c>
      <c r="AL65" s="46"/>
      <c r="AM65" s="46"/>
      <c r="AN65" s="46"/>
    </row>
    <row r="66">
      <c r="A66" s="2"/>
      <c r="B66" s="70" t="str">
        <f>B30</f>
        <v>Биг–Л / Февраль | до </v>
      </c>
      <c r="C66" s="17"/>
      <c r="D66" s="28">
        <f>$D$4</f>
        <v>46107</v>
      </c>
      <c r="E66" s="2"/>
      <c r="F66" s="70" t="str">
        <f>F30</f>
        <v>Смарт/ Февраль| до </v>
      </c>
      <c r="G66" s="17"/>
      <c r="H66" s="28">
        <f>$D$4</f>
        <v>46107</v>
      </c>
      <c r="I66" s="2"/>
      <c r="J66" s="2"/>
      <c r="AB66" s="5"/>
      <c r="AC66" s="44" t="s">
        <v>37</v>
      </c>
      <c r="AD66" s="22" t="s">
        <v>19</v>
      </c>
      <c r="AE66" s="23">
        <f t="shared" si="45"/>
        <v>594263</v>
      </c>
      <c r="AF66" s="23">
        <f t="shared" si="46"/>
        <v>141359</v>
      </c>
      <c r="AG66" s="63">
        <f t="shared" si="47"/>
        <v>0.2378727937</v>
      </c>
      <c r="AH66" s="46"/>
      <c r="AI66" s="63">
        <f t="shared" ref="AI66:AJ66" si="59">AI53</f>
        <v>0</v>
      </c>
      <c r="AJ66" s="63">
        <f t="shared" si="59"/>
        <v>0</v>
      </c>
      <c r="AK66" s="63" t="str">
        <f t="shared" si="49"/>
        <v>#DIV/0!</v>
      </c>
      <c r="AL66" s="46"/>
      <c r="AM66" s="46"/>
      <c r="AN66" s="46"/>
    </row>
    <row r="67">
      <c r="A67" s="35">
        <f t="shared" ref="A67:A71" si="61">IFERROR(C67/$C$72, " ")</f>
        <v>0.9964076659</v>
      </c>
      <c r="B67" s="41" t="s">
        <v>82</v>
      </c>
      <c r="C67" s="31">
        <v>583865.0</v>
      </c>
      <c r="D67" s="53"/>
      <c r="E67" s="2"/>
      <c r="F67" s="41" t="s">
        <v>82</v>
      </c>
      <c r="G67" s="31">
        <v>434737.0</v>
      </c>
      <c r="H67" s="53"/>
      <c r="I67" s="35">
        <f t="shared" ref="I67:I71" si="62">IFERROR(G67/$G$72, " ")</f>
        <v>0.9947031475</v>
      </c>
      <c r="J67" s="2"/>
      <c r="N67" s="31">
        <v>4.5E8</v>
      </c>
      <c r="AB67" s="5"/>
      <c r="AD67" s="22" t="s">
        <v>27</v>
      </c>
      <c r="AE67" s="23">
        <f t="shared" si="45"/>
        <v>954144</v>
      </c>
      <c r="AF67" s="23">
        <f t="shared" si="46"/>
        <v>1599107</v>
      </c>
      <c r="AG67" s="63">
        <f t="shared" si="47"/>
        <v>1.675959813</v>
      </c>
      <c r="AH67" s="46"/>
      <c r="AI67" s="63">
        <f t="shared" ref="AI67:AJ67" si="60">AI54</f>
        <v>0</v>
      </c>
      <c r="AJ67" s="63">
        <f t="shared" si="60"/>
        <v>0</v>
      </c>
      <c r="AK67" s="63" t="str">
        <f t="shared" si="49"/>
        <v>#DIV/0!</v>
      </c>
      <c r="AL67" s="46"/>
      <c r="AM67" s="46"/>
      <c r="AN67" s="46"/>
    </row>
    <row r="68">
      <c r="A68" s="35">
        <f t="shared" si="61"/>
        <v>0.003592334079</v>
      </c>
      <c r="B68" s="41" t="s">
        <v>83</v>
      </c>
      <c r="C68" s="32">
        <v>2105.0</v>
      </c>
      <c r="D68" s="74"/>
      <c r="E68" s="2"/>
      <c r="F68" s="41" t="s">
        <v>83</v>
      </c>
      <c r="G68" s="32">
        <v>2315.0</v>
      </c>
      <c r="H68" s="40"/>
      <c r="I68" s="35">
        <f t="shared" si="62"/>
        <v>0.005296852548</v>
      </c>
      <c r="J68" s="2"/>
      <c r="K68" s="56"/>
      <c r="L68" s="2"/>
      <c r="M68" s="56">
        <f t="shared" ref="M68:N68" si="63">M35/SUM($M$35:$N$35)</f>
        <v>0.5549363573</v>
      </c>
      <c r="N68" s="56">
        <f t="shared" si="63"/>
        <v>0.4450636427</v>
      </c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5"/>
      <c r="AC68" s="55"/>
      <c r="AD68" s="55"/>
      <c r="AE68" s="103">
        <f t="shared" si="45"/>
        <v>538714870.5</v>
      </c>
      <c r="AF68" s="103">
        <f t="shared" si="46"/>
        <v>519172084.5</v>
      </c>
      <c r="AG68" s="104">
        <f t="shared" si="47"/>
        <v>0.9637233218</v>
      </c>
      <c r="AH68" s="55"/>
      <c r="AI68" s="69">
        <f t="shared" ref="AI68:AJ68" si="64">AI55</f>
        <v>0.1034518106</v>
      </c>
      <c r="AJ68" s="69">
        <f t="shared" si="64"/>
        <v>0.08312888441</v>
      </c>
      <c r="AK68" s="69">
        <f t="shared" si="49"/>
        <v>-0.1964482408</v>
      </c>
      <c r="AL68" s="5"/>
      <c r="AM68" s="5"/>
      <c r="AN68" s="46"/>
    </row>
    <row r="69">
      <c r="A69" s="35">
        <f t="shared" si="61"/>
        <v>0</v>
      </c>
      <c r="B69" s="41" t="s">
        <v>84</v>
      </c>
      <c r="C69" s="32"/>
      <c r="D69" s="53"/>
      <c r="E69" s="2"/>
      <c r="F69" s="41" t="s">
        <v>84</v>
      </c>
      <c r="G69" s="32"/>
      <c r="H69" s="53"/>
      <c r="I69" s="35">
        <f t="shared" si="62"/>
        <v>0</v>
      </c>
      <c r="J69" s="2"/>
      <c r="K69" s="56"/>
      <c r="L69" s="2"/>
      <c r="M69" s="58">
        <f t="shared" ref="M69:N69" si="65">$N$67*M68</f>
        <v>249721360.8</v>
      </c>
      <c r="N69" s="58">
        <f t="shared" si="65"/>
        <v>200278639.2</v>
      </c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</row>
    <row r="70">
      <c r="A70" s="35">
        <f t="shared" si="61"/>
        <v>0</v>
      </c>
      <c r="B70" s="41" t="s">
        <v>85</v>
      </c>
      <c r="C70" s="32"/>
      <c r="D70" s="53"/>
      <c r="E70" s="2"/>
      <c r="F70" s="41" t="s">
        <v>85</v>
      </c>
      <c r="G70" s="32"/>
      <c r="H70" s="53"/>
      <c r="I70" s="35">
        <f t="shared" si="62"/>
        <v>0</v>
      </c>
      <c r="J70" s="2"/>
      <c r="K70" s="56"/>
      <c r="L70" s="4">
        <v>30.0</v>
      </c>
      <c r="M70" s="58">
        <f t="shared" ref="M70:N70" si="66">M69/$L$70</f>
        <v>8324045.359</v>
      </c>
      <c r="N70" s="58">
        <f t="shared" si="66"/>
        <v>6675954.641</v>
      </c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5"/>
      <c r="AC70" s="5"/>
      <c r="AD70" s="5"/>
      <c r="AE70" s="105" t="s">
        <v>86</v>
      </c>
      <c r="AF70" s="105" t="s">
        <v>87</v>
      </c>
      <c r="AG70" s="51"/>
      <c r="AH70" s="51"/>
      <c r="AI70" s="51"/>
      <c r="AJ70" s="51"/>
      <c r="AK70" s="51" t="str">
        <f t="shared" ref="AK70:AL70" si="67">AE70</f>
        <v>Сентябрь</v>
      </c>
      <c r="AL70" s="51" t="str">
        <f t="shared" si="67"/>
        <v>Октябрь</v>
      </c>
      <c r="AM70" s="5"/>
      <c r="AN70" s="5"/>
    </row>
    <row r="71">
      <c r="A71" s="35">
        <f t="shared" si="61"/>
        <v>0</v>
      </c>
      <c r="B71" s="41" t="s">
        <v>88</v>
      </c>
      <c r="C71" s="58"/>
      <c r="D71" s="53"/>
      <c r="E71" s="2"/>
      <c r="F71" s="41" t="s">
        <v>88</v>
      </c>
      <c r="G71" s="58"/>
      <c r="H71" s="53"/>
      <c r="I71" s="35">
        <f t="shared" si="62"/>
        <v>0</v>
      </c>
      <c r="J71" s="2"/>
      <c r="K71" s="56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5"/>
      <c r="AC71" s="5"/>
      <c r="AD71" s="5"/>
      <c r="AE71" s="14" t="s">
        <v>17</v>
      </c>
      <c r="AF71" s="14" t="s">
        <v>17</v>
      </c>
      <c r="AG71" s="14" t="s">
        <v>48</v>
      </c>
      <c r="AH71" s="5"/>
      <c r="AI71" s="72" t="s">
        <v>71</v>
      </c>
      <c r="AK71" s="14" t="s">
        <v>64</v>
      </c>
      <c r="AL71" s="14" t="s">
        <v>64</v>
      </c>
      <c r="AM71" s="14" t="s">
        <v>48</v>
      </c>
      <c r="AN71" s="5"/>
    </row>
    <row r="72">
      <c r="A72" s="2"/>
      <c r="B72" s="41" t="s">
        <v>42</v>
      </c>
      <c r="C72" s="30">
        <f>SUM(C67:C71)</f>
        <v>585970</v>
      </c>
      <c r="D72" s="53"/>
      <c r="E72" s="2"/>
      <c r="F72" s="41" t="s">
        <v>42</v>
      </c>
      <c r="G72" s="30">
        <f>SUM(G67:G71)</f>
        <v>437052</v>
      </c>
      <c r="H72" s="53"/>
      <c r="I72" s="2"/>
      <c r="J72" s="2"/>
      <c r="K72" s="56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5"/>
      <c r="AC72" s="21" t="s">
        <v>24</v>
      </c>
      <c r="AD72" s="22" t="s">
        <v>19</v>
      </c>
      <c r="AE72" s="23">
        <f>'Сентябрь 25'!AA72</f>
        <v>34886232</v>
      </c>
      <c r="AF72" s="23">
        <f t="shared" ref="AF72:AF81" si="68">AF58</f>
        <v>206080314.2</v>
      </c>
      <c r="AG72" s="63">
        <f t="shared" ref="AG72:AG82" si="69">AF72/AE72-1</f>
        <v>4.907210448</v>
      </c>
      <c r="AH72" s="5"/>
      <c r="AI72" s="21" t="s">
        <v>24</v>
      </c>
      <c r="AJ72" s="22" t="s">
        <v>19</v>
      </c>
      <c r="AK72" s="63">
        <f>'Сентябрь 25'!AG72</f>
        <v>0.06874047045</v>
      </c>
      <c r="AL72" s="63">
        <f t="shared" ref="AL72:AL81" si="70">AJ45</f>
        <v>0.04789973919</v>
      </c>
      <c r="AM72" s="63">
        <f t="shared" ref="AM72:AM82" si="71">AL72/AK72-1</f>
        <v>-0.3031799335</v>
      </c>
      <c r="AN72" s="5"/>
    </row>
    <row r="73">
      <c r="A73" s="2"/>
      <c r="B73" s="41" t="s">
        <v>43</v>
      </c>
      <c r="C73" s="58"/>
      <c r="D73" s="54">
        <f>Q35</f>
        <v>3069853</v>
      </c>
      <c r="E73" s="2"/>
      <c r="F73" s="41" t="s">
        <v>43</v>
      </c>
      <c r="G73" s="58"/>
      <c r="H73" s="54">
        <f>R35</f>
        <v>2257611</v>
      </c>
      <c r="I73" s="2"/>
      <c r="J73" s="2"/>
      <c r="K73" s="56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5"/>
      <c r="AD73" s="22" t="s">
        <v>27</v>
      </c>
      <c r="AE73" s="23">
        <f>'Сентябрь 25'!AA73</f>
        <v>108267871</v>
      </c>
      <c r="AF73" s="23">
        <f t="shared" si="68"/>
        <v>114376989.1</v>
      </c>
      <c r="AG73" s="63">
        <f t="shared" si="69"/>
        <v>0.05642595604</v>
      </c>
      <c r="AH73" s="5"/>
      <c r="AJ73" s="22" t="s">
        <v>27</v>
      </c>
      <c r="AK73" s="63">
        <f>'Сентябрь 25'!AG73</f>
        <v>0.06166203268</v>
      </c>
      <c r="AL73" s="63">
        <f t="shared" si="70"/>
        <v>0.05402229895</v>
      </c>
      <c r="AM73" s="63">
        <f t="shared" si="71"/>
        <v>-0.1238968843</v>
      </c>
      <c r="AN73" s="5"/>
    </row>
    <row r="74">
      <c r="A74" s="2"/>
      <c r="B74" s="41" t="s">
        <v>44</v>
      </c>
      <c r="C74" s="2"/>
      <c r="D74" s="57">
        <f>C72/D73</f>
        <v>0.1908788466</v>
      </c>
      <c r="E74" s="2"/>
      <c r="F74" s="41" t="s">
        <v>44</v>
      </c>
      <c r="G74" s="2"/>
      <c r="H74" s="57">
        <f>G72/H73</f>
        <v>0.1935904813</v>
      </c>
      <c r="I74" s="2"/>
      <c r="J74" s="2"/>
      <c r="K74" s="56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5"/>
      <c r="AC74" s="21" t="s">
        <v>18</v>
      </c>
      <c r="AD74" s="22" t="s">
        <v>19</v>
      </c>
      <c r="AE74" s="23">
        <f>'Сентябрь 25'!AA74</f>
        <v>25030992.89</v>
      </c>
      <c r="AF74" s="23">
        <f t="shared" si="68"/>
        <v>105053826</v>
      </c>
      <c r="AG74" s="63">
        <f t="shared" si="69"/>
        <v>3.196950015</v>
      </c>
      <c r="AH74" s="5"/>
      <c r="AI74" s="21" t="s">
        <v>18</v>
      </c>
      <c r="AJ74" s="22" t="s">
        <v>19</v>
      </c>
      <c r="AK74" s="63">
        <f>'Сентябрь 25'!AG74</f>
        <v>0.2317335163</v>
      </c>
      <c r="AL74" s="63">
        <f t="shared" si="70"/>
        <v>0.1431634294</v>
      </c>
      <c r="AM74" s="63">
        <f t="shared" si="71"/>
        <v>-0.3822066327</v>
      </c>
      <c r="AN74" s="5"/>
    </row>
    <row r="75">
      <c r="A75" s="35">
        <f>D74/C75</f>
        <v>1.060438037</v>
      </c>
      <c r="B75" s="41" t="s">
        <v>47</v>
      </c>
      <c r="C75" s="35">
        <v>0.18</v>
      </c>
      <c r="D75" s="54">
        <f>D73*C75</f>
        <v>552573.54</v>
      </c>
      <c r="E75" s="2"/>
      <c r="F75" s="41" t="s">
        <v>47</v>
      </c>
      <c r="G75" s="35">
        <v>0.175</v>
      </c>
      <c r="H75" s="54">
        <f>H73*G75</f>
        <v>395081.925</v>
      </c>
      <c r="I75" s="35">
        <f>H74/G75</f>
        <v>1.106231322</v>
      </c>
      <c r="J75" s="2"/>
      <c r="K75" s="56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5"/>
      <c r="AD75" s="22" t="s">
        <v>27</v>
      </c>
      <c r="AE75" s="23">
        <f>'Сентябрь 25'!AA75</f>
        <v>50514009.88</v>
      </c>
      <c r="AF75" s="23">
        <f t="shared" si="68"/>
        <v>84254055.2</v>
      </c>
      <c r="AG75" s="63">
        <f t="shared" si="69"/>
        <v>0.6679344086</v>
      </c>
      <c r="AH75" s="5"/>
      <c r="AJ75" s="22" t="s">
        <v>27</v>
      </c>
      <c r="AK75" s="63">
        <f>'Сентябрь 25'!AG75</f>
        <v>0.1198836722</v>
      </c>
      <c r="AL75" s="63">
        <f t="shared" si="70"/>
        <v>0.1310940699</v>
      </c>
      <c r="AM75" s="63">
        <f t="shared" si="71"/>
        <v>0.09351063013</v>
      </c>
      <c r="AN75" s="5"/>
    </row>
    <row r="76">
      <c r="A76" s="2"/>
      <c r="B76" s="77" t="s">
        <v>50</v>
      </c>
      <c r="C76" s="61"/>
      <c r="D76" s="62">
        <f>C72-D75</f>
        <v>33396.46</v>
      </c>
      <c r="E76" s="2"/>
      <c r="F76" s="77" t="s">
        <v>50</v>
      </c>
      <c r="G76" s="61"/>
      <c r="H76" s="62">
        <f>G72-H75</f>
        <v>41970.075</v>
      </c>
      <c r="I76" s="2"/>
      <c r="J76" s="2"/>
      <c r="K76" s="56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5"/>
      <c r="AC76" s="21" t="s">
        <v>31</v>
      </c>
      <c r="AD76" s="22" t="s">
        <v>19</v>
      </c>
      <c r="AE76" s="23">
        <f>'Сентябрь 25'!AA76</f>
        <v>-4890173.226</v>
      </c>
      <c r="AF76" s="23">
        <f t="shared" si="68"/>
        <v>3069853</v>
      </c>
      <c r="AG76" s="63">
        <f t="shared" si="69"/>
        <v>-1.627759561</v>
      </c>
      <c r="AH76" s="5"/>
      <c r="AI76" s="21" t="s">
        <v>31</v>
      </c>
      <c r="AJ76" s="22" t="s">
        <v>19</v>
      </c>
      <c r="AK76" s="63">
        <f>'Сентябрь 25'!AG76</f>
        <v>-0.03474784883</v>
      </c>
      <c r="AL76" s="63">
        <f t="shared" si="70"/>
        <v>0.1908788466</v>
      </c>
      <c r="AM76" s="63">
        <f t="shared" si="71"/>
        <v>-6.493256506</v>
      </c>
      <c r="AN76" s="5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56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5"/>
      <c r="AD77" s="22" t="s">
        <v>27</v>
      </c>
      <c r="AE77" s="23">
        <f>'Сентябрь 25'!AA77</f>
        <v>3184978</v>
      </c>
      <c r="AF77" s="23">
        <f t="shared" si="68"/>
        <v>2257611</v>
      </c>
      <c r="AG77" s="63">
        <f t="shared" si="69"/>
        <v>-0.2911690442</v>
      </c>
      <c r="AH77" s="5"/>
      <c r="AJ77" s="22" t="s">
        <v>27</v>
      </c>
      <c r="AK77" s="63">
        <f>'Сентябрь 25'!AG77</f>
        <v>0.2059675137</v>
      </c>
      <c r="AL77" s="63">
        <f t="shared" si="70"/>
        <v>0.1935904813</v>
      </c>
      <c r="AM77" s="63">
        <f t="shared" si="71"/>
        <v>-0.0600921585</v>
      </c>
      <c r="AN77" s="5"/>
    </row>
    <row r="78">
      <c r="A78" s="2"/>
      <c r="B78" s="58" t="s">
        <v>51</v>
      </c>
      <c r="C78" s="58"/>
      <c r="D78" s="64">
        <f>Q42</f>
        <v>3639698</v>
      </c>
      <c r="E78" s="2"/>
      <c r="F78" s="58" t="s">
        <v>51</v>
      </c>
      <c r="G78" s="58"/>
      <c r="H78" s="64">
        <f>R42</f>
        <v>2771328</v>
      </c>
      <c r="I78" s="2"/>
      <c r="J78" s="2"/>
      <c r="K78" s="56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5"/>
      <c r="AC78" s="44" t="s">
        <v>34</v>
      </c>
      <c r="AD78" s="22" t="s">
        <v>19</v>
      </c>
      <c r="AE78" s="23">
        <f>'Сентябрь 25'!AA78</f>
        <v>101466</v>
      </c>
      <c r="AF78" s="23">
        <f t="shared" si="68"/>
        <v>619304</v>
      </c>
      <c r="AG78" s="63">
        <f t="shared" si="69"/>
        <v>5.103561784</v>
      </c>
      <c r="AH78" s="5"/>
      <c r="AI78" s="44" t="s">
        <v>34</v>
      </c>
      <c r="AJ78" s="22" t="s">
        <v>19</v>
      </c>
      <c r="AK78" s="63">
        <f>'Сентябрь 25'!AG78</f>
        <v>0</v>
      </c>
      <c r="AL78" s="63">
        <f t="shared" si="70"/>
        <v>0</v>
      </c>
      <c r="AM78" s="63" t="str">
        <f t="shared" si="71"/>
        <v>#DIV/0!</v>
      </c>
      <c r="AN78" s="5"/>
    </row>
    <row r="79">
      <c r="A79" s="2"/>
      <c r="B79" s="2" t="s">
        <v>52</v>
      </c>
      <c r="C79" s="2"/>
      <c r="D79" s="30">
        <f>D73/$C$1</f>
        <v>109637.6071</v>
      </c>
      <c r="E79" s="2"/>
      <c r="F79" s="2" t="s">
        <v>52</v>
      </c>
      <c r="G79" s="2"/>
      <c r="H79" s="30">
        <f>H73/$C$1</f>
        <v>80628.96429</v>
      </c>
      <c r="I79" s="2"/>
      <c r="J79" s="2"/>
      <c r="K79" s="56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5"/>
      <c r="AD79" s="22" t="s">
        <v>27</v>
      </c>
      <c r="AE79" s="23">
        <f>'Сентябрь 25'!AA79</f>
        <v>314564</v>
      </c>
      <c r="AF79" s="23">
        <f t="shared" si="68"/>
        <v>1719666</v>
      </c>
      <c r="AG79" s="63">
        <f t="shared" si="69"/>
        <v>4.466823921</v>
      </c>
      <c r="AH79" s="5"/>
      <c r="AJ79" s="22" t="s">
        <v>27</v>
      </c>
      <c r="AK79" s="63">
        <f>'Сентябрь 25'!AG79</f>
        <v>0</v>
      </c>
      <c r="AL79" s="63">
        <f t="shared" si="70"/>
        <v>0</v>
      </c>
      <c r="AM79" s="63" t="str">
        <f t="shared" si="71"/>
        <v>#DIV/0!</v>
      </c>
      <c r="AN79" s="5"/>
    </row>
    <row r="80">
      <c r="A80" s="2"/>
      <c r="B80" s="2" t="s">
        <v>53</v>
      </c>
      <c r="C80" s="2"/>
      <c r="D80" s="30">
        <f>D78/$G$1*$C$1</f>
        <v>3639698</v>
      </c>
      <c r="E80" s="2"/>
      <c r="F80" s="2" t="s">
        <v>53</v>
      </c>
      <c r="G80" s="2"/>
      <c r="H80" s="30">
        <f>H78/$G$1*$C$1</f>
        <v>2771328</v>
      </c>
      <c r="I80" s="2"/>
      <c r="J80" s="2"/>
      <c r="K80" s="56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5"/>
      <c r="AC80" s="44" t="s">
        <v>37</v>
      </c>
      <c r="AD80" s="22" t="s">
        <v>19</v>
      </c>
      <c r="AE80" s="23">
        <f>'Сентябрь 25'!AA80</f>
        <v>0</v>
      </c>
      <c r="AF80" s="23">
        <f t="shared" si="68"/>
        <v>141359</v>
      </c>
      <c r="AG80" s="63" t="str">
        <f t="shared" si="69"/>
        <v>#DIV/0!</v>
      </c>
      <c r="AH80" s="5"/>
      <c r="AI80" s="44" t="s">
        <v>37</v>
      </c>
      <c r="AJ80" s="22" t="s">
        <v>19</v>
      </c>
      <c r="AK80" s="63" t="str">
        <f>'Сентябрь 25'!AG80</f>
        <v>#DIV/0!</v>
      </c>
      <c r="AL80" s="63">
        <f t="shared" si="70"/>
        <v>0</v>
      </c>
      <c r="AM80" s="63" t="str">
        <f t="shared" si="71"/>
        <v>#DIV/0!</v>
      </c>
      <c r="AN80" s="5"/>
    </row>
    <row r="81">
      <c r="A81" s="2"/>
      <c r="B81" s="2" t="s">
        <v>54</v>
      </c>
      <c r="C81" s="2"/>
      <c r="D81" s="30" t="str">
        <f>(D78-D73)/($G$1-$C$1)</f>
        <v>#DIV/0!</v>
      </c>
      <c r="E81" s="2"/>
      <c r="F81" s="2" t="s">
        <v>54</v>
      </c>
      <c r="G81" s="2"/>
      <c r="H81" s="30" t="str">
        <f>(H78-H73)/($G$1-$C$1)</f>
        <v>#DIV/0!</v>
      </c>
      <c r="I81" s="2"/>
      <c r="J81" s="2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5"/>
      <c r="AD81" s="22" t="s">
        <v>27</v>
      </c>
      <c r="AE81" s="23">
        <f>'Сентябрь 25'!AA81</f>
        <v>959556</v>
      </c>
      <c r="AF81" s="23">
        <f t="shared" si="68"/>
        <v>1599107</v>
      </c>
      <c r="AG81" s="63">
        <f t="shared" si="69"/>
        <v>0.6665072179</v>
      </c>
      <c r="AH81" s="55"/>
      <c r="AJ81" s="22" t="s">
        <v>27</v>
      </c>
      <c r="AK81" s="63">
        <f>'Сентябрь 25'!AG81</f>
        <v>0</v>
      </c>
      <c r="AL81" s="63">
        <f t="shared" si="70"/>
        <v>0</v>
      </c>
      <c r="AM81" s="63" t="str">
        <f t="shared" si="71"/>
        <v>#DIV/0!</v>
      </c>
      <c r="AN81" s="55"/>
    </row>
    <row r="82">
      <c r="A82" s="2"/>
      <c r="B82" s="2" t="s">
        <v>89</v>
      </c>
      <c r="C82" s="2"/>
      <c r="D82" s="30">
        <f>D73-D80</f>
        <v>-569845</v>
      </c>
      <c r="E82" s="2"/>
      <c r="F82" s="2" t="s">
        <v>89</v>
      </c>
      <c r="G82" s="2"/>
      <c r="H82" s="30">
        <f>H73-H80</f>
        <v>-513717</v>
      </c>
      <c r="I82" s="2"/>
      <c r="J82" s="2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5"/>
      <c r="AC82" s="55"/>
      <c r="AD82" s="55"/>
      <c r="AE82" s="52">
        <f>'Сентябрь 25'!AA82</f>
        <v>218369496.5</v>
      </c>
      <c r="AF82" s="52">
        <f>SUM(AF72:AF81)</f>
        <v>519172084.5</v>
      </c>
      <c r="AG82" s="69">
        <f t="shared" si="69"/>
        <v>1.377493618</v>
      </c>
      <c r="AH82" s="55"/>
      <c r="AI82" s="55"/>
      <c r="AJ82" s="55"/>
      <c r="AK82" s="69">
        <f>'Сентябрь 25'!AG82</f>
        <v>0.09963096194</v>
      </c>
      <c r="AL82" s="69">
        <f>AJ68</f>
        <v>0.08312888441</v>
      </c>
      <c r="AM82" s="69">
        <f t="shared" si="71"/>
        <v>-0.1656320205</v>
      </c>
      <c r="AN82" s="55"/>
    </row>
    <row r="83">
      <c r="A83" s="2"/>
      <c r="B83" s="2" t="s">
        <v>56</v>
      </c>
      <c r="C83" s="2"/>
      <c r="D83" s="30">
        <f>D73/$C$1*$G$1</f>
        <v>3069853</v>
      </c>
      <c r="E83" s="2"/>
      <c r="F83" s="2" t="s">
        <v>56</v>
      </c>
      <c r="G83" s="2"/>
      <c r="H83" s="30">
        <f>H73/$C$1*$G$1</f>
        <v>2257611</v>
      </c>
      <c r="I83" s="2"/>
      <c r="J83" s="2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5"/>
      <c r="AC83" s="55"/>
      <c r="AD83" s="55"/>
      <c r="AE83" s="55"/>
      <c r="AF83" s="55"/>
      <c r="AG83" s="52">
        <f>AF82-AE82</f>
        <v>300802587.9</v>
      </c>
      <c r="AH83" s="55"/>
      <c r="AI83" s="55"/>
      <c r="AJ83" s="55"/>
      <c r="AK83" s="55"/>
      <c r="AL83" s="55"/>
      <c r="AM83" s="55"/>
      <c r="AN83" s="55"/>
    </row>
    <row r="84">
      <c r="A84" s="2"/>
      <c r="B84" s="66" t="s">
        <v>57</v>
      </c>
      <c r="C84" s="66"/>
      <c r="D84" s="67">
        <f>D83/D78</f>
        <v>0.8434361862</v>
      </c>
      <c r="E84" s="2"/>
      <c r="F84" s="66" t="s">
        <v>57</v>
      </c>
      <c r="G84" s="66"/>
      <c r="H84" s="67">
        <f>H83/H78</f>
        <v>0.8146314691</v>
      </c>
      <c r="I84" s="2"/>
      <c r="J84" s="2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  <c r="AK85" s="56"/>
      <c r="AL85" s="56"/>
      <c r="AM85" s="56"/>
      <c r="AN85" s="56"/>
    </row>
    <row r="86">
      <c r="A86" s="2"/>
      <c r="B86" s="70" t="s">
        <v>34</v>
      </c>
      <c r="C86" s="17"/>
      <c r="D86" s="17"/>
      <c r="E86" s="17"/>
      <c r="F86" s="17"/>
      <c r="G86" s="17"/>
      <c r="H86" s="18"/>
      <c r="I86" s="2"/>
      <c r="J86" s="2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6"/>
    </row>
    <row r="87">
      <c r="A87" s="2"/>
      <c r="B87" s="70" t="str">
        <f>B66</f>
        <v>Биг–Л / Февраль | до </v>
      </c>
      <c r="C87" s="17"/>
      <c r="D87" s="28">
        <f>$D$4</f>
        <v>46107</v>
      </c>
      <c r="E87" s="2"/>
      <c r="F87" s="70" t="str">
        <f>F66</f>
        <v>Смарт/ Февраль| до </v>
      </c>
      <c r="G87" s="17"/>
      <c r="H87" s="28">
        <f>$D$4</f>
        <v>46107</v>
      </c>
      <c r="I87" s="2"/>
      <c r="J87" s="2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6"/>
    </row>
    <row r="88">
      <c r="A88" s="2"/>
      <c r="B88" s="106" t="s">
        <v>90</v>
      </c>
      <c r="C88" s="107"/>
      <c r="D88" s="108">
        <v>22723.09</v>
      </c>
      <c r="E88" s="2"/>
      <c r="F88" s="106" t="s">
        <v>90</v>
      </c>
      <c r="G88" s="107"/>
      <c r="H88" s="108">
        <v>60254.48</v>
      </c>
      <c r="I88" s="2"/>
      <c r="J88" s="2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  <c r="AK88" s="56"/>
      <c r="AL88" s="56"/>
      <c r="AM88" s="56"/>
      <c r="AN88" s="56"/>
    </row>
    <row r="89">
      <c r="A89" s="2"/>
      <c r="B89" s="41" t="s">
        <v>43</v>
      </c>
      <c r="C89" s="2"/>
      <c r="D89" s="54">
        <f>S35</f>
        <v>619304</v>
      </c>
      <c r="E89" s="2"/>
      <c r="F89" s="41" t="s">
        <v>43</v>
      </c>
      <c r="G89" s="2"/>
      <c r="H89" s="54">
        <f>T35</f>
        <v>1719666</v>
      </c>
      <c r="I89" s="2"/>
      <c r="J89" s="2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  <c r="AK89" s="56"/>
      <c r="AL89" s="56"/>
      <c r="AM89" s="56"/>
      <c r="AN89" s="56"/>
    </row>
    <row r="90">
      <c r="A90" s="2"/>
      <c r="B90" s="41" t="s">
        <v>44</v>
      </c>
      <c r="C90" s="2"/>
      <c r="D90" s="57">
        <f>D88/D89</f>
        <v>0.03669133414</v>
      </c>
      <c r="E90" s="2"/>
      <c r="F90" s="41" t="s">
        <v>44</v>
      </c>
      <c r="G90" s="2"/>
      <c r="H90" s="57">
        <f>H88/H89</f>
        <v>0.0350384784</v>
      </c>
      <c r="I90" s="2"/>
      <c r="J90" s="2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  <c r="AM90" s="56"/>
      <c r="AN90" s="56"/>
    </row>
    <row r="91">
      <c r="A91" s="2"/>
      <c r="B91" s="41" t="s">
        <v>47</v>
      </c>
      <c r="C91" s="59">
        <v>0.1</v>
      </c>
      <c r="D91" s="54">
        <f>D89*C91</f>
        <v>61930.4</v>
      </c>
      <c r="E91" s="2"/>
      <c r="F91" s="41" t="s">
        <v>47</v>
      </c>
      <c r="G91" s="59">
        <v>0.1</v>
      </c>
      <c r="H91" s="54">
        <f>H89*G91</f>
        <v>171966.6</v>
      </c>
      <c r="I91" s="2"/>
      <c r="J91" s="2"/>
      <c r="K91" s="56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>
      <c r="A92" s="2"/>
      <c r="B92" s="77" t="s">
        <v>50</v>
      </c>
      <c r="C92" s="61"/>
      <c r="D92" s="62">
        <f>C88-D91</f>
        <v>-61930.4</v>
      </c>
      <c r="E92" s="2"/>
      <c r="F92" s="77" t="s">
        <v>50</v>
      </c>
      <c r="G92" s="61"/>
      <c r="H92" s="62">
        <f>G88-H91</f>
        <v>-171966.6</v>
      </c>
      <c r="I92" s="2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  <c r="AK92" s="56"/>
      <c r="AL92" s="56"/>
      <c r="AM92" s="56"/>
      <c r="AN92" s="56"/>
    </row>
    <row r="93">
      <c r="A93" s="2"/>
      <c r="B93" s="2"/>
      <c r="C93" s="2"/>
      <c r="D93" s="2"/>
      <c r="E93" s="2"/>
      <c r="F93" s="2"/>
      <c r="G93" s="2"/>
      <c r="H93" s="2"/>
      <c r="I93" s="2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  <c r="AK93" s="56"/>
      <c r="AL93" s="56"/>
      <c r="AM93" s="56"/>
      <c r="AN93" s="56"/>
    </row>
    <row r="94">
      <c r="A94" s="2"/>
      <c r="B94" s="58" t="s">
        <v>51</v>
      </c>
      <c r="C94" s="2"/>
      <c r="D94" s="64">
        <f>S42</f>
        <v>355446</v>
      </c>
      <c r="E94" s="2"/>
      <c r="F94" s="58" t="s">
        <v>51</v>
      </c>
      <c r="G94" s="2"/>
      <c r="H94" s="64">
        <f>T42</f>
        <v>1486093</v>
      </c>
      <c r="I94" s="2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N94" s="56"/>
    </row>
    <row r="95">
      <c r="A95" s="2"/>
      <c r="B95" s="2" t="s">
        <v>52</v>
      </c>
      <c r="C95" s="2"/>
      <c r="D95" s="30">
        <f>D89/$C$1</f>
        <v>22118</v>
      </c>
      <c r="E95" s="2"/>
      <c r="F95" s="2" t="s">
        <v>52</v>
      </c>
      <c r="G95" s="2"/>
      <c r="H95" s="30">
        <f>H89/$C$1</f>
        <v>61416.64286</v>
      </c>
      <c r="I95" s="2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  <c r="AM95" s="56"/>
      <c r="AN95" s="56"/>
    </row>
    <row r="96">
      <c r="A96" s="2"/>
      <c r="B96" s="2" t="s">
        <v>53</v>
      </c>
      <c r="C96" s="2"/>
      <c r="D96" s="30">
        <f>D94/$G$1*$C$1</f>
        <v>355446</v>
      </c>
      <c r="E96" s="2"/>
      <c r="F96" s="2" t="s">
        <v>53</v>
      </c>
      <c r="G96" s="2"/>
      <c r="H96" s="30">
        <f>H94/$G$1*$C$1</f>
        <v>1486093</v>
      </c>
      <c r="I96" s="2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</row>
    <row r="97">
      <c r="A97" s="2"/>
      <c r="B97" s="2" t="s">
        <v>54</v>
      </c>
      <c r="C97" s="2"/>
      <c r="D97" s="30" t="str">
        <f>(D94-D89)/($G$1-$C$1)</f>
        <v>#DIV/0!</v>
      </c>
      <c r="E97" s="2"/>
      <c r="F97" s="2" t="s">
        <v>54</v>
      </c>
      <c r="G97" s="2"/>
      <c r="H97" s="30" t="str">
        <f>(H94-H89)/($G$1-$C$1)</f>
        <v>#DIV/0!</v>
      </c>
      <c r="I97" s="2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6"/>
    </row>
    <row r="98">
      <c r="A98" s="2"/>
      <c r="B98" s="2" t="s">
        <v>89</v>
      </c>
      <c r="C98" s="2"/>
      <c r="D98" s="30">
        <f>D89-D96</f>
        <v>263858</v>
      </c>
      <c r="E98" s="2"/>
      <c r="F98" s="2" t="s">
        <v>89</v>
      </c>
      <c r="G98" s="2"/>
      <c r="H98" s="30">
        <f>H89-H96</f>
        <v>233573</v>
      </c>
      <c r="I98" s="2"/>
      <c r="J98" s="2"/>
      <c r="K98" s="56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>
      <c r="A99" s="2"/>
      <c r="B99" s="2" t="s">
        <v>56</v>
      </c>
      <c r="C99" s="2"/>
      <c r="D99" s="30">
        <f>D89/$C$1*$G$1</f>
        <v>619304</v>
      </c>
      <c r="E99" s="2"/>
      <c r="F99" s="2" t="s">
        <v>56</v>
      </c>
      <c r="G99" s="2"/>
      <c r="H99" s="30">
        <f>H89/$C$1*$G$1</f>
        <v>1719666</v>
      </c>
      <c r="I99" s="2"/>
      <c r="J99" s="2"/>
      <c r="K99" s="56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>
      <c r="A100" s="2"/>
      <c r="B100" s="66" t="s">
        <v>57</v>
      </c>
      <c r="C100" s="66"/>
      <c r="D100" s="67">
        <f>D99/D94</f>
        <v>1.742329355</v>
      </c>
      <c r="E100" s="2"/>
      <c r="F100" s="66" t="s">
        <v>57</v>
      </c>
      <c r="G100" s="66"/>
      <c r="H100" s="67">
        <f>H99/H94</f>
        <v>1.157172532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>
      <c r="A102" s="2"/>
      <c r="B102" s="26" t="s">
        <v>91</v>
      </c>
      <c r="C102" s="17"/>
      <c r="D102" s="17"/>
      <c r="E102" s="17"/>
      <c r="F102" s="17"/>
      <c r="G102" s="17"/>
      <c r="H102" s="18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>
      <c r="A103" s="2"/>
      <c r="B103" s="70" t="str">
        <f>B82</f>
        <v>Разница от плана</v>
      </c>
      <c r="C103" s="17"/>
      <c r="D103" s="28">
        <f>$D$4</f>
        <v>46107</v>
      </c>
      <c r="E103" s="2"/>
      <c r="F103" s="70" t="str">
        <f>F82</f>
        <v>Разница от плана</v>
      </c>
      <c r="G103" s="17"/>
      <c r="H103" s="28">
        <f>$D$4</f>
        <v>46107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>
      <c r="A104" s="2"/>
      <c r="B104" s="106" t="s">
        <v>90</v>
      </c>
      <c r="C104" s="109"/>
      <c r="D104" s="111"/>
      <c r="E104" s="2"/>
      <c r="F104" s="106" t="s">
        <v>90</v>
      </c>
      <c r="G104" s="109"/>
      <c r="H104" s="111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>
      <c r="A105" s="2"/>
      <c r="B105" s="41" t="s">
        <v>43</v>
      </c>
      <c r="C105" s="2"/>
      <c r="D105" s="54">
        <f>W35</f>
        <v>76644.47</v>
      </c>
      <c r="E105" s="2"/>
      <c r="F105" s="41" t="s">
        <v>43</v>
      </c>
      <c r="G105" s="2"/>
      <c r="H105" s="54">
        <f>X35</f>
        <v>121963.66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>
      <c r="A106" s="2"/>
      <c r="B106" s="41" t="s">
        <v>44</v>
      </c>
      <c r="C106" s="2"/>
      <c r="D106" s="57">
        <f>C104/D105</f>
        <v>0</v>
      </c>
      <c r="E106" s="2"/>
      <c r="F106" s="41" t="s">
        <v>44</v>
      </c>
      <c r="G106" s="2"/>
      <c r="H106" s="57">
        <f>G104/H105</f>
        <v>0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>
      <c r="A107" s="2"/>
      <c r="B107" s="41" t="s">
        <v>47</v>
      </c>
      <c r="C107" s="59">
        <v>0.1</v>
      </c>
      <c r="D107" s="54">
        <f>D105*C107</f>
        <v>7664.447</v>
      </c>
      <c r="E107" s="2"/>
      <c r="F107" s="41" t="s">
        <v>47</v>
      </c>
      <c r="G107" s="59">
        <v>0.1</v>
      </c>
      <c r="H107" s="54">
        <f>H105*G107</f>
        <v>12196.366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>
      <c r="A108" s="2"/>
      <c r="B108" s="77" t="s">
        <v>50</v>
      </c>
      <c r="C108" s="61"/>
      <c r="D108" s="62">
        <f>C104-D107</f>
        <v>-7664.447</v>
      </c>
      <c r="E108" s="2"/>
      <c r="F108" s="77" t="s">
        <v>50</v>
      </c>
      <c r="G108" s="61"/>
      <c r="H108" s="62">
        <f>G104-H107</f>
        <v>-12196.366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>
      <c r="A110" s="2"/>
      <c r="B110" s="58" t="s">
        <v>51</v>
      </c>
      <c r="C110" s="2"/>
      <c r="D110" s="65">
        <v>0.0</v>
      </c>
      <c r="E110" s="2"/>
      <c r="F110" s="58" t="s">
        <v>51</v>
      </c>
      <c r="G110" s="2"/>
      <c r="H110" s="65">
        <v>0.0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>
      <c r="A111" s="2"/>
      <c r="B111" s="2" t="s">
        <v>52</v>
      </c>
      <c r="C111" s="2"/>
      <c r="D111" s="30">
        <f>D105/$C$1</f>
        <v>2737.3025</v>
      </c>
      <c r="E111" s="2"/>
      <c r="F111" s="2" t="s">
        <v>52</v>
      </c>
      <c r="G111" s="2"/>
      <c r="H111" s="30">
        <f>H105/$C$1</f>
        <v>4355.845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>
      <c r="A112" s="2"/>
      <c r="B112" s="2" t="s">
        <v>53</v>
      </c>
      <c r="C112" s="2"/>
      <c r="D112" s="30">
        <f>D110/$G$1*$C$1</f>
        <v>0</v>
      </c>
      <c r="E112" s="2"/>
      <c r="F112" s="2" t="s">
        <v>53</v>
      </c>
      <c r="G112" s="2"/>
      <c r="H112" s="30">
        <f>H110/$G$1*$C$1</f>
        <v>0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>
      <c r="A113" s="2"/>
      <c r="B113" s="2" t="s">
        <v>54</v>
      </c>
      <c r="C113" s="2"/>
      <c r="D113" s="30" t="str">
        <f>(D110-D105)/($G$1-$C$1)</f>
        <v>#DIV/0!</v>
      </c>
      <c r="E113" s="2"/>
      <c r="F113" s="2" t="s">
        <v>54</v>
      </c>
      <c r="G113" s="2"/>
      <c r="H113" s="30" t="str">
        <f>(H110-H105)/($G$1-$C$1)</f>
        <v>#DIV/0!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>
      <c r="A114" s="2"/>
      <c r="B114" s="2" t="s">
        <v>89</v>
      </c>
      <c r="C114" s="2"/>
      <c r="D114" s="30">
        <f>D105-D112</f>
        <v>76644.47</v>
      </c>
      <c r="E114" s="2"/>
      <c r="F114" s="2" t="s">
        <v>89</v>
      </c>
      <c r="G114" s="2"/>
      <c r="H114" s="30">
        <f>H105-H112</f>
        <v>121963.66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>
      <c r="A115" s="2"/>
      <c r="B115" s="2" t="s">
        <v>56</v>
      </c>
      <c r="C115" s="2"/>
      <c r="D115" s="30">
        <f>D105/$C$1*$G$1</f>
        <v>76644.47</v>
      </c>
      <c r="E115" s="2"/>
      <c r="F115" s="2" t="s">
        <v>56</v>
      </c>
      <c r="G115" s="2"/>
      <c r="H115" s="30">
        <f>H105/$C$1*$G$1</f>
        <v>121963.66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>
      <c r="A116" s="2"/>
      <c r="B116" s="66" t="s">
        <v>57</v>
      </c>
      <c r="C116" s="66"/>
      <c r="D116" s="67" t="str">
        <f>D115/D110</f>
        <v>#DIV/0!</v>
      </c>
      <c r="E116" s="2"/>
      <c r="F116" s="66" t="s">
        <v>57</v>
      </c>
      <c r="G116" s="66"/>
      <c r="H116" s="67" t="str">
        <f>H115/H110</f>
        <v>#DIV/0!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>
      <c r="A120" s="2"/>
      <c r="B120" s="26" t="s">
        <v>92</v>
      </c>
      <c r="C120" s="18"/>
      <c r="D120" s="2"/>
      <c r="E120" s="26" t="s">
        <v>51</v>
      </c>
      <c r="F120" s="18"/>
      <c r="G120" s="2"/>
      <c r="H120" s="112" t="s">
        <v>93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>
      <c r="A122" s="2"/>
      <c r="B122" s="26" t="s">
        <v>94</v>
      </c>
      <c r="C122" s="18"/>
      <c r="D122" s="2"/>
      <c r="E122" s="70" t="str">
        <f>B122</f>
        <v>Выручка по маркетплейсам</v>
      </c>
      <c r="F122" s="18"/>
      <c r="G122" s="2"/>
      <c r="H122" s="112" t="s">
        <v>93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>
      <c r="A123" s="2"/>
      <c r="B123" s="2" t="s">
        <v>95</v>
      </c>
      <c r="C123" s="30">
        <f>SUM(D16, H16)</f>
        <v>189307881.2</v>
      </c>
      <c r="D123" s="2"/>
      <c r="E123" s="2" t="s">
        <v>96</v>
      </c>
      <c r="F123" s="30">
        <f>SUM(D23, H23)</f>
        <v>191363183.5</v>
      </c>
      <c r="G123" s="2"/>
      <c r="H123" s="113">
        <f t="shared" ref="H123:H126" si="72">C123/F123</f>
        <v>0.9892596775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>
      <c r="A124" s="2"/>
      <c r="B124" s="2" t="s">
        <v>97</v>
      </c>
      <c r="C124" s="30">
        <f>SUM(D34, H34)</f>
        <v>320457303.3</v>
      </c>
      <c r="D124" s="2"/>
      <c r="E124" s="2" t="s">
        <v>98</v>
      </c>
      <c r="F124" s="30">
        <f>SUM(D41, H41)</f>
        <v>337550715</v>
      </c>
      <c r="G124" s="2"/>
      <c r="H124" s="113">
        <f t="shared" si="72"/>
        <v>0.9493604636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>
      <c r="A125" s="2"/>
      <c r="B125" s="2" t="s">
        <v>99</v>
      </c>
      <c r="C125" s="30">
        <f>SUM(D73, H73)</f>
        <v>5327464</v>
      </c>
      <c r="D125" s="2"/>
      <c r="E125" s="2" t="s">
        <v>100</v>
      </c>
      <c r="F125" s="30">
        <f>SUM(D80,H80)</f>
        <v>6411026</v>
      </c>
      <c r="G125" s="2"/>
      <c r="H125" s="113">
        <f t="shared" si="72"/>
        <v>0.8309846193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>
      <c r="A126" s="2"/>
      <c r="B126" s="2" t="s">
        <v>101</v>
      </c>
      <c r="C126" s="30">
        <f>SUM(D89,H89)</f>
        <v>2338970</v>
      </c>
      <c r="D126" s="2"/>
      <c r="E126" s="2" t="s">
        <v>102</v>
      </c>
      <c r="F126" s="30">
        <f>SUM(H96,D96)</f>
        <v>1841539</v>
      </c>
      <c r="G126" s="2"/>
      <c r="H126" s="113">
        <f t="shared" si="72"/>
        <v>1.270117005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>
      <c r="A128" s="2"/>
      <c r="B128" s="26" t="s">
        <v>103</v>
      </c>
      <c r="C128" s="18"/>
      <c r="D128" s="2"/>
      <c r="E128" s="70" t="str">
        <f>B128</f>
        <v>Выручка по направлениям</v>
      </c>
      <c r="F128" s="18"/>
      <c r="G128" s="2"/>
      <c r="H128" s="112" t="s">
        <v>93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>
      <c r="A129" s="2"/>
      <c r="B129" s="4" t="s">
        <v>104</v>
      </c>
      <c r="C129" s="30">
        <f>SUM(D16, D34, D73)</f>
        <v>314203993.2</v>
      </c>
      <c r="D129" s="2"/>
      <c r="E129" s="2" t="s">
        <v>105</v>
      </c>
      <c r="F129" s="30">
        <f>SUM(D23, D41, D80)</f>
        <v>313782737</v>
      </c>
      <c r="G129" s="2"/>
      <c r="H129" s="113">
        <f t="shared" ref="H129:H130" si="73">C129/F129</f>
        <v>1.001342509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>
      <c r="A130" s="2"/>
      <c r="B130" s="4" t="s">
        <v>106</v>
      </c>
      <c r="C130" s="30">
        <f>SUM(H16, H34, H73, H89)</f>
        <v>202608321.3</v>
      </c>
      <c r="D130" s="2"/>
      <c r="E130" s="2" t="s">
        <v>107</v>
      </c>
      <c r="F130" s="30">
        <f>SUM(H23, H41, H80, H96)</f>
        <v>223028280.5</v>
      </c>
      <c r="G130" s="2"/>
      <c r="H130" s="113">
        <f t="shared" si="73"/>
        <v>0.9084422876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>
      <c r="A132" s="2"/>
      <c r="B132" s="26" t="s">
        <v>108</v>
      </c>
      <c r="C132" s="18"/>
      <c r="D132" s="2"/>
      <c r="E132" s="70" t="str">
        <f>B132</f>
        <v>Суммарная выручка</v>
      </c>
      <c r="F132" s="18"/>
      <c r="G132" s="2"/>
      <c r="H132" s="112" t="s">
        <v>93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>
      <c r="A133" s="2"/>
      <c r="B133" s="2" t="s">
        <v>109</v>
      </c>
      <c r="C133" s="30">
        <f>SUM(C123:C126)</f>
        <v>517431618.5</v>
      </c>
      <c r="D133" s="2"/>
      <c r="E133" s="2" t="s">
        <v>110</v>
      </c>
      <c r="F133" s="30">
        <f>SUM(F123:F126)</f>
        <v>537166463.5</v>
      </c>
      <c r="G133" s="2"/>
      <c r="H133" s="113">
        <f t="shared" ref="H133:H134" si="74">C133/F133</f>
        <v>0.9632612116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>
      <c r="A134" s="2"/>
      <c r="B134" s="2" t="s">
        <v>111</v>
      </c>
      <c r="C134" s="30">
        <f>C133/$C$1*G1</f>
        <v>517431618.5</v>
      </c>
      <c r="D134" s="2"/>
      <c r="E134" s="2" t="s">
        <v>112</v>
      </c>
      <c r="F134" s="30">
        <f>SUM(D21, H21, D39, H39, D78, H78, D94, H94)</f>
        <v>537166463.5</v>
      </c>
      <c r="G134" s="2"/>
      <c r="H134" s="113">
        <f t="shared" si="74"/>
        <v>0.9632612116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>
      <c r="A136" s="2"/>
      <c r="B136" s="26" t="s">
        <v>113</v>
      </c>
      <c r="C136" s="17"/>
      <c r="D136" s="17"/>
      <c r="E136" s="17"/>
      <c r="F136" s="18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>
      <c r="A138" s="2"/>
      <c r="B138" s="26" t="s">
        <v>114</v>
      </c>
      <c r="C138" s="18"/>
      <c r="D138" s="2"/>
      <c r="E138" s="70" t="str">
        <f>B138</f>
        <v>Доля Рекламных Расходов</v>
      </c>
      <c r="F138" s="18"/>
      <c r="G138" s="2"/>
      <c r="H138" s="112" t="s">
        <v>93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>
      <c r="A139" s="2"/>
      <c r="B139" s="2" t="s">
        <v>18</v>
      </c>
      <c r="C139" s="35">
        <f>SUM(C15,G15)/SUM(D16,H16)</f>
        <v>0.1377917963</v>
      </c>
      <c r="D139" s="2"/>
      <c r="E139" s="2" t="s">
        <v>18</v>
      </c>
      <c r="F139" s="35">
        <f>(D21*C18+H21*G18)/SUM(D21, H21)</f>
        <v>0.1415641587</v>
      </c>
      <c r="G139" s="2"/>
      <c r="H139" s="35">
        <f t="shared" ref="H139:H142" si="75">C139/F139-1</f>
        <v>-0.02664772242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>
      <c r="A140" s="2"/>
      <c r="B140" s="2" t="s">
        <v>115</v>
      </c>
      <c r="C140" s="35">
        <f>SUM(C33,G33)/SUM(D34,H34)</f>
        <v>0.05008499115</v>
      </c>
      <c r="D140" s="2"/>
      <c r="E140" s="2" t="s">
        <v>115</v>
      </c>
      <c r="F140" s="35">
        <f>(D39*C36+H39*G36)/SUM(D39, H39)</f>
        <v>0.08</v>
      </c>
      <c r="G140" s="2"/>
      <c r="H140" s="35">
        <f t="shared" si="75"/>
        <v>-0.3739376106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>
      <c r="A141" s="2"/>
      <c r="B141" s="2" t="s">
        <v>31</v>
      </c>
      <c r="C141" s="35">
        <f>SUM(C72,G72)/SUM(D73,H73)</f>
        <v>0.1920279518</v>
      </c>
      <c r="D141" s="2"/>
      <c r="E141" s="2" t="s">
        <v>31</v>
      </c>
      <c r="F141" s="35">
        <f>(D78*C75+H78*G75)/SUM(D78, H78)</f>
        <v>0.1778386236</v>
      </c>
      <c r="G141" s="2"/>
      <c r="H141" s="35">
        <f t="shared" si="75"/>
        <v>0.07978766268</v>
      </c>
      <c r="I141" s="2"/>
      <c r="J141" s="2"/>
      <c r="K141" s="2"/>
      <c r="L141" s="2"/>
      <c r="M141" s="31"/>
      <c r="N141" s="31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>
      <c r="A142" s="2"/>
      <c r="B142" s="2" t="s">
        <v>116</v>
      </c>
      <c r="C142" s="35">
        <f>SUM(C15, G15, C33, G33, C72, G72, C88, G88)/C133</f>
        <v>0.08340850203</v>
      </c>
      <c r="D142" s="2"/>
      <c r="E142" s="2" t="s">
        <v>116</v>
      </c>
      <c r="F142" s="35">
        <f>SUM(D16*C18, H16*G18, D34*C36, H34*G36, D73*C75, H73*G75, H89*G91, D89*C91)/C133</f>
        <v>0.1034518106</v>
      </c>
      <c r="G142" s="2"/>
      <c r="H142" s="35">
        <f t="shared" si="75"/>
        <v>-0.1937453629</v>
      </c>
      <c r="I142" s="67">
        <f>1+H142</f>
        <v>0.8062546371</v>
      </c>
      <c r="J142" s="2"/>
      <c r="K142" s="4"/>
      <c r="L142" s="2"/>
      <c r="M142" s="114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>
      <c r="A144" s="2"/>
      <c r="B144" s="26" t="s">
        <v>117</v>
      </c>
      <c r="C144" s="17"/>
      <c r="D144" s="17"/>
      <c r="E144" s="17"/>
      <c r="F144" s="18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>
      <c r="A146" s="2"/>
      <c r="B146" s="26" t="s">
        <v>114</v>
      </c>
      <c r="C146" s="18"/>
      <c r="D146" s="2"/>
      <c r="E146" s="70" t="str">
        <f>B146</f>
        <v>Доля Рекламных Расходов</v>
      </c>
      <c r="F146" s="18"/>
      <c r="G146" s="2"/>
      <c r="H146" s="112" t="s">
        <v>93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>
      <c r="A147" s="2"/>
      <c r="B147" s="2" t="s">
        <v>18</v>
      </c>
      <c r="C147" s="35">
        <f>C139</f>
        <v>0.1377917963</v>
      </c>
      <c r="D147" s="2"/>
      <c r="E147" s="2" t="s">
        <v>18</v>
      </c>
      <c r="F147" s="35">
        <f t="shared" ref="F147:F150" si="76">F139</f>
        <v>0.1415641587</v>
      </c>
      <c r="G147" s="2"/>
      <c r="H147" s="35">
        <f t="shared" ref="H147:H150" si="77">C147/F147-1</f>
        <v>-0.02664772242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>
      <c r="A148" s="2"/>
      <c r="B148" s="2" t="s">
        <v>115</v>
      </c>
      <c r="C148" s="35">
        <f>SUM(C51,G51)/SUM(D52,H52)</f>
        <v>0</v>
      </c>
      <c r="D148" s="2"/>
      <c r="E148" s="2" t="s">
        <v>115</v>
      </c>
      <c r="F148" s="35">
        <f t="shared" si="76"/>
        <v>0.08</v>
      </c>
      <c r="G148" s="2"/>
      <c r="H148" s="35">
        <f t="shared" si="77"/>
        <v>-1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>
      <c r="A149" s="2"/>
      <c r="B149" s="2" t="s">
        <v>31</v>
      </c>
      <c r="C149" s="35">
        <f>C141</f>
        <v>0.1920279518</v>
      </c>
      <c r="D149" s="2"/>
      <c r="E149" s="2" t="s">
        <v>31</v>
      </c>
      <c r="F149" s="35">
        <f t="shared" si="76"/>
        <v>0.1778386236</v>
      </c>
      <c r="G149" s="2"/>
      <c r="H149" s="35">
        <f t="shared" si="77"/>
        <v>0.07978766268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>
      <c r="A150" s="2"/>
      <c r="B150" s="2" t="s">
        <v>116</v>
      </c>
      <c r="C150" s="35">
        <f>SUM(C15, G15, C51, G51, C72, G72, C88, G88)/C133</f>
        <v>0.05238971495</v>
      </c>
      <c r="D150" s="2"/>
      <c r="E150" s="2" t="s">
        <v>116</v>
      </c>
      <c r="F150" s="35">
        <f t="shared" si="76"/>
        <v>0.1034518106</v>
      </c>
      <c r="G150" s="2"/>
      <c r="H150" s="35">
        <f t="shared" si="77"/>
        <v>-0.4935833927</v>
      </c>
      <c r="I150" s="67">
        <f>1+H150</f>
        <v>0.5064166073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>
      <c r="A151" s="2"/>
      <c r="B151" s="2"/>
      <c r="C151" s="35"/>
      <c r="D151" s="2"/>
      <c r="E151" s="2"/>
      <c r="F151" s="35"/>
      <c r="G151" s="2"/>
      <c r="H151" s="35"/>
      <c r="I151" s="19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>
      <c r="A152" s="2"/>
      <c r="B152" s="26" t="s">
        <v>118</v>
      </c>
      <c r="C152" s="17"/>
      <c r="D152" s="17"/>
      <c r="E152" s="17"/>
      <c r="F152" s="18"/>
      <c r="G152" s="2"/>
      <c r="H152" s="35"/>
      <c r="I152" s="19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>
      <c r="A154" s="2"/>
      <c r="B154" s="115" t="s">
        <v>119</v>
      </c>
      <c r="C154" s="18"/>
      <c r="D154" s="2"/>
      <c r="E154" s="26" t="s">
        <v>60</v>
      </c>
      <c r="F154" s="18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>
      <c r="A155" s="56">
        <f t="shared" ref="A155:A158" si="78">C155/$C$159</f>
        <v>0.6044060062</v>
      </c>
      <c r="B155" s="4" t="s">
        <v>18</v>
      </c>
      <c r="C155" s="58">
        <f>SUM(C15,G15)</f>
        <v>26085073</v>
      </c>
      <c r="D155" s="2"/>
      <c r="E155" s="4" t="s">
        <v>18</v>
      </c>
      <c r="F155" s="58">
        <f>SUM(C15,G15)</f>
        <v>26085073</v>
      </c>
      <c r="G155" s="56">
        <f t="shared" ref="G155:G158" si="79">F155/$F$159</f>
        <v>0.9622613835</v>
      </c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>
      <c r="A156" s="56">
        <f t="shared" si="78"/>
        <v>0.3718899911</v>
      </c>
      <c r="B156" s="4" t="s">
        <v>115</v>
      </c>
      <c r="C156" s="58">
        <f>SUM(C33,G33)</f>
        <v>16050101.2</v>
      </c>
      <c r="D156" s="2"/>
      <c r="E156" s="4" t="s">
        <v>115</v>
      </c>
      <c r="F156" s="58">
        <f>SUM(C51,G51)</f>
        <v>0</v>
      </c>
      <c r="G156" s="56">
        <f t="shared" si="79"/>
        <v>0</v>
      </c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>
      <c r="A157" s="56">
        <f t="shared" si="78"/>
        <v>0.02370400272</v>
      </c>
      <c r="B157" s="4" t="s">
        <v>31</v>
      </c>
      <c r="C157" s="58">
        <f>SUM(C72,G72)</f>
        <v>1023022</v>
      </c>
      <c r="D157" s="2"/>
      <c r="E157" s="4" t="s">
        <v>31</v>
      </c>
      <c r="F157" s="58">
        <f>SUM(C72,G72)</f>
        <v>1023022</v>
      </c>
      <c r="G157" s="56">
        <f t="shared" si="79"/>
        <v>0.03773861645</v>
      </c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>
      <c r="A158" s="56">
        <f t="shared" si="78"/>
        <v>0</v>
      </c>
      <c r="B158" s="4" t="s">
        <v>34</v>
      </c>
      <c r="C158" s="58">
        <f>SUM(C88,G88)</f>
        <v>0</v>
      </c>
      <c r="D158" s="2"/>
      <c r="E158" s="4" t="s">
        <v>34</v>
      </c>
      <c r="F158" s="58">
        <f>SUM(C88,G88)</f>
        <v>0</v>
      </c>
      <c r="G158" s="56">
        <f t="shared" si="79"/>
        <v>0</v>
      </c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>
      <c r="A159" s="2"/>
      <c r="B159" s="20" t="s">
        <v>120</v>
      </c>
      <c r="C159" s="75">
        <f>SUM(C155:C158)</f>
        <v>43158196.2</v>
      </c>
      <c r="D159" s="2"/>
      <c r="E159" s="20" t="s">
        <v>120</v>
      </c>
      <c r="F159" s="75">
        <f>SUM(F155:F158)</f>
        <v>27108095</v>
      </c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>
      <c r="A161" s="2"/>
      <c r="B161" s="26" t="s">
        <v>121</v>
      </c>
      <c r="C161" s="17"/>
      <c r="D161" s="17"/>
      <c r="E161" s="17"/>
      <c r="F161" s="18"/>
      <c r="G161" s="2"/>
      <c r="H161" s="35"/>
      <c r="I161" s="19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>
      <c r="A163" s="2"/>
      <c r="B163" s="115" t="s">
        <v>119</v>
      </c>
      <c r="C163" s="18"/>
      <c r="D163" s="2"/>
      <c r="E163" s="26" t="s">
        <v>60</v>
      </c>
      <c r="F163" s="18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>
      <c r="A164" s="56">
        <f t="shared" ref="A164:A165" si="80">C164/$C$166</f>
        <v>0.5907806986</v>
      </c>
      <c r="B164" s="4" t="s">
        <v>19</v>
      </c>
      <c r="C164" s="58">
        <f>SUM(C15,C33,C72,C88)</f>
        <v>25497029.3</v>
      </c>
      <c r="D164" s="2"/>
      <c r="E164" s="4" t="s">
        <v>19</v>
      </c>
      <c r="F164" s="58">
        <f>SUM(C15,C51,C72,C88)</f>
        <v>15625836</v>
      </c>
      <c r="G164" s="56">
        <f t="shared" ref="G164:G165" si="81">F164/$F$166</f>
        <v>0.5764269308</v>
      </c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>
      <c r="A165" s="56">
        <f t="shared" si="80"/>
        <v>0.4092193014</v>
      </c>
      <c r="B165" s="4" t="s">
        <v>122</v>
      </c>
      <c r="C165" s="58">
        <f>SUM(G15,G33,G72,G88)</f>
        <v>17661166.9</v>
      </c>
      <c r="D165" s="2"/>
      <c r="E165" s="4" t="s">
        <v>122</v>
      </c>
      <c r="F165" s="58">
        <f>SUM(G15,G51,G72,G88)</f>
        <v>11482259</v>
      </c>
      <c r="G165" s="56">
        <f t="shared" si="81"/>
        <v>0.4235730692</v>
      </c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>
      <c r="A166" s="2"/>
      <c r="B166" s="20" t="s">
        <v>120</v>
      </c>
      <c r="C166" s="75">
        <f>SUM(C164:C165)</f>
        <v>43158196.2</v>
      </c>
      <c r="D166" s="2"/>
      <c r="E166" s="20" t="s">
        <v>120</v>
      </c>
      <c r="F166" s="75">
        <f>SUM(F164:F165)</f>
        <v>27108095</v>
      </c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</sheetData>
  <mergeCells count="109">
    <mergeCell ref="B4:C4"/>
    <mergeCell ref="F4:G4"/>
    <mergeCell ref="B29:H29"/>
    <mergeCell ref="B30:C30"/>
    <mergeCell ref="F30:G30"/>
    <mergeCell ref="M2:N2"/>
    <mergeCell ref="O2:P2"/>
    <mergeCell ref="Q2:R2"/>
    <mergeCell ref="S2:T2"/>
    <mergeCell ref="U2:V2"/>
    <mergeCell ref="W2:X2"/>
    <mergeCell ref="B3:H3"/>
    <mergeCell ref="Y2:AA2"/>
    <mergeCell ref="AC3:AC4"/>
    <mergeCell ref="AC5:AC6"/>
    <mergeCell ref="AC7:AC8"/>
    <mergeCell ref="AC9:AC10"/>
    <mergeCell ref="AE17:AG17"/>
    <mergeCell ref="AI17:AK17"/>
    <mergeCell ref="S38:T38"/>
    <mergeCell ref="U38:V38"/>
    <mergeCell ref="W38:X38"/>
    <mergeCell ref="Y38:AA38"/>
    <mergeCell ref="AC38:AC39"/>
    <mergeCell ref="AC40:AC41"/>
    <mergeCell ref="AC32:AC33"/>
    <mergeCell ref="AC34:AC35"/>
    <mergeCell ref="AC36:AC37"/>
    <mergeCell ref="K38:L38"/>
    <mergeCell ref="M38:N38"/>
    <mergeCell ref="O38:P38"/>
    <mergeCell ref="Q38:R38"/>
    <mergeCell ref="AC11:AC12"/>
    <mergeCell ref="AC19:AC20"/>
    <mergeCell ref="AC21:AC22"/>
    <mergeCell ref="AC23:AC24"/>
    <mergeCell ref="AC25:AC26"/>
    <mergeCell ref="AC27:AC28"/>
    <mergeCell ref="AC31:AD31"/>
    <mergeCell ref="B66:C66"/>
    <mergeCell ref="F66:G66"/>
    <mergeCell ref="B86:H86"/>
    <mergeCell ref="B87:C87"/>
    <mergeCell ref="F87:G87"/>
    <mergeCell ref="B102:H102"/>
    <mergeCell ref="F103:G103"/>
    <mergeCell ref="B103:C103"/>
    <mergeCell ref="B120:C120"/>
    <mergeCell ref="E120:F120"/>
    <mergeCell ref="B122:C122"/>
    <mergeCell ref="E122:F122"/>
    <mergeCell ref="B128:C128"/>
    <mergeCell ref="E128:F128"/>
    <mergeCell ref="E146:F146"/>
    <mergeCell ref="B152:F152"/>
    <mergeCell ref="B154:C154"/>
    <mergeCell ref="E154:F154"/>
    <mergeCell ref="B161:F161"/>
    <mergeCell ref="B163:C163"/>
    <mergeCell ref="E163:F163"/>
    <mergeCell ref="B132:C132"/>
    <mergeCell ref="E132:F132"/>
    <mergeCell ref="B136:F136"/>
    <mergeCell ref="B138:C138"/>
    <mergeCell ref="E138:F138"/>
    <mergeCell ref="B144:F144"/>
    <mergeCell ref="B146:C146"/>
    <mergeCell ref="Q48:R48"/>
    <mergeCell ref="S48:T48"/>
    <mergeCell ref="AC44:AD44"/>
    <mergeCell ref="AC45:AC46"/>
    <mergeCell ref="B47:H47"/>
    <mergeCell ref="AC47:AC48"/>
    <mergeCell ref="B48:C48"/>
    <mergeCell ref="F48:G48"/>
    <mergeCell ref="K48:L48"/>
    <mergeCell ref="Y48:AA48"/>
    <mergeCell ref="U48:V48"/>
    <mergeCell ref="W48:X48"/>
    <mergeCell ref="AC49:AC50"/>
    <mergeCell ref="S50:T50"/>
    <mergeCell ref="U50:V50"/>
    <mergeCell ref="W50:X50"/>
    <mergeCell ref="Y50:AA50"/>
    <mergeCell ref="M48:N48"/>
    <mergeCell ref="O48:P48"/>
    <mergeCell ref="K50:L50"/>
    <mergeCell ref="M50:N50"/>
    <mergeCell ref="O50:P50"/>
    <mergeCell ref="Q50:R50"/>
    <mergeCell ref="B65:H65"/>
    <mergeCell ref="AC66:AC67"/>
    <mergeCell ref="AC72:AC73"/>
    <mergeCell ref="AC74:AC75"/>
    <mergeCell ref="AC76:AC77"/>
    <mergeCell ref="AC78:AC79"/>
    <mergeCell ref="AC80:AC81"/>
    <mergeCell ref="AI72:AI73"/>
    <mergeCell ref="AI74:AI75"/>
    <mergeCell ref="AI76:AI77"/>
    <mergeCell ref="AI78:AI79"/>
    <mergeCell ref="AI80:AI81"/>
    <mergeCell ref="AC51:AC52"/>
    <mergeCell ref="AC53:AC54"/>
    <mergeCell ref="AC58:AC59"/>
    <mergeCell ref="AC60:AC61"/>
    <mergeCell ref="AC62:AC63"/>
    <mergeCell ref="AC64:AC65"/>
    <mergeCell ref="AI71:AJ71"/>
  </mergeCells>
  <conditionalFormatting sqref="D19 H19 AK32:AK42 D37 H37 AK45:AK55 D55 H55 AK58:AK68 AM72:AN82 D76 H76 D92 H92 D108 H108">
    <cfRule type="cellIs" dxfId="0" priority="1" operator="lessThan">
      <formula>0</formula>
    </cfRule>
  </conditionalFormatting>
  <conditionalFormatting sqref="D19 H19 AK32:AK42 D37 H37 AK45:AK55 D55 H55 AK58:AK68 AM72:AN82 D76 H76 D92 H92 D108 H108">
    <cfRule type="cellIs" dxfId="1" priority="2" operator="greaterThan">
      <formula>0</formula>
    </cfRule>
  </conditionalFormatting>
  <conditionalFormatting sqref="D25 H25 D43 H43 L47 M47:AA51 L49 D61 H61 AG72:AG82 D82 H82 D98 H98 D114 H114">
    <cfRule type="cellIs" dxfId="0" priority="3" operator="greaterThan">
      <formula>0</formula>
    </cfRule>
  </conditionalFormatting>
  <conditionalFormatting sqref="D25 H25 D43 H43 L47 M47:AA51 L49 D61 H61 AG72:AG82 D82 H82 D98 H98 D114 H114">
    <cfRule type="cellIs" dxfId="1" priority="4" operator="lessThan">
      <formula>0</formula>
    </cfRule>
  </conditionalFormatting>
  <conditionalFormatting sqref="AG19:AG29 AK19:AK29 D27 H27 D45 H45 D63 H63 D84 H84 D100 H100 D116 H116 H125:H136">
    <cfRule type="cellIs" dxfId="0" priority="5" operator="greaterThan">
      <formula>1</formula>
    </cfRule>
  </conditionalFormatting>
  <conditionalFormatting sqref="AG19:AG29 AK19:AK29 D27 H27 D45 H45 D63 H63 D84 H84 D100 H100 D116 H116 H125:H136">
    <cfRule type="cellIs" dxfId="1" priority="6" operator="lessThan">
      <formula>1</formula>
    </cfRule>
  </conditionalFormatting>
  <conditionalFormatting sqref="H101">
    <cfRule type="cellIs" dxfId="0" priority="7" operator="greaterThan">
      <formula>1</formula>
    </cfRule>
  </conditionalFormatting>
  <conditionalFormatting sqref="H125:H136">
    <cfRule type="cellIs" dxfId="0" priority="8" operator="greaterThan">
      <formula>1</formula>
    </cfRule>
  </conditionalFormatting>
  <conditionalFormatting sqref="H125:H136">
    <cfRule type="cellIs" dxfId="1" priority="9" operator="lessThan">
      <formula>1</formula>
    </cfRule>
  </conditionalFormatting>
  <conditionalFormatting sqref="H135:H154 H157:H159 H161:H163">
    <cfRule type="cellIs" dxfId="0" priority="10" operator="lessThan">
      <formula>1</formula>
    </cfRule>
  </conditionalFormatting>
  <conditionalFormatting sqref="H135:H154 H157:H159 H161:H163">
    <cfRule type="cellIs" dxfId="1" priority="11" operator="greaterThan">
      <formula>1</formula>
    </cfRule>
  </conditionalFormatting>
  <conditionalFormatting sqref="L47 M47:AA51 L49">
    <cfRule type="cellIs" dxfId="0" priority="12" operator="greaterThan">
      <formula>0</formula>
    </cfRule>
  </conditionalFormatting>
  <conditionalFormatting sqref="L47 M47:AA51 L49">
    <cfRule type="cellIs" dxfId="1" priority="13" operator="lessThan">
      <formula>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5"/>
    <col customWidth="1" min="3" max="4" width="15.63"/>
    <col customWidth="1" min="5" max="5" width="23.0"/>
    <col customWidth="1" min="6" max="6" width="23.5"/>
    <col customWidth="1" min="7" max="8" width="15.63"/>
    <col customWidth="1" min="11" max="11" width="28.88"/>
    <col customWidth="1" min="12" max="12" width="16.38"/>
    <col customWidth="1" min="13" max="27" width="16.25"/>
    <col customWidth="1" min="29" max="29" width="14.88"/>
    <col customWidth="1" min="30" max="30" width="12.13"/>
    <col customWidth="1" min="31" max="32" width="16.5"/>
    <col customWidth="1" min="33" max="33" width="15.38"/>
    <col customWidth="1" min="35" max="35" width="17.13"/>
    <col customWidth="1" min="36" max="36" width="16.5"/>
    <col customWidth="1" min="39" max="39" width="15.25"/>
  </cols>
  <sheetData>
    <row r="1">
      <c r="A1" s="1">
        <v>3.0</v>
      </c>
      <c r="B1" s="2" t="s">
        <v>0</v>
      </c>
      <c r="C1" s="3">
        <v>31.0</v>
      </c>
      <c r="D1" s="2"/>
      <c r="E1" s="2"/>
      <c r="F1" s="2" t="s">
        <v>1</v>
      </c>
      <c r="G1" s="3">
        <v>31.0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4"/>
      <c r="T1" s="4"/>
      <c r="U1" s="2"/>
      <c r="V1" s="2"/>
      <c r="W1" s="2"/>
      <c r="X1" s="2"/>
      <c r="Y1" s="2"/>
      <c r="Z1" s="2"/>
      <c r="AA1" s="2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</row>
    <row r="2">
      <c r="A2" s="2" t="s">
        <v>2</v>
      </c>
      <c r="B2" s="6">
        <v>45988.0</v>
      </c>
      <c r="C2" s="2"/>
      <c r="D2" s="2"/>
      <c r="E2" s="2"/>
      <c r="F2" s="2"/>
      <c r="G2" s="2"/>
      <c r="H2" s="2"/>
      <c r="I2" s="2"/>
      <c r="J2" s="2"/>
      <c r="K2" s="2"/>
      <c r="L2" s="2"/>
      <c r="M2" s="7" t="s">
        <v>3</v>
      </c>
      <c r="O2" s="8" t="s">
        <v>4</v>
      </c>
      <c r="Q2" s="9" t="s">
        <v>5</v>
      </c>
      <c r="S2" s="10" t="s">
        <v>6</v>
      </c>
      <c r="U2" s="11" t="s">
        <v>7</v>
      </c>
      <c r="W2" s="12" t="s">
        <v>8</v>
      </c>
      <c r="Y2" s="13" t="s">
        <v>9</v>
      </c>
      <c r="AB2" s="5"/>
      <c r="AC2" s="5"/>
      <c r="AD2" s="5"/>
      <c r="AE2" s="14" t="s">
        <v>10</v>
      </c>
      <c r="AF2" s="15" t="s">
        <v>11</v>
      </c>
      <c r="AG2" s="14" t="s">
        <v>12</v>
      </c>
      <c r="AH2" s="5"/>
      <c r="AI2" s="14" t="s">
        <v>13</v>
      </c>
      <c r="AJ2" s="14" t="s">
        <v>14</v>
      </c>
      <c r="AK2" s="14" t="s">
        <v>15</v>
      </c>
      <c r="AL2" s="14" t="s">
        <v>16</v>
      </c>
      <c r="AM2" s="14" t="s">
        <v>17</v>
      </c>
      <c r="AN2" s="5"/>
    </row>
    <row r="3">
      <c r="A3" s="2"/>
      <c r="B3" s="16" t="s">
        <v>18</v>
      </c>
      <c r="C3" s="17"/>
      <c r="D3" s="17"/>
      <c r="E3" s="17"/>
      <c r="F3" s="17"/>
      <c r="G3" s="17"/>
      <c r="H3" s="18"/>
      <c r="I3" s="2"/>
      <c r="J3" s="2"/>
      <c r="K3" s="2"/>
      <c r="L3" s="2"/>
      <c r="M3" s="19" t="s">
        <v>19</v>
      </c>
      <c r="N3" s="19" t="s">
        <v>20</v>
      </c>
      <c r="O3" s="19" t="s">
        <v>19</v>
      </c>
      <c r="P3" s="19" t="s">
        <v>20</v>
      </c>
      <c r="Q3" s="19" t="s">
        <v>19</v>
      </c>
      <c r="R3" s="19" t="s">
        <v>20</v>
      </c>
      <c r="S3" s="19" t="s">
        <v>19</v>
      </c>
      <c r="T3" s="19" t="s">
        <v>20</v>
      </c>
      <c r="U3" s="19" t="s">
        <v>19</v>
      </c>
      <c r="V3" s="19" t="s">
        <v>20</v>
      </c>
      <c r="W3" s="19" t="s">
        <v>19</v>
      </c>
      <c r="X3" s="19" t="s">
        <v>20</v>
      </c>
      <c r="Y3" s="20" t="s">
        <v>21</v>
      </c>
      <c r="Z3" s="20" t="s">
        <v>22</v>
      </c>
      <c r="AA3" s="20" t="s">
        <v>23</v>
      </c>
      <c r="AB3" s="5"/>
      <c r="AC3" s="21" t="s">
        <v>24</v>
      </c>
      <c r="AD3" s="22" t="s">
        <v>19</v>
      </c>
      <c r="AE3" s="23">
        <f>D39</f>
        <v>113971735</v>
      </c>
      <c r="AF3" s="24"/>
      <c r="AG3" s="25">
        <f t="shared" ref="AG3:AG12" si="1">AE3-AF3</f>
        <v>113971735</v>
      </c>
      <c r="AH3" s="24"/>
      <c r="AI3" s="23">
        <f>O35</f>
        <v>199495328</v>
      </c>
      <c r="AJ3" s="24"/>
      <c r="AK3" s="23">
        <f>13501+762213</f>
        <v>775714</v>
      </c>
      <c r="AL3" s="24"/>
      <c r="AM3" s="23">
        <f t="shared" ref="AM3:AM12" si="2">AI3-SUM(AJ3:AL3)</f>
        <v>198719614</v>
      </c>
      <c r="AN3" s="5"/>
    </row>
    <row r="4">
      <c r="A4" s="2"/>
      <c r="B4" s="26" t="s">
        <v>125</v>
      </c>
      <c r="C4" s="17"/>
      <c r="D4" s="27">
        <v>46053.0</v>
      </c>
      <c r="E4" s="2"/>
      <c r="F4" s="26" t="s">
        <v>126</v>
      </c>
      <c r="G4" s="17"/>
      <c r="H4" s="28">
        <f>$D$4</f>
        <v>46053</v>
      </c>
      <c r="I4" s="2"/>
      <c r="J4" s="2"/>
      <c r="K4" s="29">
        <v>46023.0</v>
      </c>
      <c r="L4" s="30">
        <f t="shared" ref="L4:L34" si="3">SUM(M4:AA4)</f>
        <v>10758032</v>
      </c>
      <c r="M4" s="31">
        <v>2560744.0</v>
      </c>
      <c r="N4" s="31">
        <v>1562108.0</v>
      </c>
      <c r="O4" s="31">
        <v>4229443.0</v>
      </c>
      <c r="P4" s="31">
        <v>2168992.0</v>
      </c>
      <c r="Q4" s="32">
        <v>98667.0</v>
      </c>
      <c r="R4" s="32">
        <v>46740.0</v>
      </c>
      <c r="S4" s="32">
        <v>2057.0</v>
      </c>
      <c r="T4" s="32">
        <v>45718.0</v>
      </c>
      <c r="U4" s="31">
        <v>1399.0</v>
      </c>
      <c r="V4" s="31">
        <v>42164.0</v>
      </c>
      <c r="W4" s="31">
        <v>0.0</v>
      </c>
      <c r="X4" s="31">
        <v>0.0</v>
      </c>
      <c r="Y4" s="31">
        <v>0.0</v>
      </c>
      <c r="Z4" s="34"/>
      <c r="AA4" s="34"/>
      <c r="AB4" s="5"/>
      <c r="AD4" s="22" t="s">
        <v>27</v>
      </c>
      <c r="AE4" s="23">
        <f>H39</f>
        <v>110544589</v>
      </c>
      <c r="AF4" s="24"/>
      <c r="AG4" s="25">
        <f t="shared" si="1"/>
        <v>110544589</v>
      </c>
      <c r="AH4" s="24"/>
      <c r="AI4" s="23">
        <f>P35</f>
        <v>138055387</v>
      </c>
      <c r="AJ4" s="24"/>
      <c r="AK4" s="23">
        <f>13766+940304</f>
        <v>954070</v>
      </c>
      <c r="AL4" s="24"/>
      <c r="AM4" s="23">
        <f t="shared" si="2"/>
        <v>137101317</v>
      </c>
      <c r="AN4" s="5"/>
    </row>
    <row r="5">
      <c r="A5" s="35">
        <f t="shared" ref="A5:A11" si="4">IFERROR(C5/$C$15, " ")</f>
        <v>0.9230918436</v>
      </c>
      <c r="B5" s="36" t="s">
        <v>28</v>
      </c>
      <c r="C5" s="37">
        <v>1.4024803E7</v>
      </c>
      <c r="D5" s="38"/>
      <c r="E5" s="2"/>
      <c r="F5" s="36" t="s">
        <v>28</v>
      </c>
      <c r="G5" s="37">
        <v>9067823.0</v>
      </c>
      <c r="H5" s="38"/>
      <c r="I5" s="35">
        <f t="shared" ref="I5:I13" si="5">IFERROR(G5/$G$15, " ")</f>
        <v>0.9490697146</v>
      </c>
      <c r="J5" s="2"/>
      <c r="K5" s="29">
        <v>46024.0</v>
      </c>
      <c r="L5" s="30">
        <f t="shared" si="3"/>
        <v>14913776</v>
      </c>
      <c r="M5" s="32">
        <v>3453779.0</v>
      </c>
      <c r="N5" s="31">
        <v>2177124.0</v>
      </c>
      <c r="O5" s="31">
        <v>5623274.0</v>
      </c>
      <c r="P5" s="31">
        <v>3361853.0</v>
      </c>
      <c r="Q5" s="32">
        <v>127362.0</v>
      </c>
      <c r="R5" s="32">
        <v>71748.0</v>
      </c>
      <c r="S5" s="32">
        <v>710.0</v>
      </c>
      <c r="T5" s="32">
        <v>54536.0</v>
      </c>
      <c r="U5" s="31">
        <v>2798.0</v>
      </c>
      <c r="V5" s="43">
        <v>39410.0</v>
      </c>
      <c r="W5" s="31">
        <v>0.0</v>
      </c>
      <c r="X5" s="31">
        <v>0.0</v>
      </c>
      <c r="Y5" s="31">
        <v>1182.0</v>
      </c>
      <c r="Z5" s="34"/>
      <c r="AA5" s="34"/>
      <c r="AB5" s="5"/>
      <c r="AC5" s="21" t="s">
        <v>18</v>
      </c>
      <c r="AD5" s="22" t="s">
        <v>19</v>
      </c>
      <c r="AE5" s="23">
        <f>D21</f>
        <v>96599698</v>
      </c>
      <c r="AF5" s="24"/>
      <c r="AG5" s="25">
        <f t="shared" si="1"/>
        <v>96599698</v>
      </c>
      <c r="AH5" s="24"/>
      <c r="AI5" s="23">
        <f>M35</f>
        <v>110647711</v>
      </c>
      <c r="AJ5" s="23">
        <f>AI5/80962*(6339+107)</f>
        <v>8809505.016</v>
      </c>
      <c r="AK5" s="23">
        <f>15257+466756</f>
        <v>482013</v>
      </c>
      <c r="AL5" s="24"/>
      <c r="AM5" s="23">
        <f t="shared" si="2"/>
        <v>101356193</v>
      </c>
      <c r="AN5" s="5"/>
    </row>
    <row r="6">
      <c r="A6" s="35">
        <f t="shared" si="4"/>
        <v>0.02741078283</v>
      </c>
      <c r="B6" s="39" t="s">
        <v>29</v>
      </c>
      <c r="C6" s="32">
        <v>416460.0</v>
      </c>
      <c r="D6" s="40"/>
      <c r="E6" s="2"/>
      <c r="F6" s="39" t="s">
        <v>29</v>
      </c>
      <c r="G6" s="32">
        <v>184960.0</v>
      </c>
      <c r="H6" s="40"/>
      <c r="I6" s="35">
        <f t="shared" si="5"/>
        <v>0.01935855325</v>
      </c>
      <c r="J6" s="2"/>
      <c r="K6" s="29">
        <v>46025.0</v>
      </c>
      <c r="L6" s="30">
        <f t="shared" si="3"/>
        <v>15612171</v>
      </c>
      <c r="M6" s="32">
        <v>3710342.0</v>
      </c>
      <c r="N6" s="31">
        <v>2148368.0</v>
      </c>
      <c r="O6" s="32">
        <v>5297359.0</v>
      </c>
      <c r="P6" s="32">
        <v>4115128.0</v>
      </c>
      <c r="Q6" s="32">
        <v>131603.0</v>
      </c>
      <c r="R6" s="32">
        <v>86801.0</v>
      </c>
      <c r="S6" s="32">
        <v>4325.0</v>
      </c>
      <c r="T6" s="32">
        <v>54824.0</v>
      </c>
      <c r="U6" s="31">
        <v>6121.0</v>
      </c>
      <c r="V6" s="31">
        <v>55878.0</v>
      </c>
      <c r="W6" s="31">
        <v>0.0</v>
      </c>
      <c r="X6" s="31">
        <v>1422.0</v>
      </c>
      <c r="Y6" s="31">
        <v>0.0</v>
      </c>
      <c r="Z6" s="34"/>
      <c r="AA6" s="34"/>
      <c r="AB6" s="5"/>
      <c r="AD6" s="22" t="s">
        <v>27</v>
      </c>
      <c r="AE6" s="23">
        <f>H21</f>
        <v>86342889.5</v>
      </c>
      <c r="AF6" s="24"/>
      <c r="AG6" s="25">
        <f t="shared" si="1"/>
        <v>86342889.5</v>
      </c>
      <c r="AH6" s="24"/>
      <c r="AI6" s="23">
        <f>N35</f>
        <v>80715472.5</v>
      </c>
      <c r="AJ6" s="23">
        <f>AI6/74719*(4982+97)</f>
        <v>5486608.29</v>
      </c>
      <c r="AK6" s="23">
        <f>531+520719</f>
        <v>521250</v>
      </c>
      <c r="AL6" s="23"/>
      <c r="AM6" s="23">
        <f t="shared" si="2"/>
        <v>74707614.21</v>
      </c>
      <c r="AN6" s="5"/>
    </row>
    <row r="7">
      <c r="A7" s="35">
        <f t="shared" si="4"/>
        <v>0.03728441718</v>
      </c>
      <c r="B7" s="41" t="s">
        <v>30</v>
      </c>
      <c r="C7" s="32">
        <v>566473.0</v>
      </c>
      <c r="D7" s="40"/>
      <c r="E7" s="2"/>
      <c r="F7" s="41" t="s">
        <v>30</v>
      </c>
      <c r="G7" s="32">
        <v>168528.0</v>
      </c>
      <c r="H7" s="40"/>
      <c r="I7" s="35">
        <f t="shared" si="5"/>
        <v>0.0176387233</v>
      </c>
      <c r="J7" s="2"/>
      <c r="K7" s="29">
        <v>46026.0</v>
      </c>
      <c r="L7" s="30">
        <f t="shared" si="3"/>
        <v>15957648</v>
      </c>
      <c r="M7" s="32">
        <v>3924482.0</v>
      </c>
      <c r="N7" s="32">
        <v>2310076.0</v>
      </c>
      <c r="O7" s="32">
        <v>5439555.0</v>
      </c>
      <c r="P7" s="32">
        <v>3953389.0</v>
      </c>
      <c r="Q7" s="32">
        <v>129200.0</v>
      </c>
      <c r="R7" s="32">
        <v>109900.0</v>
      </c>
      <c r="S7" s="116">
        <v>2345.0</v>
      </c>
      <c r="T7" s="116">
        <v>39288.0</v>
      </c>
      <c r="U7" s="31">
        <v>6837.0</v>
      </c>
      <c r="V7" s="31">
        <v>40020.0</v>
      </c>
      <c r="W7" s="31">
        <v>0.0</v>
      </c>
      <c r="X7" s="31">
        <v>1017.0</v>
      </c>
      <c r="Y7" s="31">
        <v>1539.0</v>
      </c>
      <c r="Z7" s="34"/>
      <c r="AA7" s="34"/>
      <c r="AB7" s="5"/>
      <c r="AC7" s="21" t="s">
        <v>31</v>
      </c>
      <c r="AD7" s="22" t="s">
        <v>19</v>
      </c>
      <c r="AE7" s="23">
        <f>D78</f>
        <v>3741104</v>
      </c>
      <c r="AF7" s="24"/>
      <c r="AG7" s="25">
        <f t="shared" si="1"/>
        <v>3741104</v>
      </c>
      <c r="AH7" s="24"/>
      <c r="AI7" s="23">
        <f>Q35</f>
        <v>3639698</v>
      </c>
      <c r="AJ7" s="23">
        <f>AI7/3564*(459+7)</f>
        <v>475897.6622</v>
      </c>
      <c r="AK7" s="23">
        <f>2520+11217</f>
        <v>13737</v>
      </c>
      <c r="AL7" s="24"/>
      <c r="AM7" s="23">
        <f t="shared" si="2"/>
        <v>3150063.338</v>
      </c>
      <c r="AN7" s="5"/>
    </row>
    <row r="8">
      <c r="A8" s="35">
        <f t="shared" si="4"/>
        <v>0.00001928482776</v>
      </c>
      <c r="B8" s="39" t="s">
        <v>32</v>
      </c>
      <c r="C8" s="32">
        <v>293.0</v>
      </c>
      <c r="D8" s="42"/>
      <c r="E8" s="2"/>
      <c r="F8" s="39" t="s">
        <v>32</v>
      </c>
      <c r="G8" s="32">
        <v>2416.0</v>
      </c>
      <c r="H8" s="42"/>
      <c r="I8" s="35">
        <f t="shared" si="5"/>
        <v>0.0002528669153</v>
      </c>
      <c r="J8" s="2"/>
      <c r="K8" s="29">
        <v>46027.0</v>
      </c>
      <c r="L8" s="30">
        <f t="shared" si="3"/>
        <v>15762072</v>
      </c>
      <c r="M8" s="32">
        <v>3770933.0</v>
      </c>
      <c r="N8" s="31">
        <v>2366459.0</v>
      </c>
      <c r="O8" s="32">
        <v>5510412.0</v>
      </c>
      <c r="P8" s="32">
        <v>3845833.0</v>
      </c>
      <c r="Q8" s="32">
        <v>105654.0</v>
      </c>
      <c r="R8" s="32">
        <v>73717.0</v>
      </c>
      <c r="S8" s="32">
        <v>2499.0</v>
      </c>
      <c r="T8" s="32">
        <v>39729.0</v>
      </c>
      <c r="U8" s="31">
        <v>12117.0</v>
      </c>
      <c r="V8" s="31">
        <v>32364.0</v>
      </c>
      <c r="W8" s="31">
        <v>0.0</v>
      </c>
      <c r="X8" s="31">
        <v>2355.0</v>
      </c>
      <c r="Y8" s="31">
        <v>0.0</v>
      </c>
      <c r="Z8" s="34"/>
      <c r="AA8" s="34"/>
      <c r="AB8" s="5"/>
      <c r="AD8" s="22" t="s">
        <v>27</v>
      </c>
      <c r="AE8" s="23">
        <f>H78</f>
        <v>3478652</v>
      </c>
      <c r="AF8" s="24"/>
      <c r="AG8" s="25">
        <f t="shared" si="1"/>
        <v>3478652</v>
      </c>
      <c r="AH8" s="24"/>
      <c r="AI8" s="23">
        <f>R35</f>
        <v>2771328</v>
      </c>
      <c r="AJ8" s="23">
        <f>AI8/3587*(313+4)</f>
        <v>244915.2428</v>
      </c>
      <c r="AK8" s="23">
        <f>17845</f>
        <v>17845</v>
      </c>
      <c r="AL8" s="24"/>
      <c r="AM8" s="23">
        <f t="shared" si="2"/>
        <v>2508567.757</v>
      </c>
      <c r="AN8" s="5"/>
    </row>
    <row r="9">
      <c r="A9" s="35">
        <f t="shared" si="4"/>
        <v>0.0119640307</v>
      </c>
      <c r="B9" s="41" t="s">
        <v>33</v>
      </c>
      <c r="C9" s="32">
        <v>181773.0</v>
      </c>
      <c r="D9" s="40"/>
      <c r="E9" s="2"/>
      <c r="F9" s="41" t="s">
        <v>33</v>
      </c>
      <c r="G9" s="32">
        <v>130706.0</v>
      </c>
      <c r="H9" s="40"/>
      <c r="I9" s="35">
        <f t="shared" si="5"/>
        <v>0.01368014198</v>
      </c>
      <c r="J9" s="2"/>
      <c r="K9" s="29">
        <v>46028.0</v>
      </c>
      <c r="L9" s="30">
        <f t="shared" si="3"/>
        <v>15506133.1</v>
      </c>
      <c r="M9" s="32">
        <v>3908307.0</v>
      </c>
      <c r="N9" s="31">
        <v>2397154.1</v>
      </c>
      <c r="O9" s="32">
        <v>5188588.0</v>
      </c>
      <c r="P9" s="32">
        <v>3742674.0</v>
      </c>
      <c r="Q9" s="31">
        <v>89656.0</v>
      </c>
      <c r="R9" s="31">
        <v>112022.0</v>
      </c>
      <c r="S9" s="31">
        <v>0.0</v>
      </c>
      <c r="T9" s="31">
        <v>30184.0</v>
      </c>
      <c r="U9" s="31">
        <v>10552.0</v>
      </c>
      <c r="V9" s="31">
        <v>25808.0</v>
      </c>
      <c r="W9" s="31">
        <v>0.0</v>
      </c>
      <c r="X9" s="31">
        <v>1188.0</v>
      </c>
      <c r="Y9" s="31">
        <v>0.0</v>
      </c>
      <c r="Z9" s="34"/>
      <c r="AA9" s="34"/>
      <c r="AB9" s="5"/>
      <c r="AC9" s="44" t="s">
        <v>34</v>
      </c>
      <c r="AD9" s="22" t="s">
        <v>19</v>
      </c>
      <c r="AE9" s="45">
        <f>S42</f>
        <v>341575</v>
      </c>
      <c r="AF9" s="46"/>
      <c r="AG9" s="25">
        <f t="shared" si="1"/>
        <v>341575</v>
      </c>
      <c r="AH9" s="46"/>
      <c r="AI9" s="23">
        <f>S35</f>
        <v>355446</v>
      </c>
      <c r="AJ9" s="23"/>
      <c r="AK9" s="23"/>
      <c r="AL9" s="24"/>
      <c r="AM9" s="23">
        <f t="shared" si="2"/>
        <v>355446</v>
      </c>
      <c r="AN9" s="5"/>
    </row>
    <row r="10">
      <c r="A10" s="35">
        <f t="shared" si="4"/>
        <v>0</v>
      </c>
      <c r="B10" s="41" t="s">
        <v>35</v>
      </c>
      <c r="C10" s="31">
        <v>0.0</v>
      </c>
      <c r="D10" s="40"/>
      <c r="E10" s="2"/>
      <c r="F10" s="41" t="s">
        <v>35</v>
      </c>
      <c r="G10" s="31"/>
      <c r="H10" s="40"/>
      <c r="I10" s="35">
        <f t="shared" si="5"/>
        <v>0</v>
      </c>
      <c r="J10" s="47"/>
      <c r="K10" s="29">
        <v>46029.0</v>
      </c>
      <c r="L10" s="30">
        <f t="shared" si="3"/>
        <v>17363056</v>
      </c>
      <c r="M10" s="32">
        <v>4793004.0</v>
      </c>
      <c r="N10" s="31">
        <v>2326980.0</v>
      </c>
      <c r="O10" s="32">
        <v>5856182.0</v>
      </c>
      <c r="P10" s="32">
        <v>4156421.0</v>
      </c>
      <c r="Q10" s="31">
        <v>99819.0</v>
      </c>
      <c r="R10" s="31">
        <v>62851.0</v>
      </c>
      <c r="S10" s="31">
        <v>3675.0</v>
      </c>
      <c r="T10" s="31">
        <v>21380.0</v>
      </c>
      <c r="U10" s="31">
        <v>11642.0</v>
      </c>
      <c r="V10" s="31">
        <v>28993.0</v>
      </c>
      <c r="W10" s="31">
        <v>0.0</v>
      </c>
      <c r="X10" s="31">
        <v>2109.0</v>
      </c>
      <c r="Y10" s="31">
        <v>0.0</v>
      </c>
      <c r="Z10" s="34"/>
      <c r="AA10" s="34"/>
      <c r="AB10" s="5"/>
      <c r="AD10" s="22" t="s">
        <v>27</v>
      </c>
      <c r="AE10" s="45">
        <f>T42</f>
        <v>1332348</v>
      </c>
      <c r="AF10" s="46"/>
      <c r="AG10" s="25">
        <f t="shared" si="1"/>
        <v>1332348</v>
      </c>
      <c r="AH10" s="46"/>
      <c r="AI10" s="23">
        <f>T35</f>
        <v>1486093</v>
      </c>
      <c r="AJ10" s="23"/>
      <c r="AK10" s="23">
        <f>9113</f>
        <v>9113</v>
      </c>
      <c r="AL10" s="24"/>
      <c r="AM10" s="23">
        <f t="shared" si="2"/>
        <v>1476980</v>
      </c>
      <c r="AN10" s="5"/>
    </row>
    <row r="11">
      <c r="A11" s="35">
        <f t="shared" si="4"/>
        <v>0</v>
      </c>
      <c r="B11" s="39" t="s">
        <v>36</v>
      </c>
      <c r="C11" s="32">
        <v>0.0</v>
      </c>
      <c r="D11" s="42"/>
      <c r="E11" s="2"/>
      <c r="F11" s="39" t="s">
        <v>36</v>
      </c>
      <c r="G11" s="32"/>
      <c r="H11" s="42"/>
      <c r="I11" s="35">
        <f t="shared" si="5"/>
        <v>0</v>
      </c>
      <c r="J11" s="47"/>
      <c r="K11" s="29">
        <v>46030.0</v>
      </c>
      <c r="L11" s="30">
        <f t="shared" si="3"/>
        <v>19627323</v>
      </c>
      <c r="M11" s="32">
        <v>4807368.0</v>
      </c>
      <c r="N11" s="31">
        <v>2446234.0</v>
      </c>
      <c r="O11" s="32">
        <v>6530839.0</v>
      </c>
      <c r="P11" s="32">
        <v>5574038.0</v>
      </c>
      <c r="Q11" s="31">
        <v>89892.0</v>
      </c>
      <c r="R11" s="31">
        <v>89707.0</v>
      </c>
      <c r="S11" s="31">
        <v>5707.0</v>
      </c>
      <c r="T11" s="31">
        <v>32069.0</v>
      </c>
      <c r="U11" s="31">
        <v>13711.0</v>
      </c>
      <c r="V11" s="31">
        <v>32468.0</v>
      </c>
      <c r="W11" s="31">
        <v>0.0</v>
      </c>
      <c r="X11" s="31">
        <v>1367.0</v>
      </c>
      <c r="Y11" s="31">
        <v>3923.0</v>
      </c>
      <c r="Z11" s="34"/>
      <c r="AA11" s="34"/>
      <c r="AB11" s="5"/>
      <c r="AC11" s="44" t="s">
        <v>37</v>
      </c>
      <c r="AD11" s="22" t="s">
        <v>19</v>
      </c>
      <c r="AE11" s="45">
        <f>U42</f>
        <v>108947</v>
      </c>
      <c r="AF11" s="46"/>
      <c r="AG11" s="25">
        <f t="shared" si="1"/>
        <v>108947</v>
      </c>
      <c r="AH11" s="46"/>
      <c r="AI11" s="23">
        <f>U35</f>
        <v>594263</v>
      </c>
      <c r="AJ11" s="23"/>
      <c r="AK11" s="23">
        <f>6497+248803</f>
        <v>255300</v>
      </c>
      <c r="AL11" s="24"/>
      <c r="AM11" s="23">
        <f t="shared" si="2"/>
        <v>338963</v>
      </c>
      <c r="AN11" s="5"/>
    </row>
    <row r="12">
      <c r="A12" s="46"/>
      <c r="B12" s="48" t="s">
        <v>38</v>
      </c>
      <c r="C12" s="32">
        <v>0.0</v>
      </c>
      <c r="D12" s="49"/>
      <c r="E12" s="46"/>
      <c r="F12" s="48" t="s">
        <v>38</v>
      </c>
      <c r="G12" s="32"/>
      <c r="H12" s="49"/>
      <c r="I12" s="35">
        <f t="shared" si="5"/>
        <v>0</v>
      </c>
      <c r="J12" s="47"/>
      <c r="K12" s="29">
        <v>46031.0</v>
      </c>
      <c r="L12" s="30">
        <f t="shared" si="3"/>
        <v>20330202</v>
      </c>
      <c r="M12" s="32">
        <v>4572678.0</v>
      </c>
      <c r="N12" s="31">
        <v>2541646.0</v>
      </c>
      <c r="O12" s="32">
        <v>6459515.0</v>
      </c>
      <c r="P12" s="32">
        <v>6455582.0</v>
      </c>
      <c r="Q12" s="31">
        <v>160570.0</v>
      </c>
      <c r="R12" s="31">
        <v>75490.0</v>
      </c>
      <c r="S12" s="31">
        <v>2778.0</v>
      </c>
      <c r="T12" s="31">
        <v>25216.0</v>
      </c>
      <c r="U12" s="31">
        <v>11835.0</v>
      </c>
      <c r="V12" s="31">
        <v>23800.0</v>
      </c>
      <c r="W12" s="31">
        <v>0.0</v>
      </c>
      <c r="X12" s="31">
        <v>1092.0</v>
      </c>
      <c r="Y12" s="31">
        <v>0.0</v>
      </c>
      <c r="Z12" s="34"/>
      <c r="AA12" s="34"/>
      <c r="AB12" s="5"/>
      <c r="AD12" s="22" t="s">
        <v>27</v>
      </c>
      <c r="AE12" s="45">
        <f>V42</f>
        <v>787175</v>
      </c>
      <c r="AF12" s="46"/>
      <c r="AG12" s="25">
        <f t="shared" si="1"/>
        <v>787175</v>
      </c>
      <c r="AH12" s="46"/>
      <c r="AI12" s="23">
        <f>V35</f>
        <v>954144</v>
      </c>
      <c r="AJ12" s="23"/>
      <c r="AK12" s="50">
        <f>5070+101552</f>
        <v>106622</v>
      </c>
      <c r="AL12" s="24"/>
      <c r="AM12" s="23">
        <f t="shared" si="2"/>
        <v>847522</v>
      </c>
      <c r="AN12" s="5"/>
    </row>
    <row r="13">
      <c r="A13" s="46"/>
      <c r="B13" s="48" t="s">
        <v>39</v>
      </c>
      <c r="C13" s="32">
        <v>0.0</v>
      </c>
      <c r="D13" s="49"/>
      <c r="E13" s="46"/>
      <c r="F13" s="48" t="s">
        <v>39</v>
      </c>
      <c r="G13" s="32"/>
      <c r="H13" s="49"/>
      <c r="I13" s="35">
        <f t="shared" si="5"/>
        <v>0</v>
      </c>
      <c r="J13" s="47"/>
      <c r="K13" s="29">
        <v>46032.0</v>
      </c>
      <c r="L13" s="30">
        <f t="shared" si="3"/>
        <v>19711678</v>
      </c>
      <c r="M13" s="32">
        <v>4112819.0</v>
      </c>
      <c r="N13" s="31">
        <v>2588222.0</v>
      </c>
      <c r="O13" s="31">
        <v>6455940.0</v>
      </c>
      <c r="P13" s="32">
        <v>6248328.0</v>
      </c>
      <c r="Q13" s="31">
        <v>143984.0</v>
      </c>
      <c r="R13" s="31">
        <v>80890.0</v>
      </c>
      <c r="S13" s="31">
        <v>852.0</v>
      </c>
      <c r="T13" s="31">
        <v>38289.0</v>
      </c>
      <c r="U13" s="31">
        <v>8440.0</v>
      </c>
      <c r="V13" s="31">
        <v>28341.0</v>
      </c>
      <c r="W13" s="31">
        <v>519.0</v>
      </c>
      <c r="X13" s="31">
        <v>2034.0</v>
      </c>
      <c r="Y13" s="31">
        <v>3020.0</v>
      </c>
      <c r="Z13" s="34"/>
      <c r="AA13" s="34"/>
      <c r="AB13" s="5"/>
      <c r="AC13" s="46"/>
      <c r="AD13" s="51" t="s">
        <v>40</v>
      </c>
      <c r="AE13" s="52">
        <f t="shared" ref="AE13:AG13" si="6">SUM(AE3:AE12)</f>
        <v>417248712.5</v>
      </c>
      <c r="AF13" s="52">
        <f t="shared" si="6"/>
        <v>0</v>
      </c>
      <c r="AG13" s="52">
        <f t="shared" si="6"/>
        <v>417248712.5</v>
      </c>
      <c r="AH13" s="5"/>
      <c r="AI13" s="52">
        <f t="shared" ref="AI13:AM13" si="7">SUM(AI3:AI12)</f>
        <v>538714870.5</v>
      </c>
      <c r="AJ13" s="52">
        <f t="shared" si="7"/>
        <v>15016926.21</v>
      </c>
      <c r="AK13" s="52">
        <f t="shared" si="7"/>
        <v>3135664</v>
      </c>
      <c r="AL13" s="52">
        <f t="shared" si="7"/>
        <v>0</v>
      </c>
      <c r="AM13" s="52">
        <f t="shared" si="7"/>
        <v>520562280.3</v>
      </c>
      <c r="AN13" s="5"/>
    </row>
    <row r="14">
      <c r="A14" s="46"/>
      <c r="B14" s="48" t="s">
        <v>41</v>
      </c>
      <c r="C14" s="32">
        <v>3489.0</v>
      </c>
      <c r="D14" s="49"/>
      <c r="E14" s="46"/>
      <c r="F14" s="48" t="s">
        <v>41</v>
      </c>
      <c r="G14" s="32"/>
      <c r="H14" s="49"/>
      <c r="I14" s="46"/>
      <c r="J14" s="47"/>
      <c r="K14" s="29">
        <v>46033.0</v>
      </c>
      <c r="L14" s="30">
        <f t="shared" si="3"/>
        <v>21605574.1</v>
      </c>
      <c r="M14" s="32">
        <v>4530575.0</v>
      </c>
      <c r="N14" s="31">
        <v>2714630.1</v>
      </c>
      <c r="O14" s="31">
        <v>7582307.0</v>
      </c>
      <c r="P14" s="32">
        <v>6418527.0</v>
      </c>
      <c r="Q14" s="31">
        <v>133673.0</v>
      </c>
      <c r="R14" s="31">
        <v>113443.0</v>
      </c>
      <c r="S14" s="31">
        <v>2345.0</v>
      </c>
      <c r="T14" s="31">
        <v>51187.0</v>
      </c>
      <c r="U14" s="31">
        <v>18379.0</v>
      </c>
      <c r="V14" s="31">
        <v>40154.0</v>
      </c>
      <c r="W14" s="31">
        <v>0.0</v>
      </c>
      <c r="X14" s="31">
        <v>354.0</v>
      </c>
      <c r="Y14" s="31">
        <v>0.0</v>
      </c>
      <c r="Z14" s="34"/>
      <c r="AA14" s="34"/>
      <c r="AB14" s="5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5"/>
    </row>
    <row r="15">
      <c r="A15" s="2"/>
      <c r="B15" s="41" t="s">
        <v>42</v>
      </c>
      <c r="C15" s="30">
        <f>SUM(C5:C14)</f>
        <v>15193291</v>
      </c>
      <c r="D15" s="40"/>
      <c r="E15" s="2"/>
      <c r="F15" s="41" t="s">
        <v>42</v>
      </c>
      <c r="G15" s="30">
        <f t="shared" ref="G15:H15" si="8">SUM(G5:G14)</f>
        <v>9554433</v>
      </c>
      <c r="H15" s="53">
        <f t="shared" si="8"/>
        <v>0</v>
      </c>
      <c r="I15" s="2"/>
      <c r="J15" s="47"/>
      <c r="K15" s="29">
        <v>46034.0</v>
      </c>
      <c r="L15" s="30">
        <f t="shared" si="3"/>
        <v>17591225</v>
      </c>
      <c r="M15" s="32">
        <v>3580582.0</v>
      </c>
      <c r="N15" s="31">
        <v>2588648.0</v>
      </c>
      <c r="O15" s="31">
        <v>6323347.0</v>
      </c>
      <c r="P15" s="32">
        <v>4793010.0</v>
      </c>
      <c r="Q15" s="31">
        <v>130482.0</v>
      </c>
      <c r="R15" s="31">
        <v>87713.0</v>
      </c>
      <c r="S15" s="31">
        <v>4132.0</v>
      </c>
      <c r="T15" s="31">
        <v>53349.0</v>
      </c>
      <c r="U15" s="31">
        <v>5913.0</v>
      </c>
      <c r="V15" s="31">
        <v>21940.0</v>
      </c>
      <c r="W15" s="31">
        <v>0.0</v>
      </c>
      <c r="X15" s="31">
        <v>2109.0</v>
      </c>
      <c r="Y15" s="31">
        <v>0.0</v>
      </c>
      <c r="Z15" s="34"/>
      <c r="AA15" s="34"/>
      <c r="AB15" s="5"/>
      <c r="AC15" s="5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5"/>
    </row>
    <row r="16">
      <c r="A16" s="2"/>
      <c r="B16" s="41" t="s">
        <v>43</v>
      </c>
      <c r="C16" s="2"/>
      <c r="D16" s="54">
        <f>M35</f>
        <v>110647711</v>
      </c>
      <c r="E16" s="2"/>
      <c r="F16" s="41" t="s">
        <v>43</v>
      </c>
      <c r="G16" s="2"/>
      <c r="H16" s="54">
        <f>N35</f>
        <v>80715472.5</v>
      </c>
      <c r="I16" s="2"/>
      <c r="J16" s="47"/>
      <c r="K16" s="29">
        <v>46035.0</v>
      </c>
      <c r="L16" s="30">
        <f t="shared" si="3"/>
        <v>17669184</v>
      </c>
      <c r="M16" s="32">
        <v>3405536.0</v>
      </c>
      <c r="N16" s="31">
        <v>2677293.0</v>
      </c>
      <c r="O16" s="31">
        <v>6413931.0</v>
      </c>
      <c r="P16" s="32">
        <v>4804282.0</v>
      </c>
      <c r="Q16" s="31">
        <v>122025.0</v>
      </c>
      <c r="R16" s="31">
        <v>129246.0</v>
      </c>
      <c r="S16" s="31">
        <v>4559.0</v>
      </c>
      <c r="T16" s="31">
        <v>65581.0</v>
      </c>
      <c r="U16" s="31">
        <v>14141.0</v>
      </c>
      <c r="V16" s="31">
        <v>31532.0</v>
      </c>
      <c r="W16" s="31">
        <v>0.0</v>
      </c>
      <c r="X16" s="31">
        <v>1058.0</v>
      </c>
      <c r="Y16" s="31">
        <v>0.0</v>
      </c>
      <c r="Z16" s="34"/>
      <c r="AA16" s="34"/>
      <c r="AB16" s="5"/>
      <c r="AC16" s="5"/>
      <c r="AD16" s="5"/>
      <c r="AE16" s="5"/>
      <c r="AF16" s="5"/>
      <c r="AG16" s="5"/>
      <c r="AH16" s="55"/>
      <c r="AI16" s="55"/>
      <c r="AJ16" s="5"/>
      <c r="AK16" s="5"/>
      <c r="AL16" s="5"/>
      <c r="AM16" s="5"/>
      <c r="AN16" s="5"/>
    </row>
    <row r="17">
      <c r="A17" s="2"/>
      <c r="B17" s="41" t="s">
        <v>44</v>
      </c>
      <c r="C17" s="56"/>
      <c r="D17" s="57">
        <f>C15/D16</f>
        <v>0.1373122938</v>
      </c>
      <c r="E17" s="58"/>
      <c r="F17" s="41" t="s">
        <v>44</v>
      </c>
      <c r="G17" s="56"/>
      <c r="H17" s="57">
        <f>G15/H16</f>
        <v>0.1183717657</v>
      </c>
      <c r="I17" s="2"/>
      <c r="J17" s="47"/>
      <c r="K17" s="29">
        <v>46036.0</v>
      </c>
      <c r="L17" s="30">
        <f t="shared" si="3"/>
        <v>18073795</v>
      </c>
      <c r="M17" s="32">
        <v>3259110.0</v>
      </c>
      <c r="N17" s="31">
        <v>2927401.0</v>
      </c>
      <c r="O17" s="31">
        <v>6758846.0</v>
      </c>
      <c r="P17" s="32">
        <v>4620942.0</v>
      </c>
      <c r="Q17" s="31">
        <v>218720.0</v>
      </c>
      <c r="R17" s="31">
        <v>89354.0</v>
      </c>
      <c r="S17" s="31">
        <v>652.0</v>
      </c>
      <c r="T17" s="31">
        <v>39190.0</v>
      </c>
      <c r="U17" s="31">
        <v>131760.0</v>
      </c>
      <c r="V17" s="31">
        <v>27470.0</v>
      </c>
      <c r="W17" s="31">
        <v>0.0</v>
      </c>
      <c r="X17" s="31">
        <v>350.0</v>
      </c>
      <c r="Y17" s="31">
        <v>0.0</v>
      </c>
      <c r="Z17" s="34"/>
      <c r="AA17" s="34"/>
      <c r="AB17" s="5"/>
      <c r="AC17" s="5"/>
      <c r="AD17" s="5"/>
      <c r="AE17" s="14" t="s">
        <v>45</v>
      </c>
      <c r="AH17" s="55"/>
      <c r="AI17" s="14" t="s">
        <v>46</v>
      </c>
      <c r="AL17" s="55"/>
      <c r="AM17" s="24"/>
      <c r="AN17" s="5"/>
    </row>
    <row r="18">
      <c r="A18" s="35">
        <f>D17/C18</f>
        <v>0.6698160673</v>
      </c>
      <c r="B18" s="41" t="s">
        <v>47</v>
      </c>
      <c r="C18" s="59">
        <v>0.205</v>
      </c>
      <c r="D18" s="54">
        <f>D16*C18</f>
        <v>22682780.76</v>
      </c>
      <c r="E18" s="2"/>
      <c r="F18" s="41" t="s">
        <v>47</v>
      </c>
      <c r="G18" s="59">
        <v>0.115</v>
      </c>
      <c r="H18" s="54">
        <f>H16*G18</f>
        <v>9282279.338</v>
      </c>
      <c r="I18" s="35">
        <f>H17/G18</f>
        <v>1.029319702</v>
      </c>
      <c r="J18" s="47"/>
      <c r="K18" s="29">
        <v>46037.0</v>
      </c>
      <c r="L18" s="30">
        <f t="shared" si="3"/>
        <v>17661106.1</v>
      </c>
      <c r="M18" s="32">
        <v>3263746.0</v>
      </c>
      <c r="N18" s="31">
        <v>3173546.1</v>
      </c>
      <c r="O18" s="31">
        <v>6575053.0</v>
      </c>
      <c r="P18" s="32">
        <v>4240112.0</v>
      </c>
      <c r="Q18" s="31">
        <v>142817.0</v>
      </c>
      <c r="R18" s="31">
        <v>92858.0</v>
      </c>
      <c r="S18" s="31">
        <v>4989.0</v>
      </c>
      <c r="T18" s="31">
        <v>46946.0</v>
      </c>
      <c r="U18" s="31">
        <v>91475.0</v>
      </c>
      <c r="V18" s="31">
        <v>25202.0</v>
      </c>
      <c r="W18" s="31">
        <v>4362.0</v>
      </c>
      <c r="X18" s="31">
        <v>0.0</v>
      </c>
      <c r="Y18" s="31">
        <v>0.0</v>
      </c>
      <c r="Z18" s="34"/>
      <c r="AA18" s="34"/>
      <c r="AB18" s="5"/>
      <c r="AC18" s="55"/>
      <c r="AD18" s="55"/>
      <c r="AE18" s="14" t="s">
        <v>10</v>
      </c>
      <c r="AF18" s="14" t="s">
        <v>13</v>
      </c>
      <c r="AG18" s="14" t="s">
        <v>48</v>
      </c>
      <c r="AH18" s="5"/>
      <c r="AI18" s="14" t="s">
        <v>12</v>
      </c>
      <c r="AJ18" s="14" t="s">
        <v>17</v>
      </c>
      <c r="AK18" s="14" t="s">
        <v>48</v>
      </c>
      <c r="AL18" s="5"/>
      <c r="AM18" s="5"/>
      <c r="AN18" s="5"/>
    </row>
    <row r="19">
      <c r="A19" s="2"/>
      <c r="B19" s="60" t="s">
        <v>49</v>
      </c>
      <c r="C19" s="61"/>
      <c r="D19" s="62">
        <f>C15-D18</f>
        <v>-7489489.755</v>
      </c>
      <c r="E19" s="58"/>
      <c r="F19" s="60" t="s">
        <v>50</v>
      </c>
      <c r="G19" s="61"/>
      <c r="H19" s="62">
        <f>G15-H18</f>
        <v>272153.6625</v>
      </c>
      <c r="I19" s="2"/>
      <c r="J19" s="2"/>
      <c r="K19" s="29">
        <v>46038.0</v>
      </c>
      <c r="L19" s="30">
        <f t="shared" si="3"/>
        <v>16899560</v>
      </c>
      <c r="M19" s="32">
        <v>3144609.0</v>
      </c>
      <c r="N19" s="31">
        <v>2930262.0</v>
      </c>
      <c r="O19" s="31">
        <v>6141720.0</v>
      </c>
      <c r="P19" s="32">
        <v>4373897.0</v>
      </c>
      <c r="Q19" s="31">
        <v>82701.0</v>
      </c>
      <c r="R19" s="31">
        <v>89159.0</v>
      </c>
      <c r="S19" s="31">
        <v>13252.0</v>
      </c>
      <c r="T19" s="31">
        <v>28135.0</v>
      </c>
      <c r="U19" s="31">
        <v>60952.0</v>
      </c>
      <c r="V19" s="31">
        <v>18068.0</v>
      </c>
      <c r="W19" s="31">
        <v>4951.0</v>
      </c>
      <c r="X19" s="31">
        <v>11854.0</v>
      </c>
      <c r="Y19" s="31">
        <v>0.0</v>
      </c>
      <c r="Z19" s="34"/>
      <c r="AA19" s="34"/>
      <c r="AB19" s="5"/>
      <c r="AC19" s="21" t="s">
        <v>24</v>
      </c>
      <c r="AD19" s="22" t="s">
        <v>19</v>
      </c>
      <c r="AE19" s="25">
        <f t="shared" ref="AE19:AE28" si="9">AE3</f>
        <v>113971735</v>
      </c>
      <c r="AF19" s="23">
        <f t="shared" ref="AF19:AF28" si="10">AI3</f>
        <v>199495328</v>
      </c>
      <c r="AG19" s="63">
        <f t="shared" ref="AG19:AG29" si="11">IFERROR(AF19/AE19, " ")</f>
        <v>1.750393008</v>
      </c>
      <c r="AH19" s="5"/>
      <c r="AI19" s="23">
        <f t="shared" ref="AI19:AI28" si="12">AG3</f>
        <v>113971735</v>
      </c>
      <c r="AJ19" s="23">
        <f t="shared" ref="AJ19:AJ28" si="13">AM3</f>
        <v>198719614</v>
      </c>
      <c r="AK19" s="63">
        <f t="shared" ref="AK19:AK29" si="14">IFERROR(AJ19/AI19, " ")</f>
        <v>1.743586811</v>
      </c>
      <c r="AL19" s="5"/>
      <c r="AM19" s="5"/>
      <c r="AN19" s="5"/>
    </row>
    <row r="20">
      <c r="A20" s="2"/>
      <c r="B20" s="2"/>
      <c r="C20" s="2"/>
      <c r="D20" s="2"/>
      <c r="E20" s="56"/>
      <c r="F20" s="2"/>
      <c r="G20" s="2"/>
      <c r="H20" s="2"/>
      <c r="I20" s="2"/>
      <c r="J20" s="58"/>
      <c r="K20" s="29">
        <v>46039.0</v>
      </c>
      <c r="L20" s="30">
        <f t="shared" si="3"/>
        <v>18037985</v>
      </c>
      <c r="M20" s="32">
        <v>3689405.0</v>
      </c>
      <c r="N20" s="31">
        <v>2894971.0</v>
      </c>
      <c r="O20" s="31">
        <v>6713211.0</v>
      </c>
      <c r="P20" s="32">
        <v>4378824.0</v>
      </c>
      <c r="Q20" s="31">
        <v>129013.0</v>
      </c>
      <c r="R20" s="31">
        <v>90801.0</v>
      </c>
      <c r="S20" s="117">
        <v>20641.0</v>
      </c>
      <c r="T20" s="117">
        <v>42831.0</v>
      </c>
      <c r="U20" s="117">
        <v>55712.0</v>
      </c>
      <c r="V20" s="117">
        <v>22226.0</v>
      </c>
      <c r="W20" s="31">
        <v>0.0</v>
      </c>
      <c r="X20" s="31">
        <v>350.0</v>
      </c>
      <c r="Y20" s="31">
        <v>0.0</v>
      </c>
      <c r="Z20" s="34"/>
      <c r="AA20" s="34"/>
      <c r="AB20" s="5"/>
      <c r="AD20" s="22" t="s">
        <v>27</v>
      </c>
      <c r="AE20" s="25">
        <f t="shared" si="9"/>
        <v>110544589</v>
      </c>
      <c r="AF20" s="23">
        <f t="shared" si="10"/>
        <v>138055387</v>
      </c>
      <c r="AG20" s="63">
        <f t="shared" si="11"/>
        <v>1.248866075</v>
      </c>
      <c r="AH20" s="5"/>
      <c r="AI20" s="23">
        <f t="shared" si="12"/>
        <v>110544589</v>
      </c>
      <c r="AJ20" s="23">
        <f t="shared" si="13"/>
        <v>137101317</v>
      </c>
      <c r="AK20" s="63">
        <f t="shared" si="14"/>
        <v>1.24023544</v>
      </c>
      <c r="AL20" s="5"/>
      <c r="AM20" s="5"/>
      <c r="AN20" s="5"/>
    </row>
    <row r="21">
      <c r="A21" s="2"/>
      <c r="B21" s="58" t="s">
        <v>51</v>
      </c>
      <c r="C21" s="58"/>
      <c r="D21" s="64">
        <f>M42</f>
        <v>96599698</v>
      </c>
      <c r="E21" s="31"/>
      <c r="F21" s="58" t="s">
        <v>51</v>
      </c>
      <c r="G21" s="58"/>
      <c r="H21" s="65">
        <f>N42</f>
        <v>86342889.5</v>
      </c>
      <c r="I21" s="2"/>
      <c r="J21" s="58"/>
      <c r="K21" s="29">
        <v>46040.0</v>
      </c>
      <c r="L21" s="30">
        <f t="shared" si="3"/>
        <v>18685904</v>
      </c>
      <c r="M21" s="32">
        <v>3653633.0</v>
      </c>
      <c r="N21" s="31">
        <v>2944215.0</v>
      </c>
      <c r="O21" s="31">
        <v>7220542.0</v>
      </c>
      <c r="P21" s="32">
        <v>4541922.0</v>
      </c>
      <c r="Q21" s="31">
        <v>135656.0</v>
      </c>
      <c r="R21" s="31">
        <v>84878.0</v>
      </c>
      <c r="S21" s="117">
        <v>15716.0</v>
      </c>
      <c r="T21" s="117">
        <v>54000.0</v>
      </c>
      <c r="U21" s="117">
        <v>13200.0</v>
      </c>
      <c r="V21" s="117">
        <v>19972.0</v>
      </c>
      <c r="W21" s="31">
        <v>0.0</v>
      </c>
      <c r="X21" s="31">
        <v>350.0</v>
      </c>
      <c r="Y21" s="31">
        <v>1820.0</v>
      </c>
      <c r="Z21" s="34"/>
      <c r="AA21" s="34"/>
      <c r="AB21" s="5"/>
      <c r="AC21" s="21" t="s">
        <v>18</v>
      </c>
      <c r="AD21" s="22" t="s">
        <v>19</v>
      </c>
      <c r="AE21" s="25">
        <f t="shared" si="9"/>
        <v>96599698</v>
      </c>
      <c r="AF21" s="23">
        <f t="shared" si="10"/>
        <v>110647711</v>
      </c>
      <c r="AG21" s="63">
        <f t="shared" si="11"/>
        <v>1.14542502</v>
      </c>
      <c r="AH21" s="5"/>
      <c r="AI21" s="23">
        <f t="shared" si="12"/>
        <v>96599698</v>
      </c>
      <c r="AJ21" s="23">
        <f t="shared" si="13"/>
        <v>101356193</v>
      </c>
      <c r="AK21" s="63">
        <f t="shared" si="14"/>
        <v>1.049239232</v>
      </c>
      <c r="AL21" s="5"/>
      <c r="AM21" s="5"/>
      <c r="AN21" s="5"/>
    </row>
    <row r="22">
      <c r="A22" s="2"/>
      <c r="B22" s="2" t="s">
        <v>52</v>
      </c>
      <c r="C22" s="2"/>
      <c r="D22" s="30">
        <f>D16/$C$1</f>
        <v>3569281</v>
      </c>
      <c r="E22" s="58"/>
      <c r="F22" s="2" t="s">
        <v>52</v>
      </c>
      <c r="G22" s="2"/>
      <c r="H22" s="30">
        <f>H16/$C$1</f>
        <v>2603724.919</v>
      </c>
      <c r="I22" s="58"/>
      <c r="J22" s="58"/>
      <c r="K22" s="29">
        <v>46041.0</v>
      </c>
      <c r="L22" s="30">
        <f t="shared" si="3"/>
        <v>15737815</v>
      </c>
      <c r="M22" s="32">
        <v>3019828.0</v>
      </c>
      <c r="N22" s="31">
        <v>2676091.0</v>
      </c>
      <c r="O22" s="31">
        <v>6463237.0</v>
      </c>
      <c r="P22" s="32">
        <v>3278254.0</v>
      </c>
      <c r="Q22" s="31">
        <v>108977.0</v>
      </c>
      <c r="R22" s="31">
        <v>91125.0</v>
      </c>
      <c r="S22" s="31">
        <v>13229.0</v>
      </c>
      <c r="T22" s="31">
        <v>32886.0</v>
      </c>
      <c r="U22" s="31">
        <v>10429.0</v>
      </c>
      <c r="V22" s="31">
        <v>21021.0</v>
      </c>
      <c r="W22" s="31">
        <v>4951.0</v>
      </c>
      <c r="X22" s="31">
        <v>12856.0</v>
      </c>
      <c r="Y22" s="31">
        <f>3260+1671</f>
        <v>4931</v>
      </c>
      <c r="Z22" s="34"/>
      <c r="AA22" s="34"/>
      <c r="AB22" s="5"/>
      <c r="AD22" s="22" t="s">
        <v>27</v>
      </c>
      <c r="AE22" s="25">
        <f t="shared" si="9"/>
        <v>86342889.5</v>
      </c>
      <c r="AF22" s="23">
        <f t="shared" si="10"/>
        <v>80715472.5</v>
      </c>
      <c r="AG22" s="63">
        <f t="shared" si="11"/>
        <v>0.9348247779</v>
      </c>
      <c r="AH22" s="24"/>
      <c r="AI22" s="23">
        <f t="shared" si="12"/>
        <v>86342889.5</v>
      </c>
      <c r="AJ22" s="23">
        <f t="shared" si="13"/>
        <v>74707614.21</v>
      </c>
      <c r="AK22" s="63">
        <f t="shared" si="14"/>
        <v>0.8652433876</v>
      </c>
      <c r="AL22" s="24"/>
      <c r="AM22" s="24"/>
      <c r="AN22" s="5"/>
    </row>
    <row r="23">
      <c r="A23" s="2"/>
      <c r="B23" s="2" t="s">
        <v>53</v>
      </c>
      <c r="C23" s="2"/>
      <c r="D23" s="30">
        <f>D21/$G$1*$C$1</f>
        <v>96599698</v>
      </c>
      <c r="E23" s="2"/>
      <c r="F23" s="2" t="s">
        <v>53</v>
      </c>
      <c r="G23" s="2"/>
      <c r="H23" s="30">
        <f>H21/$G$1*$C$1</f>
        <v>86342889.5</v>
      </c>
      <c r="I23" s="2"/>
      <c r="J23" s="47"/>
      <c r="K23" s="29">
        <v>46042.0</v>
      </c>
      <c r="L23" s="30">
        <f t="shared" si="3"/>
        <v>16806629.1</v>
      </c>
      <c r="M23" s="32">
        <v>3319665.0</v>
      </c>
      <c r="N23" s="31">
        <v>2624808.1</v>
      </c>
      <c r="O23" s="31">
        <v>7008494.0</v>
      </c>
      <c r="P23" s="32">
        <v>3568647.0</v>
      </c>
      <c r="Q23" s="31">
        <v>116701.0</v>
      </c>
      <c r="R23" s="31">
        <v>89586.0</v>
      </c>
      <c r="S23" s="31">
        <v>12058.0</v>
      </c>
      <c r="T23" s="31">
        <v>36967.0</v>
      </c>
      <c r="U23" s="43">
        <v>7030.0</v>
      </c>
      <c r="V23" s="43">
        <v>18125.0</v>
      </c>
      <c r="W23" s="31">
        <v>0.0</v>
      </c>
      <c r="X23" s="31">
        <v>625.0</v>
      </c>
      <c r="Y23" s="31">
        <v>3923.0</v>
      </c>
      <c r="Z23" s="34"/>
      <c r="AA23" s="34"/>
      <c r="AB23" s="5"/>
      <c r="AC23" s="21" t="s">
        <v>31</v>
      </c>
      <c r="AD23" s="22" t="s">
        <v>19</v>
      </c>
      <c r="AE23" s="25">
        <f t="shared" si="9"/>
        <v>3741104</v>
      </c>
      <c r="AF23" s="23">
        <f t="shared" si="10"/>
        <v>3639698</v>
      </c>
      <c r="AG23" s="63">
        <f t="shared" si="11"/>
        <v>0.9728940976</v>
      </c>
      <c r="AH23" s="24"/>
      <c r="AI23" s="23">
        <f t="shared" si="12"/>
        <v>3741104</v>
      </c>
      <c r="AJ23" s="23">
        <f t="shared" si="13"/>
        <v>3150063.338</v>
      </c>
      <c r="AK23" s="63">
        <f t="shared" si="14"/>
        <v>0.8420143727</v>
      </c>
      <c r="AL23" s="24"/>
      <c r="AM23" s="24"/>
      <c r="AN23" s="5"/>
    </row>
    <row r="24">
      <c r="A24" s="2"/>
      <c r="B24" s="2" t="s">
        <v>54</v>
      </c>
      <c r="C24" s="2"/>
      <c r="D24" s="30" t="str">
        <f>(D21-D16)/($G$1-$C$1)</f>
        <v>#DIV/0!</v>
      </c>
      <c r="E24" s="2"/>
      <c r="F24" s="2" t="s">
        <v>54</v>
      </c>
      <c r="G24" s="2"/>
      <c r="H24" s="30" t="str">
        <f>(H21-H16)/($G$1-$C$1)</f>
        <v>#DIV/0!</v>
      </c>
      <c r="I24" s="2"/>
      <c r="J24" s="58"/>
      <c r="K24" s="29">
        <v>46043.0</v>
      </c>
      <c r="L24" s="30">
        <f t="shared" si="3"/>
        <v>16307741</v>
      </c>
      <c r="M24" s="32">
        <v>3428781.0</v>
      </c>
      <c r="N24" s="31">
        <v>2824083.0</v>
      </c>
      <c r="O24" s="31">
        <v>6595730.0</v>
      </c>
      <c r="P24" s="32">
        <v>3178278.0</v>
      </c>
      <c r="Q24" s="31">
        <v>98397.0</v>
      </c>
      <c r="R24" s="31">
        <v>101178.0</v>
      </c>
      <c r="S24" s="31">
        <v>21004.0</v>
      </c>
      <c r="T24" s="31">
        <v>33265.0</v>
      </c>
      <c r="U24" s="31">
        <v>7567.0</v>
      </c>
      <c r="V24" s="31">
        <v>13033.0</v>
      </c>
      <c r="W24" s="31">
        <v>0.0</v>
      </c>
      <c r="X24" s="31">
        <v>963.0</v>
      </c>
      <c r="Y24" s="31">
        <v>5462.0</v>
      </c>
      <c r="Z24" s="34"/>
      <c r="AA24" s="34"/>
      <c r="AB24" s="5"/>
      <c r="AD24" s="22" t="s">
        <v>27</v>
      </c>
      <c r="AE24" s="25">
        <f t="shared" si="9"/>
        <v>3478652</v>
      </c>
      <c r="AF24" s="23">
        <f t="shared" si="10"/>
        <v>2771328</v>
      </c>
      <c r="AG24" s="63">
        <f t="shared" si="11"/>
        <v>0.7966672148</v>
      </c>
      <c r="AH24" s="24"/>
      <c r="AI24" s="23">
        <f t="shared" si="12"/>
        <v>3478652</v>
      </c>
      <c r="AJ24" s="23">
        <f t="shared" si="13"/>
        <v>2508567.757</v>
      </c>
      <c r="AK24" s="63">
        <f t="shared" si="14"/>
        <v>0.7211321389</v>
      </c>
      <c r="AL24" s="24"/>
      <c r="AM24" s="24"/>
      <c r="AN24" s="5"/>
    </row>
    <row r="25">
      <c r="A25" s="2"/>
      <c r="B25" s="2" t="s">
        <v>55</v>
      </c>
      <c r="C25" s="2"/>
      <c r="D25" s="30">
        <f>D16-D23</f>
        <v>14048013</v>
      </c>
      <c r="E25" s="2"/>
      <c r="F25" s="2" t="s">
        <v>55</v>
      </c>
      <c r="G25" s="2"/>
      <c r="H25" s="30">
        <f>H16-H23</f>
        <v>-5627417</v>
      </c>
      <c r="I25" s="2"/>
      <c r="J25" s="47"/>
      <c r="K25" s="29">
        <v>46044.0</v>
      </c>
      <c r="L25" s="30">
        <f t="shared" si="3"/>
        <v>15948570</v>
      </c>
      <c r="M25" s="32">
        <v>3208929.0</v>
      </c>
      <c r="N25" s="31">
        <v>2682373.0</v>
      </c>
      <c r="O25" s="31">
        <v>6712160.0</v>
      </c>
      <c r="P25" s="32">
        <v>3081188.0</v>
      </c>
      <c r="Q25" s="31">
        <v>81765.0</v>
      </c>
      <c r="R25" s="31">
        <v>102694.0</v>
      </c>
      <c r="S25" s="31">
        <v>13929.0</v>
      </c>
      <c r="T25" s="31">
        <v>31414.0</v>
      </c>
      <c r="U25" s="31">
        <v>5837.0</v>
      </c>
      <c r="V25" s="31">
        <v>18559.0</v>
      </c>
      <c r="W25" s="31">
        <v>0.0</v>
      </c>
      <c r="X25" s="31">
        <v>412.0</v>
      </c>
      <c r="Y25" s="31">
        <v>9310.0</v>
      </c>
      <c r="Z25" s="34"/>
      <c r="AA25" s="34"/>
      <c r="AB25" s="5"/>
      <c r="AC25" s="44" t="s">
        <v>34</v>
      </c>
      <c r="AD25" s="22" t="s">
        <v>19</v>
      </c>
      <c r="AE25" s="25">
        <f t="shared" si="9"/>
        <v>341575</v>
      </c>
      <c r="AF25" s="23">
        <f t="shared" si="10"/>
        <v>355446</v>
      </c>
      <c r="AG25" s="63">
        <f t="shared" si="11"/>
        <v>1.040608944</v>
      </c>
      <c r="AH25" s="46"/>
      <c r="AI25" s="23">
        <f t="shared" si="12"/>
        <v>341575</v>
      </c>
      <c r="AJ25" s="23">
        <f t="shared" si="13"/>
        <v>355446</v>
      </c>
      <c r="AK25" s="63">
        <f t="shared" si="14"/>
        <v>1.040608944</v>
      </c>
      <c r="AL25" s="46"/>
      <c r="AM25" s="46"/>
      <c r="AN25" s="5"/>
    </row>
    <row r="26">
      <c r="A26" s="2"/>
      <c r="B26" s="2" t="s">
        <v>56</v>
      </c>
      <c r="C26" s="2"/>
      <c r="D26" s="30">
        <f>D16/$C$1*$G$1</f>
        <v>110647711</v>
      </c>
      <c r="E26" s="56"/>
      <c r="F26" s="2" t="s">
        <v>56</v>
      </c>
      <c r="G26" s="2"/>
      <c r="H26" s="30">
        <f>H16/$C$1*$G$1</f>
        <v>80715472.5</v>
      </c>
      <c r="I26" s="2"/>
      <c r="J26" s="56"/>
      <c r="K26" s="29">
        <v>46045.0</v>
      </c>
      <c r="L26" s="30">
        <f t="shared" si="3"/>
        <v>16037349.6</v>
      </c>
      <c r="M26" s="32">
        <v>3114310.0</v>
      </c>
      <c r="N26" s="31">
        <v>2489130.0</v>
      </c>
      <c r="O26" s="31">
        <v>6691021.0</v>
      </c>
      <c r="P26" s="32">
        <v>3428916.0</v>
      </c>
      <c r="Q26" s="31">
        <v>100361.0</v>
      </c>
      <c r="R26" s="31">
        <v>118655.0</v>
      </c>
      <c r="S26" s="31">
        <v>26964.0</v>
      </c>
      <c r="T26" s="31">
        <v>35129.0</v>
      </c>
      <c r="U26" s="31">
        <v>6793.0</v>
      </c>
      <c r="V26" s="31">
        <v>23951.0</v>
      </c>
      <c r="W26" s="31">
        <v>0.0</v>
      </c>
      <c r="X26" s="31">
        <v>2119.6</v>
      </c>
      <c r="Y26" s="31">
        <v>0.0</v>
      </c>
      <c r="Z26" s="34"/>
      <c r="AA26" s="34"/>
      <c r="AB26" s="5"/>
      <c r="AD26" s="22" t="s">
        <v>27</v>
      </c>
      <c r="AE26" s="25">
        <f t="shared" si="9"/>
        <v>1332348</v>
      </c>
      <c r="AF26" s="23">
        <f t="shared" si="10"/>
        <v>1486093</v>
      </c>
      <c r="AG26" s="63">
        <f t="shared" si="11"/>
        <v>1.115394026</v>
      </c>
      <c r="AH26" s="46"/>
      <c r="AI26" s="23">
        <f t="shared" si="12"/>
        <v>1332348</v>
      </c>
      <c r="AJ26" s="23">
        <f t="shared" si="13"/>
        <v>1476980</v>
      </c>
      <c r="AK26" s="63">
        <f t="shared" si="14"/>
        <v>1.108554222</v>
      </c>
      <c r="AL26" s="46"/>
      <c r="AM26" s="46"/>
      <c r="AN26" s="5"/>
    </row>
    <row r="27">
      <c r="A27" s="2"/>
      <c r="B27" s="66" t="s">
        <v>57</v>
      </c>
      <c r="C27" s="66"/>
      <c r="D27" s="67">
        <f>D26/D21</f>
        <v>1.14542502</v>
      </c>
      <c r="E27" s="2"/>
      <c r="F27" s="66" t="s">
        <v>57</v>
      </c>
      <c r="G27" s="66"/>
      <c r="H27" s="67">
        <f>H26/H21</f>
        <v>0.9348247779</v>
      </c>
      <c r="I27" s="2"/>
      <c r="J27" s="47"/>
      <c r="K27" s="29">
        <v>46046.0</v>
      </c>
      <c r="L27" s="30">
        <f t="shared" si="3"/>
        <v>17236472.72</v>
      </c>
      <c r="M27" s="32">
        <v>3218517.0</v>
      </c>
      <c r="N27" s="31">
        <v>2311041.0</v>
      </c>
      <c r="O27" s="31">
        <v>7087777.0</v>
      </c>
      <c r="P27" s="32">
        <v>4363050.0</v>
      </c>
      <c r="Q27" s="31">
        <v>81270.0</v>
      </c>
      <c r="R27" s="31">
        <v>82784.0</v>
      </c>
      <c r="S27" s="31">
        <v>15162.0</v>
      </c>
      <c r="T27" s="43">
        <v>50584.0</v>
      </c>
      <c r="U27" s="31">
        <v>0.0</v>
      </c>
      <c r="V27" s="31">
        <v>22682.0</v>
      </c>
      <c r="W27" s="31">
        <v>0.0</v>
      </c>
      <c r="X27" s="31">
        <v>1934.72</v>
      </c>
      <c r="Y27" s="31">
        <v>1671.0</v>
      </c>
      <c r="Z27" s="34"/>
      <c r="AA27" s="34"/>
      <c r="AB27" s="5"/>
      <c r="AC27" s="44" t="s">
        <v>37</v>
      </c>
      <c r="AD27" s="22" t="s">
        <v>19</v>
      </c>
      <c r="AE27" s="25">
        <f t="shared" si="9"/>
        <v>108947</v>
      </c>
      <c r="AF27" s="23">
        <f t="shared" si="10"/>
        <v>594263</v>
      </c>
      <c r="AG27" s="63">
        <f t="shared" si="11"/>
        <v>5.454606368</v>
      </c>
      <c r="AH27" s="46"/>
      <c r="AI27" s="23">
        <f t="shared" si="12"/>
        <v>108947</v>
      </c>
      <c r="AJ27" s="23">
        <f t="shared" si="13"/>
        <v>338963</v>
      </c>
      <c r="AK27" s="63">
        <f t="shared" si="14"/>
        <v>3.111265111</v>
      </c>
      <c r="AL27" s="46"/>
      <c r="AM27" s="46"/>
      <c r="AN27" s="5"/>
    </row>
    <row r="28">
      <c r="A28" s="2"/>
      <c r="B28" s="2"/>
      <c r="C28" s="2"/>
      <c r="D28" s="2"/>
      <c r="E28" s="2"/>
      <c r="F28" s="2"/>
      <c r="G28" s="2"/>
      <c r="H28" s="2"/>
      <c r="I28" s="2"/>
      <c r="J28" s="47"/>
      <c r="K28" s="29">
        <v>46047.0</v>
      </c>
      <c r="L28" s="30">
        <f t="shared" si="3"/>
        <v>18387426.5</v>
      </c>
      <c r="M28" s="32">
        <v>3209513.0</v>
      </c>
      <c r="N28" s="31">
        <v>2556223.0</v>
      </c>
      <c r="O28" s="31">
        <v>8207164.0</v>
      </c>
      <c r="P28" s="32">
        <v>4081725.0</v>
      </c>
      <c r="Q28" s="31">
        <v>134816.0</v>
      </c>
      <c r="R28" s="31">
        <v>89292.0</v>
      </c>
      <c r="S28" s="31">
        <v>21601.0</v>
      </c>
      <c r="T28" s="31">
        <v>51382.0</v>
      </c>
      <c r="U28" s="31">
        <v>14338.0</v>
      </c>
      <c r="V28" s="31">
        <v>19152.0</v>
      </c>
      <c r="W28" s="31">
        <v>1721.5</v>
      </c>
      <c r="X28" s="31">
        <v>499.0</v>
      </c>
      <c r="Y28" s="33"/>
      <c r="Z28" s="34"/>
      <c r="AA28" s="34"/>
      <c r="AB28" s="5"/>
      <c r="AD28" s="22" t="s">
        <v>27</v>
      </c>
      <c r="AE28" s="25">
        <f t="shared" si="9"/>
        <v>787175</v>
      </c>
      <c r="AF28" s="23">
        <f t="shared" si="10"/>
        <v>954144</v>
      </c>
      <c r="AG28" s="63">
        <f t="shared" si="11"/>
        <v>1.212111665</v>
      </c>
      <c r="AH28" s="46"/>
      <c r="AI28" s="23">
        <f t="shared" si="12"/>
        <v>787175</v>
      </c>
      <c r="AJ28" s="23">
        <f t="shared" si="13"/>
        <v>847522</v>
      </c>
      <c r="AK28" s="63">
        <f t="shared" si="14"/>
        <v>1.07666275</v>
      </c>
      <c r="AL28" s="46"/>
      <c r="AM28" s="46"/>
      <c r="AN28" s="5"/>
    </row>
    <row r="29">
      <c r="A29" s="2"/>
      <c r="B29" s="68" t="s">
        <v>58</v>
      </c>
      <c r="C29" s="17"/>
      <c r="D29" s="17"/>
      <c r="E29" s="17"/>
      <c r="F29" s="17"/>
      <c r="G29" s="17"/>
      <c r="H29" s="18"/>
      <c r="I29" s="2"/>
      <c r="J29" s="30"/>
      <c r="K29" s="29">
        <v>46048.0</v>
      </c>
      <c r="L29" s="30">
        <f t="shared" si="3"/>
        <v>17262930</v>
      </c>
      <c r="M29" s="32">
        <v>2821820.0</v>
      </c>
      <c r="N29" s="31">
        <v>2460326.0</v>
      </c>
      <c r="O29" s="31">
        <v>7796368.0</v>
      </c>
      <c r="P29" s="32">
        <v>3864302.0</v>
      </c>
      <c r="Q29" s="31">
        <v>132330.0</v>
      </c>
      <c r="R29" s="31">
        <v>79854.0</v>
      </c>
      <c r="S29" s="31">
        <v>17500.0</v>
      </c>
      <c r="T29" s="31">
        <v>65196.0</v>
      </c>
      <c r="U29" s="31">
        <v>12731.0</v>
      </c>
      <c r="V29" s="31">
        <v>11897.0</v>
      </c>
      <c r="W29" s="31">
        <v>0.0</v>
      </c>
      <c r="X29" s="31">
        <v>606.0</v>
      </c>
      <c r="Y29" s="33"/>
      <c r="Z29" s="34"/>
      <c r="AA29" s="34"/>
      <c r="AB29" s="5"/>
      <c r="AC29" s="24"/>
      <c r="AD29" s="24"/>
      <c r="AE29" s="52">
        <f t="shared" ref="AE29:AF29" si="15">SUM(AE19:AE28)</f>
        <v>417248712.5</v>
      </c>
      <c r="AF29" s="52">
        <f t="shared" si="15"/>
        <v>538714870.5</v>
      </c>
      <c r="AG29" s="69">
        <f t="shared" si="11"/>
        <v>1.291112122</v>
      </c>
      <c r="AH29" s="24"/>
      <c r="AI29" s="52">
        <f t="shared" ref="AI29:AJ29" si="16">SUM(AI19:AI24)</f>
        <v>414678667.5</v>
      </c>
      <c r="AJ29" s="52">
        <f t="shared" si="16"/>
        <v>517543369.3</v>
      </c>
      <c r="AK29" s="69">
        <f t="shared" si="14"/>
        <v>1.248058822</v>
      </c>
      <c r="AL29" s="24"/>
      <c r="AM29" s="24"/>
      <c r="AN29" s="5"/>
    </row>
    <row r="30">
      <c r="A30" s="2"/>
      <c r="B30" s="70" t="str">
        <f>B4</f>
        <v>Биг–Л / Январь | до </v>
      </c>
      <c r="C30" s="17"/>
      <c r="D30" s="28">
        <f>$D$4</f>
        <v>46053</v>
      </c>
      <c r="E30" s="2"/>
      <c r="F30" s="70" t="str">
        <f>F4</f>
        <v>Смарт/ Январь| до </v>
      </c>
      <c r="G30" s="17"/>
      <c r="H30" s="28">
        <f>$D$4</f>
        <v>46053</v>
      </c>
      <c r="I30" s="2"/>
      <c r="J30" s="30"/>
      <c r="K30" s="29">
        <v>46049.0</v>
      </c>
      <c r="L30" s="30">
        <f t="shared" si="3"/>
        <v>17041905.1</v>
      </c>
      <c r="M30" s="32">
        <v>2794855.0</v>
      </c>
      <c r="N30" s="31">
        <v>3064152.1</v>
      </c>
      <c r="O30" s="31">
        <v>6673030.0</v>
      </c>
      <c r="P30" s="32">
        <v>4242575.0</v>
      </c>
      <c r="Q30" s="31">
        <v>109414.0</v>
      </c>
      <c r="R30" s="31">
        <v>78086.0</v>
      </c>
      <c r="S30" s="31">
        <v>17404.0</v>
      </c>
      <c r="T30" s="31">
        <v>41577.0</v>
      </c>
      <c r="U30" s="31">
        <v>10202.0</v>
      </c>
      <c r="V30" s="31">
        <v>9903.0</v>
      </c>
      <c r="W30" s="31">
        <v>0.0</v>
      </c>
      <c r="X30" s="31">
        <v>707.0</v>
      </c>
      <c r="Y30" s="33"/>
      <c r="Z30" s="34"/>
      <c r="AA30" s="34"/>
      <c r="AB30" s="5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5"/>
    </row>
    <row r="31">
      <c r="A31" s="35">
        <f t="shared" ref="A31:A32" si="17">IFERROR(C31/$C$33, " ")</f>
        <v>0.7738596979</v>
      </c>
      <c r="B31" s="41" t="s">
        <v>59</v>
      </c>
      <c r="C31" s="31">
        <v>7405850.0</v>
      </c>
      <c r="D31" s="71"/>
      <c r="E31" s="2"/>
      <c r="F31" s="41" t="s">
        <v>59</v>
      </c>
      <c r="G31" s="31">
        <v>5522659.0</v>
      </c>
      <c r="H31" s="53"/>
      <c r="I31" s="35">
        <f t="shared" ref="I31:I32" si="18">IFERROR(G31/$G$33, " ")</f>
        <v>0.9723895622</v>
      </c>
      <c r="J31" s="47"/>
      <c r="K31" s="29">
        <v>46050.0</v>
      </c>
      <c r="L31" s="30">
        <f t="shared" si="3"/>
        <v>17583543</v>
      </c>
      <c r="M31" s="32">
        <v>3017452.0</v>
      </c>
      <c r="N31" s="31">
        <v>2834095.0</v>
      </c>
      <c r="O31" s="31">
        <v>6280295.0</v>
      </c>
      <c r="P31" s="32">
        <v>5172583.0</v>
      </c>
      <c r="Q31" s="31">
        <v>101257.0</v>
      </c>
      <c r="R31" s="31">
        <v>77444.0</v>
      </c>
      <c r="S31" s="31">
        <v>16060.0</v>
      </c>
      <c r="T31" s="31">
        <v>58970.0</v>
      </c>
      <c r="U31" s="31">
        <v>11046.0</v>
      </c>
      <c r="V31" s="31">
        <v>13929.0</v>
      </c>
      <c r="W31" s="31">
        <v>0.0</v>
      </c>
      <c r="X31" s="31">
        <v>412.0</v>
      </c>
      <c r="Y31" s="33"/>
      <c r="Z31" s="34"/>
      <c r="AA31" s="34"/>
      <c r="AB31" s="5"/>
      <c r="AC31" s="72" t="s">
        <v>60</v>
      </c>
      <c r="AE31" s="14" t="s">
        <v>17</v>
      </c>
      <c r="AF31" s="14" t="s">
        <v>61</v>
      </c>
      <c r="AG31" s="14" t="s">
        <v>62</v>
      </c>
      <c r="AH31" s="46"/>
      <c r="AI31" s="73" t="s">
        <v>63</v>
      </c>
      <c r="AJ31" s="73" t="s">
        <v>64</v>
      </c>
      <c r="AK31" s="14" t="s">
        <v>48</v>
      </c>
      <c r="AL31" s="24"/>
      <c r="AM31" s="24"/>
      <c r="AN31" s="5"/>
    </row>
    <row r="32">
      <c r="A32" s="35">
        <f t="shared" si="17"/>
        <v>0.2261403021</v>
      </c>
      <c r="B32" s="39" t="s">
        <v>65</v>
      </c>
      <c r="C32" s="32">
        <v>2164166.4</v>
      </c>
      <c r="D32" s="74"/>
      <c r="E32" s="2"/>
      <c r="F32" s="39" t="s">
        <v>65</v>
      </c>
      <c r="G32" s="32">
        <v>156812.7</v>
      </c>
      <c r="H32" s="53"/>
      <c r="I32" s="35">
        <f t="shared" si="18"/>
        <v>0.02761043778</v>
      </c>
      <c r="J32" s="47"/>
      <c r="K32" s="29">
        <v>46051.0</v>
      </c>
      <c r="L32" s="30">
        <f t="shared" si="3"/>
        <v>19036655.2</v>
      </c>
      <c r="M32" s="32">
        <v>3497809.0</v>
      </c>
      <c r="N32" s="31">
        <v>3194764.0</v>
      </c>
      <c r="O32" s="31">
        <v>6253583.0</v>
      </c>
      <c r="P32" s="32">
        <v>5723933.0</v>
      </c>
      <c r="Q32" s="31">
        <v>102004.0</v>
      </c>
      <c r="R32" s="31">
        <v>98401.0</v>
      </c>
      <c r="S32" s="31">
        <v>12647.0</v>
      </c>
      <c r="T32" s="31">
        <v>49844.0</v>
      </c>
      <c r="U32" s="31">
        <v>14099.0</v>
      </c>
      <c r="V32" s="31">
        <v>88643.0</v>
      </c>
      <c r="W32" s="31">
        <v>0.0</v>
      </c>
      <c r="X32" s="31">
        <v>928.2</v>
      </c>
      <c r="Y32" s="33"/>
      <c r="Z32" s="34"/>
      <c r="AA32" s="34"/>
      <c r="AB32" s="5"/>
      <c r="AC32" s="21" t="s">
        <v>24</v>
      </c>
      <c r="AD32" s="22" t="s">
        <v>19</v>
      </c>
      <c r="AE32" s="23">
        <f t="shared" ref="AE32:AE41" si="19">AM3</f>
        <v>198719614</v>
      </c>
      <c r="AF32" s="23">
        <f>C51</f>
        <v>4572564</v>
      </c>
      <c r="AG32" s="63">
        <f t="shared" ref="AG32:AG42" si="20">AF32/AE32</f>
        <v>0.02301012924</v>
      </c>
      <c r="AH32" s="46">
        <f t="shared" ref="AH32:AH42" si="21">AE32/(AE32+AE33)</f>
        <v>0.5917427881</v>
      </c>
      <c r="AI32" s="63">
        <f>C36</f>
        <v>0.07</v>
      </c>
      <c r="AJ32" s="63">
        <f t="shared" ref="AJ32:AJ42" si="22">AG32</f>
        <v>0.02301012924</v>
      </c>
      <c r="AK32" s="63">
        <f t="shared" ref="AK32:AK42" si="23">AJ32/AI32-1</f>
        <v>-0.671283868</v>
      </c>
      <c r="AL32" s="24"/>
      <c r="AM32" s="24"/>
      <c r="AN32" s="5"/>
    </row>
    <row r="33">
      <c r="A33" s="2"/>
      <c r="B33" s="41" t="s">
        <v>42</v>
      </c>
      <c r="C33" s="32">
        <f>SUM(C31:C32)</f>
        <v>9570016.4</v>
      </c>
      <c r="D33" s="40"/>
      <c r="E33" s="2"/>
      <c r="F33" s="41" t="s">
        <v>42</v>
      </c>
      <c r="G33" s="32">
        <f>SUM(G31:G32)</f>
        <v>5679471.7</v>
      </c>
      <c r="H33" s="40"/>
      <c r="I33" s="2"/>
      <c r="J33" s="47"/>
      <c r="K33" s="29">
        <v>46052.0</v>
      </c>
      <c r="L33" s="30">
        <f t="shared" si="3"/>
        <v>18776797</v>
      </c>
      <c r="M33" s="32">
        <v>3753135.0</v>
      </c>
      <c r="N33" s="31">
        <v>2542336.0</v>
      </c>
      <c r="O33" s="31">
        <v>6120832.0</v>
      </c>
      <c r="P33" s="32">
        <v>5913138.0</v>
      </c>
      <c r="Q33" s="31">
        <v>76364.0</v>
      </c>
      <c r="R33" s="31">
        <v>81417.0</v>
      </c>
      <c r="S33" s="31">
        <v>59578.0</v>
      </c>
      <c r="T33" s="31">
        <v>159684.0</v>
      </c>
      <c r="U33" s="31">
        <v>2950.0</v>
      </c>
      <c r="V33" s="31">
        <v>64373.0</v>
      </c>
      <c r="W33" s="31">
        <v>0.0</v>
      </c>
      <c r="X33" s="31">
        <v>2990.0</v>
      </c>
      <c r="Y33" s="33"/>
      <c r="Z33" s="34"/>
      <c r="AA33" s="34"/>
      <c r="AB33" s="21"/>
      <c r="AD33" s="22" t="s">
        <v>27</v>
      </c>
      <c r="AE33" s="23">
        <f t="shared" si="19"/>
        <v>137101317</v>
      </c>
      <c r="AF33" s="23">
        <f>G51</f>
        <v>3391496</v>
      </c>
      <c r="AG33" s="63">
        <f t="shared" si="20"/>
        <v>0.02473715114</v>
      </c>
      <c r="AH33" s="46">
        <f t="shared" si="21"/>
        <v>0.5749507198</v>
      </c>
      <c r="AI33" s="63">
        <f>G36</f>
        <v>0.07</v>
      </c>
      <c r="AJ33" s="63">
        <f t="shared" si="22"/>
        <v>0.02473715114</v>
      </c>
      <c r="AK33" s="63">
        <f t="shared" si="23"/>
        <v>-0.6466121266</v>
      </c>
      <c r="AL33" s="5"/>
      <c r="AM33" s="24"/>
      <c r="AN33" s="21"/>
    </row>
    <row r="34">
      <c r="A34" s="2"/>
      <c r="B34" s="41" t="s">
        <v>43</v>
      </c>
      <c r="C34" s="2"/>
      <c r="D34" s="54">
        <f>O35</f>
        <v>199495328</v>
      </c>
      <c r="E34" s="4">
        <v>7.347483E7</v>
      </c>
      <c r="F34" s="41" t="s">
        <v>43</v>
      </c>
      <c r="G34" s="2"/>
      <c r="H34" s="54">
        <f>P35</f>
        <v>138055387</v>
      </c>
      <c r="J34" s="56">
        <f>I35/H34</f>
        <v>0.1435493857</v>
      </c>
      <c r="K34" s="29">
        <v>46053.0</v>
      </c>
      <c r="L34" s="30">
        <f t="shared" si="3"/>
        <v>20892450</v>
      </c>
      <c r="M34" s="32">
        <v>4101445.0</v>
      </c>
      <c r="N34" s="31">
        <v>2740713.0</v>
      </c>
      <c r="O34" s="31">
        <v>7285573.0</v>
      </c>
      <c r="P34" s="32">
        <v>6365044.0</v>
      </c>
      <c r="Q34" s="31">
        <v>124548.0</v>
      </c>
      <c r="R34" s="31">
        <v>93494.0</v>
      </c>
      <c r="S34" s="31">
        <v>17076.0</v>
      </c>
      <c r="T34" s="31">
        <v>76743.0</v>
      </c>
      <c r="U34" s="31">
        <v>14257.0</v>
      </c>
      <c r="V34" s="31">
        <v>73066.0</v>
      </c>
      <c r="W34" s="31">
        <v>0.0</v>
      </c>
      <c r="X34" s="31">
        <v>491.0</v>
      </c>
      <c r="Y34" s="33"/>
      <c r="Z34" s="34"/>
      <c r="AA34" s="34"/>
      <c r="AB34" s="5"/>
      <c r="AC34" s="21" t="s">
        <v>18</v>
      </c>
      <c r="AD34" s="22" t="s">
        <v>19</v>
      </c>
      <c r="AE34" s="23">
        <f t="shared" si="19"/>
        <v>101356193</v>
      </c>
      <c r="AF34" s="23">
        <f>C15</f>
        <v>15193291</v>
      </c>
      <c r="AG34" s="63">
        <f t="shared" si="20"/>
        <v>0.149899977</v>
      </c>
      <c r="AH34" s="46">
        <f t="shared" si="21"/>
        <v>0.5756787531</v>
      </c>
      <c r="AI34" s="63">
        <f>C18</f>
        <v>0.205</v>
      </c>
      <c r="AJ34" s="63">
        <f t="shared" si="22"/>
        <v>0.149899977</v>
      </c>
      <c r="AK34" s="63">
        <f t="shared" si="23"/>
        <v>-0.2687805999</v>
      </c>
      <c r="AL34" s="5"/>
      <c r="AM34" s="24"/>
      <c r="AN34" s="5"/>
    </row>
    <row r="35">
      <c r="A35" s="2"/>
      <c r="B35" s="41" t="s">
        <v>44</v>
      </c>
      <c r="C35" s="2"/>
      <c r="D35" s="57">
        <f>C33/D34</f>
        <v>0.04797113043</v>
      </c>
      <c r="E35" s="56">
        <f>E34/D34</f>
        <v>0.3683035124</v>
      </c>
      <c r="F35" s="41" t="s">
        <v>44</v>
      </c>
      <c r="G35" s="2"/>
      <c r="H35" s="57">
        <f>G33/H34</f>
        <v>0.04113908065</v>
      </c>
      <c r="I35" s="4">
        <v>1.9817766E7</v>
      </c>
      <c r="J35" s="47"/>
      <c r="K35" s="75">
        <f>L35/C1</f>
        <v>17381377.69</v>
      </c>
      <c r="L35" s="76">
        <f t="shared" ref="L35:AA35" si="24">SUM(L4:L34)</f>
        <v>538822708.5</v>
      </c>
      <c r="M35" s="30">
        <f t="shared" si="24"/>
        <v>110647711</v>
      </c>
      <c r="N35" s="30">
        <f t="shared" si="24"/>
        <v>80715472.5</v>
      </c>
      <c r="O35" s="30">
        <f t="shared" si="24"/>
        <v>199495328</v>
      </c>
      <c r="P35" s="30">
        <f t="shared" si="24"/>
        <v>138055387</v>
      </c>
      <c r="Q35" s="30">
        <f t="shared" si="24"/>
        <v>3639698</v>
      </c>
      <c r="R35" s="30">
        <f t="shared" si="24"/>
        <v>2771328</v>
      </c>
      <c r="S35" s="30">
        <f t="shared" si="24"/>
        <v>355446</v>
      </c>
      <c r="T35" s="30">
        <f t="shared" si="24"/>
        <v>1486093</v>
      </c>
      <c r="U35" s="30">
        <f t="shared" si="24"/>
        <v>594263</v>
      </c>
      <c r="V35" s="30">
        <f t="shared" si="24"/>
        <v>954144</v>
      </c>
      <c r="W35" s="30">
        <f t="shared" si="24"/>
        <v>16504.5</v>
      </c>
      <c r="X35" s="30">
        <f t="shared" si="24"/>
        <v>54552.52</v>
      </c>
      <c r="Y35" s="30">
        <f t="shared" si="24"/>
        <v>36781</v>
      </c>
      <c r="Z35" s="30">
        <f t="shared" si="24"/>
        <v>0</v>
      </c>
      <c r="AA35" s="30">
        <f t="shared" si="24"/>
        <v>0</v>
      </c>
      <c r="AB35" s="5"/>
      <c r="AD35" s="22" t="s">
        <v>27</v>
      </c>
      <c r="AE35" s="23">
        <f t="shared" si="19"/>
        <v>74707614.21</v>
      </c>
      <c r="AF35" s="23">
        <f>G15</f>
        <v>9554433</v>
      </c>
      <c r="AG35" s="63">
        <f t="shared" si="20"/>
        <v>0.1278910202</v>
      </c>
      <c r="AH35" s="46">
        <f t="shared" si="21"/>
        <v>0.9595407487</v>
      </c>
      <c r="AI35" s="63">
        <f>G18</f>
        <v>0.115</v>
      </c>
      <c r="AJ35" s="63">
        <f t="shared" si="22"/>
        <v>0.1278910202</v>
      </c>
      <c r="AK35" s="63">
        <f t="shared" si="23"/>
        <v>0.1120958281</v>
      </c>
      <c r="AL35" s="5"/>
      <c r="AM35" s="24"/>
      <c r="AN35" s="5"/>
    </row>
    <row r="36">
      <c r="A36" s="35">
        <f>D35/C36</f>
        <v>0.6853018633</v>
      </c>
      <c r="B36" s="41" t="s">
        <v>47</v>
      </c>
      <c r="C36" s="59">
        <v>0.07</v>
      </c>
      <c r="D36" s="54">
        <f>D34*C36</f>
        <v>13964672.96</v>
      </c>
      <c r="E36" s="4" t="s">
        <v>127</v>
      </c>
      <c r="F36" s="41" t="s">
        <v>47</v>
      </c>
      <c r="G36" s="59">
        <v>0.07</v>
      </c>
      <c r="H36" s="54">
        <f>H34*G36</f>
        <v>9663877.09</v>
      </c>
      <c r="I36" s="35">
        <f>H35/G36</f>
        <v>0.5877011521</v>
      </c>
      <c r="J36" s="47"/>
      <c r="K36" s="2"/>
      <c r="L36" s="2"/>
      <c r="M36" s="35">
        <f t="shared" ref="M36:AA36" si="25">M35/$L$35</f>
        <v>0.2053508682</v>
      </c>
      <c r="N36" s="35">
        <f t="shared" si="25"/>
        <v>0.1497996859</v>
      </c>
      <c r="O36" s="35">
        <f t="shared" si="25"/>
        <v>0.370242985</v>
      </c>
      <c r="P36" s="35">
        <f t="shared" si="25"/>
        <v>0.2562167199</v>
      </c>
      <c r="Q36" s="35">
        <f t="shared" si="25"/>
        <v>0.006754908326</v>
      </c>
      <c r="R36" s="35">
        <f t="shared" si="25"/>
        <v>0.005143302159</v>
      </c>
      <c r="S36" s="35">
        <f t="shared" si="25"/>
        <v>0.000659671529</v>
      </c>
      <c r="T36" s="35">
        <f t="shared" si="25"/>
        <v>0.002758037062</v>
      </c>
      <c r="U36" s="35">
        <f t="shared" si="25"/>
        <v>0.001102891527</v>
      </c>
      <c r="V36" s="35">
        <f t="shared" si="25"/>
        <v>0.001770793964</v>
      </c>
      <c r="W36" s="35">
        <f t="shared" si="25"/>
        <v>0.00003063066894</v>
      </c>
      <c r="X36" s="35">
        <f t="shared" si="25"/>
        <v>0.0001012439141</v>
      </c>
      <c r="Y36" s="35">
        <f t="shared" si="25"/>
        <v>0.00006826178522</v>
      </c>
      <c r="Z36" s="35">
        <f t="shared" si="25"/>
        <v>0</v>
      </c>
      <c r="AA36" s="35">
        <f t="shared" si="25"/>
        <v>0</v>
      </c>
      <c r="AB36" s="5"/>
      <c r="AC36" s="21" t="s">
        <v>31</v>
      </c>
      <c r="AD36" s="22" t="s">
        <v>19</v>
      </c>
      <c r="AE36" s="23">
        <f t="shared" si="19"/>
        <v>3150063.338</v>
      </c>
      <c r="AF36" s="23">
        <f>C72</f>
        <v>461196</v>
      </c>
      <c r="AG36" s="63">
        <f t="shared" si="20"/>
        <v>0.1464084847</v>
      </c>
      <c r="AH36" s="46">
        <f t="shared" si="21"/>
        <v>0.55668293</v>
      </c>
      <c r="AI36" s="63">
        <f>C75</f>
        <v>0.18</v>
      </c>
      <c r="AJ36" s="63">
        <f t="shared" si="22"/>
        <v>0.1464084847</v>
      </c>
      <c r="AK36" s="63">
        <f t="shared" si="23"/>
        <v>-0.1866195294</v>
      </c>
      <c r="AL36" s="5"/>
      <c r="AM36" s="24"/>
      <c r="AN36" s="5"/>
    </row>
    <row r="37">
      <c r="A37" s="2"/>
      <c r="B37" s="77" t="s">
        <v>50</v>
      </c>
      <c r="C37" s="61"/>
      <c r="D37" s="62">
        <f>C33-D36</f>
        <v>-4394656.56</v>
      </c>
      <c r="E37" s="2"/>
      <c r="F37" s="77" t="s">
        <v>50</v>
      </c>
      <c r="G37" s="61"/>
      <c r="H37" s="62">
        <f>G33-H36</f>
        <v>-3984405.39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5"/>
      <c r="AD37" s="22" t="s">
        <v>27</v>
      </c>
      <c r="AE37" s="23">
        <f t="shared" si="19"/>
        <v>2508567.757</v>
      </c>
      <c r="AF37" s="23">
        <f>G72</f>
        <v>482427</v>
      </c>
      <c r="AG37" s="63">
        <f t="shared" si="20"/>
        <v>0.1923117279</v>
      </c>
      <c r="AH37" s="46">
        <f t="shared" si="21"/>
        <v>0.8758923559</v>
      </c>
      <c r="AI37" s="63">
        <f>G75</f>
        <v>0.175</v>
      </c>
      <c r="AJ37" s="63">
        <f t="shared" si="22"/>
        <v>0.1923117279</v>
      </c>
      <c r="AK37" s="63">
        <f t="shared" si="23"/>
        <v>0.09892415957</v>
      </c>
      <c r="AL37" s="5"/>
      <c r="AM37" s="24"/>
      <c r="AN37" s="5"/>
    </row>
    <row r="38">
      <c r="A38" s="2"/>
      <c r="B38" s="2"/>
      <c r="C38" s="2"/>
      <c r="D38" s="2"/>
      <c r="E38" s="4"/>
      <c r="F38" s="2"/>
      <c r="G38" s="2"/>
      <c r="H38" s="2"/>
      <c r="I38" s="2"/>
      <c r="J38" s="2"/>
      <c r="K38" s="66" t="s">
        <v>66</v>
      </c>
      <c r="M38" s="78">
        <f>SUM(M40:N40)/$L$40</f>
        <v>0.3551505541</v>
      </c>
      <c r="N38" s="79"/>
      <c r="O38" s="78">
        <f>SUM(O40:P40)/$L$40</f>
        <v>0.626459705</v>
      </c>
      <c r="P38" s="79"/>
      <c r="Q38" s="78">
        <f>SUM(Q40:R40)/$L$40</f>
        <v>0.01189821048</v>
      </c>
      <c r="R38" s="79"/>
      <c r="S38" s="78">
        <f>SUM(S40:T40)/$L$40</f>
        <v>0.003417708591</v>
      </c>
      <c r="T38" s="79"/>
      <c r="U38" s="78">
        <f>SUM(U40:V40)/$L$40</f>
        <v>0.002873685492</v>
      </c>
      <c r="V38" s="79"/>
      <c r="W38" s="78">
        <f>SUM(W40:X40)/$L$40</f>
        <v>0.000131874583</v>
      </c>
      <c r="X38" s="79"/>
      <c r="Y38" s="78">
        <f>SUM(Y40:Z40)/$L$40</f>
        <v>0.00006826178522</v>
      </c>
      <c r="Z38" s="80"/>
      <c r="AA38" s="79"/>
      <c r="AB38" s="5"/>
      <c r="AC38" s="44" t="s">
        <v>34</v>
      </c>
      <c r="AD38" s="22" t="s">
        <v>19</v>
      </c>
      <c r="AE38" s="23">
        <f t="shared" si="19"/>
        <v>355446</v>
      </c>
      <c r="AF38" s="81">
        <v>0.0</v>
      </c>
      <c r="AG38" s="63">
        <f t="shared" si="20"/>
        <v>0</v>
      </c>
      <c r="AH38" s="46">
        <f t="shared" si="21"/>
        <v>0.1939756367</v>
      </c>
      <c r="AI38" s="82">
        <f>C91</f>
        <v>0.15</v>
      </c>
      <c r="AJ38" s="63">
        <f t="shared" si="22"/>
        <v>0</v>
      </c>
      <c r="AK38" s="63">
        <f t="shared" si="23"/>
        <v>-1</v>
      </c>
      <c r="AL38" s="46"/>
      <c r="AM38" s="46"/>
      <c r="AN38" s="5"/>
    </row>
    <row r="39">
      <c r="A39" s="2"/>
      <c r="B39" s="58" t="s">
        <v>51</v>
      </c>
      <c r="C39" s="58"/>
      <c r="D39" s="64">
        <f>O42</f>
        <v>113971735</v>
      </c>
      <c r="E39" s="2"/>
      <c r="F39" s="58" t="s">
        <v>51</v>
      </c>
      <c r="G39" s="58"/>
      <c r="H39" s="64">
        <f>P42</f>
        <v>110544589</v>
      </c>
      <c r="I39" s="2"/>
      <c r="J39" s="2"/>
      <c r="K39" s="2" t="s">
        <v>67</v>
      </c>
      <c r="L39" s="35">
        <f t="shared" ref="L39:AA39" si="26">L40/$L$40</f>
        <v>1</v>
      </c>
      <c r="M39" s="83">
        <f t="shared" si="26"/>
        <v>0.2053508682</v>
      </c>
      <c r="N39" s="84">
        <f t="shared" si="26"/>
        <v>0.1497996859</v>
      </c>
      <c r="O39" s="83">
        <f t="shared" si="26"/>
        <v>0.370242985</v>
      </c>
      <c r="P39" s="84">
        <f t="shared" si="26"/>
        <v>0.2562167199</v>
      </c>
      <c r="Q39" s="83">
        <f t="shared" si="26"/>
        <v>0.006754908326</v>
      </c>
      <c r="R39" s="84">
        <f t="shared" si="26"/>
        <v>0.005143302159</v>
      </c>
      <c r="S39" s="83">
        <f t="shared" si="26"/>
        <v>0.000659671529</v>
      </c>
      <c r="T39" s="84">
        <f t="shared" si="26"/>
        <v>0.002758037062</v>
      </c>
      <c r="U39" s="83">
        <f t="shared" si="26"/>
        <v>0.001102891527</v>
      </c>
      <c r="V39" s="84">
        <f t="shared" si="26"/>
        <v>0.001770793964</v>
      </c>
      <c r="W39" s="83">
        <f t="shared" si="26"/>
        <v>0.00003063066894</v>
      </c>
      <c r="X39" s="85">
        <f t="shared" si="26"/>
        <v>0.0001012439141</v>
      </c>
      <c r="Y39" s="83">
        <f t="shared" si="26"/>
        <v>0.00006826178522</v>
      </c>
      <c r="Z39" s="85">
        <f t="shared" si="26"/>
        <v>0</v>
      </c>
      <c r="AA39" s="84">
        <f t="shared" si="26"/>
        <v>0</v>
      </c>
      <c r="AB39" s="5"/>
      <c r="AD39" s="22" t="s">
        <v>27</v>
      </c>
      <c r="AE39" s="23">
        <f t="shared" si="19"/>
        <v>1476980</v>
      </c>
      <c r="AF39" s="81">
        <v>0.0</v>
      </c>
      <c r="AG39" s="63">
        <f t="shared" si="20"/>
        <v>0</v>
      </c>
      <c r="AH39" s="46">
        <f t="shared" si="21"/>
        <v>0.8133405068</v>
      </c>
      <c r="AI39" s="82">
        <f>G91</f>
        <v>0.15</v>
      </c>
      <c r="AJ39" s="63">
        <f t="shared" si="22"/>
        <v>0</v>
      </c>
      <c r="AK39" s="63">
        <f t="shared" si="23"/>
        <v>-1</v>
      </c>
      <c r="AL39" s="46"/>
      <c r="AM39" s="46"/>
      <c r="AN39" s="5"/>
    </row>
    <row r="40">
      <c r="A40" s="2"/>
      <c r="B40" s="2" t="s">
        <v>52</v>
      </c>
      <c r="C40" s="2"/>
      <c r="D40" s="30">
        <f>D34/$C$1</f>
        <v>6435333.161</v>
      </c>
      <c r="E40" s="2"/>
      <c r="F40" s="2" t="s">
        <v>52</v>
      </c>
      <c r="G40" s="2"/>
      <c r="H40" s="30">
        <f>H34/$C$1</f>
        <v>4453399.581</v>
      </c>
      <c r="I40" s="2"/>
      <c r="J40" s="2"/>
      <c r="K40" s="2" t="s">
        <v>68</v>
      </c>
      <c r="L40" s="76">
        <f t="shared" ref="L40:AA40" si="27">L35/$C$1*$G$1</f>
        <v>538822708.5</v>
      </c>
      <c r="M40" s="30">
        <f t="shared" si="27"/>
        <v>110647711</v>
      </c>
      <c r="N40" s="30">
        <f t="shared" si="27"/>
        <v>80715472.5</v>
      </c>
      <c r="O40" s="30">
        <f t="shared" si="27"/>
        <v>199495328</v>
      </c>
      <c r="P40" s="30">
        <f t="shared" si="27"/>
        <v>138055387</v>
      </c>
      <c r="Q40" s="30">
        <f t="shared" si="27"/>
        <v>3639698</v>
      </c>
      <c r="R40" s="30">
        <f t="shared" si="27"/>
        <v>2771328</v>
      </c>
      <c r="S40" s="30">
        <f t="shared" si="27"/>
        <v>355446</v>
      </c>
      <c r="T40" s="30">
        <f t="shared" si="27"/>
        <v>1486093</v>
      </c>
      <c r="U40" s="30">
        <f t="shared" si="27"/>
        <v>594263</v>
      </c>
      <c r="V40" s="30">
        <f t="shared" si="27"/>
        <v>954144</v>
      </c>
      <c r="W40" s="30">
        <f t="shared" si="27"/>
        <v>16504.5</v>
      </c>
      <c r="X40" s="30">
        <f t="shared" si="27"/>
        <v>54552.52</v>
      </c>
      <c r="Y40" s="30">
        <f t="shared" si="27"/>
        <v>36781</v>
      </c>
      <c r="Z40" s="30">
        <f t="shared" si="27"/>
        <v>0</v>
      </c>
      <c r="AA40" s="30">
        <f t="shared" si="27"/>
        <v>0</v>
      </c>
      <c r="AB40" s="5"/>
      <c r="AC40" s="44" t="s">
        <v>37</v>
      </c>
      <c r="AD40" s="22" t="s">
        <v>19</v>
      </c>
      <c r="AE40" s="23">
        <f t="shared" si="19"/>
        <v>338963</v>
      </c>
      <c r="AF40" s="81">
        <v>0.0</v>
      </c>
      <c r="AG40" s="63">
        <f t="shared" si="20"/>
        <v>0</v>
      </c>
      <c r="AH40" s="46">
        <f t="shared" si="21"/>
        <v>0.2856867133</v>
      </c>
      <c r="AI40" s="82">
        <v>0.0</v>
      </c>
      <c r="AJ40" s="63">
        <f t="shared" si="22"/>
        <v>0</v>
      </c>
      <c r="AK40" s="63" t="str">
        <f t="shared" si="23"/>
        <v>#DIV/0!</v>
      </c>
      <c r="AL40" s="46"/>
      <c r="AM40" s="46"/>
      <c r="AN40" s="5"/>
    </row>
    <row r="41">
      <c r="A41" s="2"/>
      <c r="B41" s="2" t="s">
        <v>53</v>
      </c>
      <c r="C41" s="2"/>
      <c r="D41" s="30">
        <f>D39/$G$1*$C$1</f>
        <v>113971735</v>
      </c>
      <c r="E41" s="2"/>
      <c r="F41" s="2" t="s">
        <v>53</v>
      </c>
      <c r="G41" s="2"/>
      <c r="H41" s="30">
        <f>H39/$G$1*$C$1</f>
        <v>110544589</v>
      </c>
      <c r="I41" s="2"/>
      <c r="J41" s="2"/>
      <c r="K41" s="2" t="s">
        <v>52</v>
      </c>
      <c r="L41" s="76">
        <f t="shared" ref="L41:AA41" si="28">L35/$C$1</f>
        <v>17381377.69</v>
      </c>
      <c r="M41" s="30">
        <f t="shared" si="28"/>
        <v>3569281</v>
      </c>
      <c r="N41" s="30">
        <f t="shared" si="28"/>
        <v>2603724.919</v>
      </c>
      <c r="O41" s="30">
        <f t="shared" si="28"/>
        <v>6435333.161</v>
      </c>
      <c r="P41" s="30">
        <f t="shared" si="28"/>
        <v>4453399.581</v>
      </c>
      <c r="Q41" s="30">
        <f t="shared" si="28"/>
        <v>117409.6129</v>
      </c>
      <c r="R41" s="30">
        <f t="shared" si="28"/>
        <v>89397.67742</v>
      </c>
      <c r="S41" s="30">
        <f t="shared" si="28"/>
        <v>11466</v>
      </c>
      <c r="T41" s="30">
        <f t="shared" si="28"/>
        <v>47938.48387</v>
      </c>
      <c r="U41" s="30">
        <f t="shared" si="28"/>
        <v>19169.77419</v>
      </c>
      <c r="V41" s="30">
        <f t="shared" si="28"/>
        <v>30778.83871</v>
      </c>
      <c r="W41" s="30">
        <f t="shared" si="28"/>
        <v>532.4032258</v>
      </c>
      <c r="X41" s="30">
        <f t="shared" si="28"/>
        <v>1759.75871</v>
      </c>
      <c r="Y41" s="30">
        <f t="shared" si="28"/>
        <v>1186.483871</v>
      </c>
      <c r="Z41" s="30">
        <f t="shared" si="28"/>
        <v>0</v>
      </c>
      <c r="AA41" s="30">
        <f t="shared" si="28"/>
        <v>0</v>
      </c>
      <c r="AB41" s="5"/>
      <c r="AD41" s="22" t="s">
        <v>27</v>
      </c>
      <c r="AE41" s="23">
        <f t="shared" si="19"/>
        <v>847522</v>
      </c>
      <c r="AF41" s="81">
        <v>0.0</v>
      </c>
      <c r="AG41" s="63">
        <f t="shared" si="20"/>
        <v>0</v>
      </c>
      <c r="AH41" s="46">
        <f t="shared" si="21"/>
        <v>0.001625443166</v>
      </c>
      <c r="AI41" s="82">
        <v>0.0</v>
      </c>
      <c r="AJ41" s="63">
        <f t="shared" si="22"/>
        <v>0</v>
      </c>
      <c r="AK41" s="63" t="str">
        <f t="shared" si="23"/>
        <v>#DIV/0!</v>
      </c>
      <c r="AL41" s="46"/>
      <c r="AM41" s="46"/>
      <c r="AN41" s="5"/>
    </row>
    <row r="42">
      <c r="A42" s="2"/>
      <c r="B42" s="2" t="s">
        <v>54</v>
      </c>
      <c r="C42" s="2"/>
      <c r="D42" s="30" t="str">
        <f>(D39-D34)/($G$1-$C$1)</f>
        <v>#DIV/0!</v>
      </c>
      <c r="E42" s="2"/>
      <c r="F42" s="2" t="s">
        <v>54</v>
      </c>
      <c r="G42" s="2"/>
      <c r="H42" s="30" t="str">
        <f>(H39-H34)/($G$1-$C$1)</f>
        <v>#DIV/0!</v>
      </c>
      <c r="I42" s="2"/>
      <c r="J42" s="2"/>
      <c r="K42" s="2" t="s">
        <v>69</v>
      </c>
      <c r="L42" s="76">
        <f>SUM(M42:V42)</f>
        <v>417248712.5</v>
      </c>
      <c r="M42" s="30">
        <f>'Декабрь 25'!M35</f>
        <v>96599698</v>
      </c>
      <c r="N42" s="30">
        <f>'Декабрь 25'!N35</f>
        <v>86342889.5</v>
      </c>
      <c r="O42" s="30">
        <f>'Декабрь 25'!O35</f>
        <v>113971735</v>
      </c>
      <c r="P42" s="30">
        <f>'Декабрь 25'!P35</f>
        <v>110544589</v>
      </c>
      <c r="Q42" s="30">
        <f>'Декабрь 25'!Q35</f>
        <v>3741104</v>
      </c>
      <c r="R42" s="30">
        <f>'Декабрь 25'!R35</f>
        <v>3478652</v>
      </c>
      <c r="S42" s="30">
        <f>'Декабрь 25'!S35</f>
        <v>341575</v>
      </c>
      <c r="T42" s="30">
        <f>'Декабрь 25'!T35</f>
        <v>1332348</v>
      </c>
      <c r="U42" s="30">
        <f>'Декабрь 25'!U35</f>
        <v>108947</v>
      </c>
      <c r="V42" s="30">
        <f>'Декабрь 25'!V35</f>
        <v>787175</v>
      </c>
      <c r="W42" s="30">
        <f>'Декабрь 25'!W35</f>
        <v>4715.92</v>
      </c>
      <c r="X42" s="30">
        <f>'Декабрь 25'!X35</f>
        <v>36021.18</v>
      </c>
      <c r="Y42" s="118">
        <v>1.0</v>
      </c>
      <c r="Z42" s="118">
        <v>0.0</v>
      </c>
      <c r="AA42" s="118">
        <v>0.0</v>
      </c>
      <c r="AB42" s="5"/>
      <c r="AC42" s="5"/>
      <c r="AD42" s="5"/>
      <c r="AE42" s="52">
        <f t="shared" ref="AE42:AF42" si="29">SUM(AE32:AE41)</f>
        <v>520562280.3</v>
      </c>
      <c r="AF42" s="52">
        <f t="shared" si="29"/>
        <v>33655407</v>
      </c>
      <c r="AG42" s="69">
        <f t="shared" si="20"/>
        <v>0.06465202777</v>
      </c>
      <c r="AH42" s="46">
        <f t="shared" si="21"/>
        <v>1</v>
      </c>
      <c r="AI42" s="69">
        <f>F142</f>
        <v>0.1061309164</v>
      </c>
      <c r="AJ42" s="69">
        <f t="shared" si="22"/>
        <v>0.06465202777</v>
      </c>
      <c r="AK42" s="69">
        <f t="shared" si="23"/>
        <v>-0.3908275745</v>
      </c>
      <c r="AL42" s="5"/>
      <c r="AM42" s="5"/>
      <c r="AN42" s="5"/>
    </row>
    <row r="43">
      <c r="A43" s="2"/>
      <c r="B43" s="2" t="s">
        <v>55</v>
      </c>
      <c r="C43" s="2"/>
      <c r="D43" s="30">
        <f>D34-D41</f>
        <v>85523593</v>
      </c>
      <c r="E43" s="2"/>
      <c r="F43" s="2" t="s">
        <v>55</v>
      </c>
      <c r="G43" s="2"/>
      <c r="H43" s="30">
        <f>H34-H41</f>
        <v>27510798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5"/>
      <c r="AC43" s="46"/>
      <c r="AD43" s="46"/>
      <c r="AE43" s="46"/>
      <c r="AF43" s="46"/>
      <c r="AG43" s="46"/>
      <c r="AH43" s="46"/>
      <c r="AI43" s="46"/>
      <c r="AJ43" s="46"/>
      <c r="AK43" s="46"/>
      <c r="AL43" s="55"/>
      <c r="AM43" s="55"/>
      <c r="AN43" s="5"/>
    </row>
    <row r="44">
      <c r="A44" s="2"/>
      <c r="B44" s="2" t="s">
        <v>56</v>
      </c>
      <c r="C44" s="2"/>
      <c r="D44" s="30">
        <f>D34/$C$1*$G$1</f>
        <v>199495328</v>
      </c>
      <c r="E44" s="2"/>
      <c r="F44" s="2" t="s">
        <v>56</v>
      </c>
      <c r="G44" s="2"/>
      <c r="H44" s="30">
        <f>H34/$C$1*$G$1</f>
        <v>138055387</v>
      </c>
      <c r="I44" s="2"/>
      <c r="J44" s="2"/>
      <c r="K44" s="44" t="s">
        <v>70</v>
      </c>
      <c r="L44" s="45">
        <f>SUM(M44:X44)</f>
        <v>40940835.1</v>
      </c>
      <c r="M44" s="45">
        <f>C15</f>
        <v>15193291</v>
      </c>
      <c r="N44" s="45">
        <f>G15</f>
        <v>9554433</v>
      </c>
      <c r="O44" s="45">
        <f>C33</f>
        <v>9570016.4</v>
      </c>
      <c r="P44" s="45">
        <f>G33</f>
        <v>5679471.7</v>
      </c>
      <c r="Q44" s="45">
        <f>C72</f>
        <v>461196</v>
      </c>
      <c r="R44" s="45">
        <f>G72</f>
        <v>482427</v>
      </c>
      <c r="S44" s="45" t="str">
        <f>C88</f>
        <v/>
      </c>
      <c r="T44" s="45" t="str">
        <f>G88</f>
        <v/>
      </c>
      <c r="U44" s="81">
        <v>0.0</v>
      </c>
      <c r="V44" s="81">
        <v>0.0</v>
      </c>
      <c r="W44" s="81">
        <v>0.0</v>
      </c>
      <c r="X44" s="81">
        <v>0.0</v>
      </c>
      <c r="Y44" s="81">
        <v>0.0</v>
      </c>
      <c r="Z44" s="81">
        <v>0.0</v>
      </c>
      <c r="AA44" s="81">
        <v>0.0</v>
      </c>
      <c r="AB44" s="5"/>
      <c r="AC44" s="72" t="s">
        <v>71</v>
      </c>
      <c r="AE44" s="14" t="s">
        <v>17</v>
      </c>
      <c r="AF44" s="14" t="s">
        <v>61</v>
      </c>
      <c r="AG44" s="14" t="s">
        <v>62</v>
      </c>
      <c r="AH44" s="24"/>
      <c r="AI44" s="73" t="s">
        <v>63</v>
      </c>
      <c r="AJ44" s="73" t="s">
        <v>64</v>
      </c>
      <c r="AK44" s="14" t="s">
        <v>48</v>
      </c>
      <c r="AL44" s="5"/>
      <c r="AM44" s="5"/>
      <c r="AN44" s="5"/>
    </row>
    <row r="45">
      <c r="A45" s="2"/>
      <c r="B45" s="66" t="s">
        <v>57</v>
      </c>
      <c r="C45" s="66"/>
      <c r="D45" s="67">
        <f>D44/D39</f>
        <v>1.750393008</v>
      </c>
      <c r="E45" s="2"/>
      <c r="F45" s="66" t="s">
        <v>57</v>
      </c>
      <c r="G45" s="66"/>
      <c r="H45" s="67">
        <f>H44/H39</f>
        <v>1.248866075</v>
      </c>
      <c r="I45" s="2"/>
      <c r="J45" s="2"/>
      <c r="K45" s="44" t="s">
        <v>72</v>
      </c>
      <c r="L45" s="82">
        <f>L44/L35</f>
        <v>0.07598201496</v>
      </c>
      <c r="M45" s="82">
        <f t="shared" ref="M45:AA45" si="30">IFERROR(M44/M35, " ")</f>
        <v>0.1373122938</v>
      </c>
      <c r="N45" s="82">
        <f t="shared" si="30"/>
        <v>0.1183717657</v>
      </c>
      <c r="O45" s="82">
        <f t="shared" si="30"/>
        <v>0.04797113043</v>
      </c>
      <c r="P45" s="82">
        <f t="shared" si="30"/>
        <v>0.04113908065</v>
      </c>
      <c r="Q45" s="82">
        <f t="shared" si="30"/>
        <v>0.1267127108</v>
      </c>
      <c r="R45" s="82">
        <f t="shared" si="30"/>
        <v>0.174077915</v>
      </c>
      <c r="S45" s="82">
        <f t="shared" si="30"/>
        <v>0</v>
      </c>
      <c r="T45" s="82">
        <f t="shared" si="30"/>
        <v>0</v>
      </c>
      <c r="U45" s="82">
        <f t="shared" si="30"/>
        <v>0</v>
      </c>
      <c r="V45" s="82">
        <f t="shared" si="30"/>
        <v>0</v>
      </c>
      <c r="W45" s="82">
        <f t="shared" si="30"/>
        <v>0</v>
      </c>
      <c r="X45" s="82">
        <f t="shared" si="30"/>
        <v>0</v>
      </c>
      <c r="Y45" s="82">
        <f t="shared" si="30"/>
        <v>0</v>
      </c>
      <c r="Z45" s="82" t="str">
        <f t="shared" si="30"/>
        <v> </v>
      </c>
      <c r="AA45" s="82" t="str">
        <f t="shared" si="30"/>
        <v> </v>
      </c>
      <c r="AB45" s="5"/>
      <c r="AC45" s="21" t="s">
        <v>24</v>
      </c>
      <c r="AD45" s="22" t="s">
        <v>19</v>
      </c>
      <c r="AE45" s="23">
        <f t="shared" ref="AE45:AE54" si="31">AE32</f>
        <v>198719614</v>
      </c>
      <c r="AF45" s="23">
        <f>C33</f>
        <v>9570016.4</v>
      </c>
      <c r="AG45" s="63">
        <f t="shared" ref="AG45:AG55" si="32">AF45/AE45</f>
        <v>0.04815838863</v>
      </c>
      <c r="AH45" s="24"/>
      <c r="AI45" s="63">
        <f t="shared" ref="AI45:AI55" si="33">AI32</f>
        <v>0.07</v>
      </c>
      <c r="AJ45" s="63">
        <f t="shared" ref="AJ45:AJ55" si="34">AG45</f>
        <v>0.04815838863</v>
      </c>
      <c r="AK45" s="63">
        <f t="shared" ref="AK45:AK55" si="35">AJ45/AI45-1</f>
        <v>-0.3120230195</v>
      </c>
      <c r="AL45" s="5"/>
      <c r="AM45" s="5"/>
      <c r="AN45" s="5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5"/>
      <c r="AD46" s="22" t="s">
        <v>27</v>
      </c>
      <c r="AE46" s="23">
        <f t="shared" si="31"/>
        <v>137101317</v>
      </c>
      <c r="AF46" s="23">
        <f>G33</f>
        <v>5679471.7</v>
      </c>
      <c r="AG46" s="63">
        <f t="shared" si="32"/>
        <v>0.04142536209</v>
      </c>
      <c r="AH46" s="24"/>
      <c r="AI46" s="63">
        <f t="shared" si="33"/>
        <v>0.07</v>
      </c>
      <c r="AJ46" s="63">
        <f t="shared" si="34"/>
        <v>0.04142536209</v>
      </c>
      <c r="AK46" s="63">
        <f t="shared" si="35"/>
        <v>-0.408209113</v>
      </c>
      <c r="AL46" s="55"/>
      <c r="AM46" s="55"/>
      <c r="AN46" s="5"/>
    </row>
    <row r="47">
      <c r="A47" s="2"/>
      <c r="B47" s="68" t="s">
        <v>73</v>
      </c>
      <c r="C47" s="17"/>
      <c r="D47" s="17"/>
      <c r="E47" s="17"/>
      <c r="F47" s="17"/>
      <c r="G47" s="17"/>
      <c r="H47" s="18"/>
      <c r="I47" s="2"/>
      <c r="J47" s="2"/>
      <c r="K47" s="2" t="s">
        <v>74</v>
      </c>
      <c r="L47" s="35">
        <f t="shared" ref="L47:AA47" si="36">L40/L42-1</f>
        <v>0.291370572</v>
      </c>
      <c r="M47" s="86">
        <f t="shared" si="36"/>
        <v>0.1454250199</v>
      </c>
      <c r="N47" s="87">
        <f t="shared" si="36"/>
        <v>-0.0651752221</v>
      </c>
      <c r="O47" s="86">
        <f t="shared" si="36"/>
        <v>0.7503930075</v>
      </c>
      <c r="P47" s="87">
        <f t="shared" si="36"/>
        <v>0.2488660752</v>
      </c>
      <c r="Q47" s="86">
        <f t="shared" si="36"/>
        <v>-0.02710590243</v>
      </c>
      <c r="R47" s="87">
        <f t="shared" si="36"/>
        <v>-0.2033327852</v>
      </c>
      <c r="S47" s="86">
        <f t="shared" si="36"/>
        <v>0.04060894386</v>
      </c>
      <c r="T47" s="87">
        <f t="shared" si="36"/>
        <v>0.1153940262</v>
      </c>
      <c r="U47" s="86">
        <f t="shared" si="36"/>
        <v>4.454606368</v>
      </c>
      <c r="V47" s="87">
        <f t="shared" si="36"/>
        <v>0.2121116651</v>
      </c>
      <c r="W47" s="86">
        <f t="shared" si="36"/>
        <v>2.499741302</v>
      </c>
      <c r="X47" s="88">
        <f t="shared" si="36"/>
        <v>0.5144567724</v>
      </c>
      <c r="Y47" s="86">
        <f t="shared" si="36"/>
        <v>36780</v>
      </c>
      <c r="Z47" s="88" t="str">
        <f t="shared" si="36"/>
        <v>#DIV/0!</v>
      </c>
      <c r="AA47" s="87" t="str">
        <f t="shared" si="36"/>
        <v>#DIV/0!</v>
      </c>
      <c r="AB47" s="5"/>
      <c r="AC47" s="21" t="s">
        <v>18</v>
      </c>
      <c r="AD47" s="22" t="s">
        <v>19</v>
      </c>
      <c r="AE47" s="23">
        <f t="shared" si="31"/>
        <v>101356193</v>
      </c>
      <c r="AF47" s="23">
        <f t="shared" ref="AF47:AF54" si="37">AF34</f>
        <v>15193291</v>
      </c>
      <c r="AG47" s="63">
        <f t="shared" si="32"/>
        <v>0.149899977</v>
      </c>
      <c r="AH47" s="24"/>
      <c r="AI47" s="63">
        <f t="shared" si="33"/>
        <v>0.205</v>
      </c>
      <c r="AJ47" s="63">
        <f t="shared" si="34"/>
        <v>0.149899977</v>
      </c>
      <c r="AK47" s="63">
        <f t="shared" si="35"/>
        <v>-0.2687805999</v>
      </c>
      <c r="AL47" s="55"/>
      <c r="AM47" s="55"/>
      <c r="AN47" s="5"/>
    </row>
    <row r="48">
      <c r="A48" s="2"/>
      <c r="B48" s="70" t="str">
        <f>B30</f>
        <v>Биг–Л / Январь | до </v>
      </c>
      <c r="C48" s="17"/>
      <c r="D48" s="28">
        <f>$D$4</f>
        <v>46053</v>
      </c>
      <c r="E48" s="2"/>
      <c r="F48" s="70" t="str">
        <f>F30</f>
        <v>Смарт/ Январь| до </v>
      </c>
      <c r="G48" s="17"/>
      <c r="H48" s="28">
        <f>$D$4</f>
        <v>46053</v>
      </c>
      <c r="I48" s="2"/>
      <c r="J48" s="2"/>
      <c r="K48" s="19" t="s">
        <v>75</v>
      </c>
      <c r="M48" s="89">
        <f>SUM(M40:N40)/SUM(M42:N42)-1</f>
        <v>0.04602862633</v>
      </c>
      <c r="N48" s="90"/>
      <c r="O48" s="89">
        <f>SUM(O40:P40)/SUM(O42:P42)-1</f>
        <v>0.5034573388</v>
      </c>
      <c r="P48" s="90"/>
      <c r="Q48" s="89">
        <f>SUM(Q40:R40)/SUM(Q42:R42)-1</f>
        <v>-0.112016251</v>
      </c>
      <c r="R48" s="90"/>
      <c r="S48" s="89">
        <f>SUM(S40:T40)/SUM(S42:T42)-1</f>
        <v>0.1001336382</v>
      </c>
      <c r="T48" s="90"/>
      <c r="U48" s="89">
        <f>SUM(U40:V40)/SUM(U42:V42)-1</f>
        <v>0.7278975407</v>
      </c>
      <c r="V48" s="90"/>
      <c r="W48" s="89">
        <f>SUM(W40:X40)/SUM(W42:X42)-1</f>
        <v>0.74428273</v>
      </c>
      <c r="X48" s="90"/>
      <c r="Y48" s="91">
        <f>SUM(Y40:AA40)/SUM(Y42:AA42)-1</f>
        <v>36780</v>
      </c>
      <c r="AA48" s="92"/>
      <c r="AB48" s="5"/>
      <c r="AD48" s="22" t="s">
        <v>27</v>
      </c>
      <c r="AE48" s="23">
        <f t="shared" si="31"/>
        <v>74707614.21</v>
      </c>
      <c r="AF48" s="23">
        <f t="shared" si="37"/>
        <v>9554433</v>
      </c>
      <c r="AG48" s="63">
        <f t="shared" si="32"/>
        <v>0.1278910202</v>
      </c>
      <c r="AH48" s="24"/>
      <c r="AI48" s="63">
        <f t="shared" si="33"/>
        <v>0.115</v>
      </c>
      <c r="AJ48" s="63">
        <f t="shared" si="34"/>
        <v>0.1278910202</v>
      </c>
      <c r="AK48" s="63">
        <f t="shared" si="35"/>
        <v>0.1120958281</v>
      </c>
      <c r="AL48" s="55"/>
      <c r="AM48" s="55"/>
      <c r="AN48" s="5"/>
    </row>
    <row r="49">
      <c r="A49" s="35">
        <f t="shared" ref="A49:A50" si="39">IFERROR(C49/$C$33, " ")</f>
        <v>0.4778010621</v>
      </c>
      <c r="B49" s="41" t="s">
        <v>59</v>
      </c>
      <c r="C49" s="31">
        <v>4572564.0</v>
      </c>
      <c r="D49" s="71"/>
      <c r="E49" s="2"/>
      <c r="F49" s="41" t="s">
        <v>59</v>
      </c>
      <c r="G49" s="119">
        <v>3391496.0</v>
      </c>
      <c r="H49" s="53"/>
      <c r="I49" s="35">
        <f t="shared" ref="I49:I50" si="40">IFERROR(G49/$G$33, " ")</f>
        <v>0.5971499074</v>
      </c>
      <c r="J49" s="2"/>
      <c r="K49" s="2" t="s">
        <v>76</v>
      </c>
      <c r="L49" s="30">
        <f t="shared" ref="L49:AA49" si="38">L40-L42</f>
        <v>121573996</v>
      </c>
      <c r="M49" s="93">
        <f t="shared" si="38"/>
        <v>14048013</v>
      </c>
      <c r="N49" s="94">
        <f t="shared" si="38"/>
        <v>-5627417</v>
      </c>
      <c r="O49" s="93">
        <f t="shared" si="38"/>
        <v>85523593</v>
      </c>
      <c r="P49" s="94">
        <f t="shared" si="38"/>
        <v>27510798</v>
      </c>
      <c r="Q49" s="93">
        <f t="shared" si="38"/>
        <v>-101406</v>
      </c>
      <c r="R49" s="94">
        <f t="shared" si="38"/>
        <v>-707324</v>
      </c>
      <c r="S49" s="95">
        <f t="shared" si="38"/>
        <v>13871</v>
      </c>
      <c r="T49" s="54">
        <f t="shared" si="38"/>
        <v>153745</v>
      </c>
      <c r="U49" s="95">
        <f t="shared" si="38"/>
        <v>485316</v>
      </c>
      <c r="V49" s="54">
        <f t="shared" si="38"/>
        <v>166969</v>
      </c>
      <c r="W49" s="95">
        <f t="shared" si="38"/>
        <v>11788.58</v>
      </c>
      <c r="X49" s="30">
        <f t="shared" si="38"/>
        <v>18531.34</v>
      </c>
      <c r="Y49" s="93">
        <f t="shared" si="38"/>
        <v>36780</v>
      </c>
      <c r="Z49" s="96">
        <f t="shared" si="38"/>
        <v>0</v>
      </c>
      <c r="AA49" s="94">
        <f t="shared" si="38"/>
        <v>0</v>
      </c>
      <c r="AB49" s="5"/>
      <c r="AC49" s="21" t="s">
        <v>31</v>
      </c>
      <c r="AD49" s="22" t="s">
        <v>19</v>
      </c>
      <c r="AE49" s="23">
        <f t="shared" si="31"/>
        <v>3150063.338</v>
      </c>
      <c r="AF49" s="23">
        <f t="shared" si="37"/>
        <v>461196</v>
      </c>
      <c r="AG49" s="63">
        <f t="shared" si="32"/>
        <v>0.1464084847</v>
      </c>
      <c r="AH49" s="24"/>
      <c r="AI49" s="63">
        <f t="shared" si="33"/>
        <v>0.18</v>
      </c>
      <c r="AJ49" s="63">
        <f t="shared" si="34"/>
        <v>0.1464084847</v>
      </c>
      <c r="AK49" s="63">
        <f t="shared" si="35"/>
        <v>-0.1866195294</v>
      </c>
      <c r="AL49" s="55"/>
      <c r="AM49" s="55"/>
      <c r="AN49" s="5"/>
    </row>
    <row r="50">
      <c r="A50" s="35">
        <f t="shared" si="39"/>
        <v>0</v>
      </c>
      <c r="B50" s="41" t="s">
        <v>77</v>
      </c>
      <c r="C50" s="32"/>
      <c r="D50" s="40"/>
      <c r="E50" s="2"/>
      <c r="F50" s="41" t="s">
        <v>77</v>
      </c>
      <c r="G50" s="32"/>
      <c r="H50" s="53"/>
      <c r="I50" s="35">
        <f t="shared" si="40"/>
        <v>0</v>
      </c>
      <c r="J50" s="2"/>
      <c r="K50" s="19" t="s">
        <v>78</v>
      </c>
      <c r="M50" s="97">
        <f>SUM(M40:N40)-SUM(M42:N42)</f>
        <v>8420596</v>
      </c>
      <c r="N50" s="90"/>
      <c r="O50" s="97">
        <f>SUM(O40:P40)-SUM(O42:P42)</f>
        <v>113034391</v>
      </c>
      <c r="P50" s="90"/>
      <c r="Q50" s="97">
        <f>SUM(Q40:R40)-SUM(Q42:R42)</f>
        <v>-808730</v>
      </c>
      <c r="R50" s="90"/>
      <c r="S50" s="97">
        <f>SUM(S40:T40)-SUM(S42:T42)</f>
        <v>167616</v>
      </c>
      <c r="T50" s="90"/>
      <c r="U50" s="97">
        <f>SUM(U40:V40)-SUM(U42:V42)</f>
        <v>652285</v>
      </c>
      <c r="V50" s="90"/>
      <c r="W50" s="97">
        <f>SUM(W40:X40)-SUM(W42:X42)</f>
        <v>30319.92</v>
      </c>
      <c r="X50" s="90"/>
      <c r="Y50" s="97">
        <f>SUM(Y40:AA40)-SUM(Y42:AA42)</f>
        <v>36780</v>
      </c>
      <c r="Z50" s="98"/>
      <c r="AA50" s="90"/>
      <c r="AB50" s="5"/>
      <c r="AD50" s="22" t="s">
        <v>27</v>
      </c>
      <c r="AE50" s="23">
        <f t="shared" si="31"/>
        <v>2508567.757</v>
      </c>
      <c r="AF50" s="23">
        <f t="shared" si="37"/>
        <v>482427</v>
      </c>
      <c r="AG50" s="63">
        <f t="shared" si="32"/>
        <v>0.1923117279</v>
      </c>
      <c r="AH50" s="24"/>
      <c r="AI50" s="63">
        <f t="shared" si="33"/>
        <v>0.175</v>
      </c>
      <c r="AJ50" s="63">
        <f t="shared" si="34"/>
        <v>0.1923117279</v>
      </c>
      <c r="AK50" s="63">
        <f t="shared" si="35"/>
        <v>0.09892415957</v>
      </c>
      <c r="AL50" s="55"/>
      <c r="AM50" s="55"/>
      <c r="AN50" s="5"/>
    </row>
    <row r="51">
      <c r="A51" s="2"/>
      <c r="B51" s="41" t="s">
        <v>42</v>
      </c>
      <c r="C51" s="32">
        <f>SUM(C49:C50)</f>
        <v>4572564</v>
      </c>
      <c r="D51" s="40"/>
      <c r="E51" s="2"/>
      <c r="F51" s="41" t="s">
        <v>42</v>
      </c>
      <c r="G51" s="32">
        <f>SUM(G49:G50)</f>
        <v>3391496</v>
      </c>
      <c r="H51" s="40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5"/>
      <c r="AC51" s="44" t="s">
        <v>34</v>
      </c>
      <c r="AD51" s="22" t="s">
        <v>19</v>
      </c>
      <c r="AE51" s="23">
        <f t="shared" si="31"/>
        <v>355446</v>
      </c>
      <c r="AF51" s="23">
        <f t="shared" si="37"/>
        <v>0</v>
      </c>
      <c r="AG51" s="63">
        <f t="shared" si="32"/>
        <v>0</v>
      </c>
      <c r="AH51" s="46"/>
      <c r="AI51" s="63">
        <f t="shared" si="33"/>
        <v>0.15</v>
      </c>
      <c r="AJ51" s="63">
        <f t="shared" si="34"/>
        <v>0</v>
      </c>
      <c r="AK51" s="63">
        <f t="shared" si="35"/>
        <v>-1</v>
      </c>
      <c r="AL51" s="46"/>
      <c r="AM51" s="46"/>
      <c r="AN51" s="5"/>
    </row>
    <row r="52">
      <c r="A52" s="2"/>
      <c r="B52" s="41" t="s">
        <v>43</v>
      </c>
      <c r="C52" s="4"/>
      <c r="D52" s="54">
        <f>O35</f>
        <v>199495328</v>
      </c>
      <c r="E52" s="2"/>
      <c r="F52" s="41" t="s">
        <v>43</v>
      </c>
      <c r="G52" s="4"/>
      <c r="H52" s="54">
        <f>P35</f>
        <v>138055387</v>
      </c>
      <c r="I52" s="2"/>
      <c r="J52" s="2"/>
      <c r="K52" s="2" t="s">
        <v>79</v>
      </c>
      <c r="L52" s="99">
        <v>7.5E8</v>
      </c>
      <c r="M52" s="30">
        <f t="shared" ref="M52:AA52" si="41">$L$52*M36</f>
        <v>154013151.1</v>
      </c>
      <c r="N52" s="30">
        <f t="shared" si="41"/>
        <v>112349764.4</v>
      </c>
      <c r="O52" s="30">
        <f t="shared" si="41"/>
        <v>277682238.8</v>
      </c>
      <c r="P52" s="30">
        <f t="shared" si="41"/>
        <v>192162539.9</v>
      </c>
      <c r="Q52" s="30">
        <f t="shared" si="41"/>
        <v>5066181.244</v>
      </c>
      <c r="R52" s="30">
        <f t="shared" si="41"/>
        <v>3857476.619</v>
      </c>
      <c r="S52" s="30">
        <f t="shared" si="41"/>
        <v>494753.6468</v>
      </c>
      <c r="T52" s="30">
        <f t="shared" si="41"/>
        <v>2068527.797</v>
      </c>
      <c r="U52" s="30">
        <f t="shared" si="41"/>
        <v>827168.6456</v>
      </c>
      <c r="V52" s="30">
        <f t="shared" si="41"/>
        <v>1328095.473</v>
      </c>
      <c r="W52" s="30">
        <f t="shared" si="41"/>
        <v>22973.0017</v>
      </c>
      <c r="X52" s="30">
        <f t="shared" si="41"/>
        <v>75932.93555</v>
      </c>
      <c r="Y52" s="30">
        <f t="shared" si="41"/>
        <v>51196.33891</v>
      </c>
      <c r="Z52" s="30">
        <f t="shared" si="41"/>
        <v>0</v>
      </c>
      <c r="AA52" s="30">
        <f t="shared" si="41"/>
        <v>0</v>
      </c>
      <c r="AB52" s="5"/>
      <c r="AD52" s="22" t="s">
        <v>27</v>
      </c>
      <c r="AE52" s="23">
        <f t="shared" si="31"/>
        <v>1476980</v>
      </c>
      <c r="AF52" s="23">
        <f t="shared" si="37"/>
        <v>0</v>
      </c>
      <c r="AG52" s="63">
        <f t="shared" si="32"/>
        <v>0</v>
      </c>
      <c r="AH52" s="46"/>
      <c r="AI52" s="63">
        <f t="shared" si="33"/>
        <v>0.15</v>
      </c>
      <c r="AJ52" s="63">
        <f t="shared" si="34"/>
        <v>0</v>
      </c>
      <c r="AK52" s="63">
        <f t="shared" si="35"/>
        <v>-1</v>
      </c>
      <c r="AL52" s="46"/>
      <c r="AM52" s="46"/>
      <c r="AN52" s="5"/>
    </row>
    <row r="53">
      <c r="A53" s="2"/>
      <c r="B53" s="41" t="s">
        <v>44</v>
      </c>
      <c r="C53" s="2"/>
      <c r="D53" s="57">
        <f>C51/D52</f>
        <v>0.02292065707</v>
      </c>
      <c r="E53" s="2"/>
      <c r="F53" s="41" t="s">
        <v>44</v>
      </c>
      <c r="G53" s="2"/>
      <c r="H53" s="57">
        <f>G51/H52</f>
        <v>0.0245661982</v>
      </c>
      <c r="I53" s="2"/>
      <c r="J53" s="2"/>
      <c r="K53" s="2" t="s">
        <v>80</v>
      </c>
      <c r="L53" s="76">
        <f t="shared" ref="L53:AA53" si="42">L52-L35</f>
        <v>211177291.5</v>
      </c>
      <c r="M53" s="30">
        <f t="shared" si="42"/>
        <v>43365440.15</v>
      </c>
      <c r="N53" s="30">
        <f t="shared" si="42"/>
        <v>31634291.94</v>
      </c>
      <c r="O53" s="30">
        <f t="shared" si="42"/>
        <v>78186910.77</v>
      </c>
      <c r="P53" s="30">
        <f t="shared" si="42"/>
        <v>54107152.95</v>
      </c>
      <c r="Q53" s="30">
        <f t="shared" si="42"/>
        <v>1426483.244</v>
      </c>
      <c r="R53" s="30">
        <f t="shared" si="42"/>
        <v>1086148.619</v>
      </c>
      <c r="S53" s="30">
        <f t="shared" si="42"/>
        <v>139307.6468</v>
      </c>
      <c r="T53" s="30">
        <f t="shared" si="42"/>
        <v>582434.7966</v>
      </c>
      <c r="U53" s="30">
        <f t="shared" si="42"/>
        <v>232905.6456</v>
      </c>
      <c r="V53" s="30">
        <f t="shared" si="42"/>
        <v>373951.4731</v>
      </c>
      <c r="W53" s="30">
        <f t="shared" si="42"/>
        <v>6468.501702</v>
      </c>
      <c r="X53" s="30">
        <f t="shared" si="42"/>
        <v>21380.41555</v>
      </c>
      <c r="Y53" s="30">
        <f t="shared" si="42"/>
        <v>14415.33891</v>
      </c>
      <c r="Z53" s="30">
        <f t="shared" si="42"/>
        <v>0</v>
      </c>
      <c r="AA53" s="30">
        <f t="shared" si="42"/>
        <v>0</v>
      </c>
      <c r="AB53" s="5"/>
      <c r="AC53" s="44" t="s">
        <v>37</v>
      </c>
      <c r="AD53" s="22" t="s">
        <v>19</v>
      </c>
      <c r="AE53" s="23">
        <f t="shared" si="31"/>
        <v>338963</v>
      </c>
      <c r="AF53" s="23">
        <f t="shared" si="37"/>
        <v>0</v>
      </c>
      <c r="AG53" s="63">
        <f t="shared" si="32"/>
        <v>0</v>
      </c>
      <c r="AH53" s="46"/>
      <c r="AI53" s="63">
        <f t="shared" si="33"/>
        <v>0</v>
      </c>
      <c r="AJ53" s="63">
        <f t="shared" si="34"/>
        <v>0</v>
      </c>
      <c r="AK53" s="63" t="str">
        <f t="shared" si="35"/>
        <v>#DIV/0!</v>
      </c>
      <c r="AL53" s="46"/>
      <c r="AM53" s="46"/>
      <c r="AN53" s="5"/>
    </row>
    <row r="54">
      <c r="A54" s="35">
        <f>D53/C54</f>
        <v>0.3274379581</v>
      </c>
      <c r="B54" s="41" t="s">
        <v>47</v>
      </c>
      <c r="C54" s="59">
        <v>0.07</v>
      </c>
      <c r="D54" s="54">
        <f>D52*C54</f>
        <v>13964672.96</v>
      </c>
      <c r="E54" s="2"/>
      <c r="F54" s="41" t="s">
        <v>47</v>
      </c>
      <c r="G54" s="59">
        <v>0.07</v>
      </c>
      <c r="H54" s="57">
        <f>H52*G54</f>
        <v>9663877.09</v>
      </c>
      <c r="I54" s="35">
        <f>H53/G54</f>
        <v>0.3509456886</v>
      </c>
      <c r="J54" s="2"/>
      <c r="K54" s="2" t="s">
        <v>81</v>
      </c>
      <c r="L54" s="76" t="str">
        <f>SUM(M54:V54)</f>
        <v>#DIV/0!</v>
      </c>
      <c r="M54" s="30" t="str">
        <f t="shared" ref="M54:AA54" si="43">M53/($G$1-$C$1)</f>
        <v>#DIV/0!</v>
      </c>
      <c r="N54" s="30" t="str">
        <f t="shared" si="43"/>
        <v>#DIV/0!</v>
      </c>
      <c r="O54" s="30" t="str">
        <f t="shared" si="43"/>
        <v>#DIV/0!</v>
      </c>
      <c r="P54" s="30" t="str">
        <f t="shared" si="43"/>
        <v>#DIV/0!</v>
      </c>
      <c r="Q54" s="30" t="str">
        <f t="shared" si="43"/>
        <v>#DIV/0!</v>
      </c>
      <c r="R54" s="30" t="str">
        <f t="shared" si="43"/>
        <v>#DIV/0!</v>
      </c>
      <c r="S54" s="30" t="str">
        <f t="shared" si="43"/>
        <v>#DIV/0!</v>
      </c>
      <c r="T54" s="30" t="str">
        <f t="shared" si="43"/>
        <v>#DIV/0!</v>
      </c>
      <c r="U54" s="30" t="str">
        <f t="shared" si="43"/>
        <v>#DIV/0!</v>
      </c>
      <c r="V54" s="30" t="str">
        <f t="shared" si="43"/>
        <v>#DIV/0!</v>
      </c>
      <c r="W54" s="30" t="str">
        <f t="shared" si="43"/>
        <v>#DIV/0!</v>
      </c>
      <c r="X54" s="30" t="str">
        <f t="shared" si="43"/>
        <v>#DIV/0!</v>
      </c>
      <c r="Y54" s="30" t="str">
        <f t="shared" si="43"/>
        <v>#DIV/0!</v>
      </c>
      <c r="Z54" s="30" t="str">
        <f t="shared" si="43"/>
        <v>#DIV/0!</v>
      </c>
      <c r="AA54" s="30" t="str">
        <f t="shared" si="43"/>
        <v>#DIV/0!</v>
      </c>
      <c r="AB54" s="5"/>
      <c r="AD54" s="22" t="s">
        <v>27</v>
      </c>
      <c r="AE54" s="23">
        <f t="shared" si="31"/>
        <v>847522</v>
      </c>
      <c r="AF54" s="23">
        <f t="shared" si="37"/>
        <v>0</v>
      </c>
      <c r="AG54" s="63">
        <f t="shared" si="32"/>
        <v>0</v>
      </c>
      <c r="AH54" s="46"/>
      <c r="AI54" s="63">
        <f t="shared" si="33"/>
        <v>0</v>
      </c>
      <c r="AJ54" s="63">
        <f t="shared" si="34"/>
        <v>0</v>
      </c>
      <c r="AK54" s="63" t="str">
        <f t="shared" si="35"/>
        <v>#DIV/0!</v>
      </c>
      <c r="AL54" s="46"/>
      <c r="AM54" s="46"/>
      <c r="AN54" s="5"/>
    </row>
    <row r="55">
      <c r="A55" s="2"/>
      <c r="B55" s="77" t="s">
        <v>50</v>
      </c>
      <c r="C55" s="61"/>
      <c r="D55" s="62">
        <f>C51-D54</f>
        <v>-9392108.96</v>
      </c>
      <c r="E55" s="2"/>
      <c r="F55" s="77" t="s">
        <v>50</v>
      </c>
      <c r="G55" s="61"/>
      <c r="H55" s="62">
        <f>G51-H54</f>
        <v>-6272381.09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5"/>
      <c r="AC55" s="5"/>
      <c r="AD55" s="5"/>
      <c r="AE55" s="52">
        <f t="shared" ref="AE55:AF55" si="44">SUM(AE45:AE54)</f>
        <v>520562280.3</v>
      </c>
      <c r="AF55" s="52">
        <f t="shared" si="44"/>
        <v>40940835.1</v>
      </c>
      <c r="AG55" s="69">
        <f t="shared" si="32"/>
        <v>0.07864733318</v>
      </c>
      <c r="AH55" s="5"/>
      <c r="AI55" s="69">
        <f t="shared" si="33"/>
        <v>0.1061309164</v>
      </c>
      <c r="AJ55" s="69">
        <f t="shared" si="34"/>
        <v>0.07864733318</v>
      </c>
      <c r="AK55" s="69">
        <f t="shared" si="35"/>
        <v>-0.2589592567</v>
      </c>
      <c r="AL55" s="55"/>
      <c r="AM55" s="24"/>
      <c r="AN55" s="5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31">
        <v>2.1E8</v>
      </c>
      <c r="O56" s="100"/>
      <c r="P56" s="2"/>
      <c r="Q56" s="2"/>
      <c r="R56" s="56">
        <f>SUM(Q44:R44)/SUM(Q40:R40)</f>
        <v>0.1471875173</v>
      </c>
      <c r="S56" s="2"/>
      <c r="T56" s="2"/>
      <c r="U56" s="2"/>
      <c r="V56" s="2"/>
      <c r="W56" s="2"/>
      <c r="X56" s="2"/>
      <c r="Y56" s="2"/>
      <c r="Z56" s="2"/>
      <c r="AA56" s="2"/>
      <c r="AB56" s="5"/>
      <c r="AC56" s="55"/>
      <c r="AD56" s="55"/>
      <c r="AE56" s="55"/>
      <c r="AF56" s="55"/>
      <c r="AG56" s="55"/>
      <c r="AH56" s="55"/>
      <c r="AI56" s="55"/>
      <c r="AJ56" s="55"/>
      <c r="AK56" s="55"/>
      <c r="AL56" s="5"/>
      <c r="AM56" s="5"/>
      <c r="AN56" s="5"/>
    </row>
    <row r="57">
      <c r="A57" s="2"/>
      <c r="B57" s="58" t="s">
        <v>51</v>
      </c>
      <c r="C57" s="58"/>
      <c r="D57" s="64">
        <f>O42</f>
        <v>113971735</v>
      </c>
      <c r="E57" s="2"/>
      <c r="F57" s="58" t="s">
        <v>51</v>
      </c>
      <c r="G57" s="58"/>
      <c r="H57" s="64">
        <f>P42</f>
        <v>110544589</v>
      </c>
      <c r="I57" s="2"/>
      <c r="J57" s="2"/>
      <c r="K57" s="2"/>
      <c r="L57" s="2"/>
      <c r="M57" s="4"/>
      <c r="N57" s="58">
        <f>N56-SUM(M35:N35)</f>
        <v>18636816.5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5"/>
      <c r="AC57" s="5"/>
      <c r="AD57" s="5"/>
      <c r="AE57" s="14" t="s">
        <v>12</v>
      </c>
      <c r="AF57" s="14" t="s">
        <v>17</v>
      </c>
      <c r="AG57" s="101" t="s">
        <v>48</v>
      </c>
      <c r="AH57" s="5"/>
      <c r="AI57" s="14" t="s">
        <v>63</v>
      </c>
      <c r="AJ57" s="14" t="s">
        <v>64</v>
      </c>
      <c r="AK57" s="101" t="s">
        <v>48</v>
      </c>
      <c r="AL57" s="5"/>
      <c r="AM57" s="5"/>
      <c r="AN57" s="5"/>
    </row>
    <row r="58">
      <c r="A58" s="2"/>
      <c r="B58" s="2" t="s">
        <v>52</v>
      </c>
      <c r="C58" s="2"/>
      <c r="D58" s="30">
        <f>D52/$C$1</f>
        <v>6435333.161</v>
      </c>
      <c r="E58" s="2"/>
      <c r="F58" s="2" t="s">
        <v>52</v>
      </c>
      <c r="G58" s="2"/>
      <c r="H58" s="30">
        <f>H52/$C$1</f>
        <v>4453399.581</v>
      </c>
      <c r="I58" s="2"/>
      <c r="J58" s="2"/>
      <c r="K58" s="2"/>
      <c r="L58" s="2"/>
      <c r="M58" s="56">
        <f>M35/SUM(M35:N35)</f>
        <v>0.5782079341</v>
      </c>
      <c r="N58" s="56">
        <f>N35/SUM(M35:N35)</f>
        <v>0.4217920659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5"/>
      <c r="AC58" s="21" t="s">
        <v>24</v>
      </c>
      <c r="AD58" s="22" t="s">
        <v>19</v>
      </c>
      <c r="AE58" s="23">
        <f t="shared" ref="AE58:AE68" si="46">AG3</f>
        <v>113971735</v>
      </c>
      <c r="AF58" s="23">
        <f t="shared" ref="AF58:AF68" si="47">AM3</f>
        <v>198719614</v>
      </c>
      <c r="AG58" s="63">
        <f t="shared" ref="AG58:AG68" si="48">IFERROR(AF58/AE58, " ")</f>
        <v>1.743586811</v>
      </c>
      <c r="AH58" s="5"/>
      <c r="AI58" s="63">
        <f t="shared" ref="AI58:AJ58" si="45">AI45</f>
        <v>0.07</v>
      </c>
      <c r="AJ58" s="63">
        <f t="shared" si="45"/>
        <v>0.04815838863</v>
      </c>
      <c r="AK58" s="63">
        <f t="shared" ref="AK58:AK68" si="50">AJ58/AI58-1</f>
        <v>-0.3120230195</v>
      </c>
      <c r="AL58" s="5"/>
      <c r="AM58" s="5"/>
      <c r="AN58" s="5"/>
    </row>
    <row r="59">
      <c r="A59" s="2"/>
      <c r="B59" s="2" t="s">
        <v>53</v>
      </c>
      <c r="C59" s="2"/>
      <c r="D59" s="30">
        <f>D57/$G$1*$C$1</f>
        <v>113971735</v>
      </c>
      <c r="E59" s="2"/>
      <c r="F59" s="2" t="s">
        <v>53</v>
      </c>
      <c r="G59" s="2"/>
      <c r="H59" s="30">
        <f>H57/$G$1*$C$1</f>
        <v>110544589</v>
      </c>
      <c r="I59" s="2"/>
      <c r="J59" s="2"/>
      <c r="K59" s="2"/>
      <c r="L59" s="2"/>
      <c r="M59" s="58">
        <f>N57*M58</f>
        <v>10775955.17</v>
      </c>
      <c r="N59" s="58">
        <f>N57*N58</f>
        <v>7860861.333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5"/>
      <c r="AD59" s="22" t="s">
        <v>27</v>
      </c>
      <c r="AE59" s="23">
        <f t="shared" si="46"/>
        <v>110544589</v>
      </c>
      <c r="AF59" s="23">
        <f t="shared" si="47"/>
        <v>137101317</v>
      </c>
      <c r="AG59" s="63">
        <f t="shared" si="48"/>
        <v>1.24023544</v>
      </c>
      <c r="AH59" s="55"/>
      <c r="AI59" s="63">
        <f t="shared" ref="AI59:AJ59" si="49">AI46</f>
        <v>0.07</v>
      </c>
      <c r="AJ59" s="63">
        <f t="shared" si="49"/>
        <v>0.04142536209</v>
      </c>
      <c r="AK59" s="63">
        <f t="shared" si="50"/>
        <v>-0.408209113</v>
      </c>
      <c r="AL59" s="5"/>
      <c r="AM59" s="5"/>
      <c r="AN59" s="5"/>
    </row>
    <row r="60">
      <c r="A60" s="2"/>
      <c r="B60" s="2" t="s">
        <v>54</v>
      </c>
      <c r="C60" s="2"/>
      <c r="D60" s="30" t="str">
        <f>(D57-D52)/($G$1-$C$1)</f>
        <v>#DIV/0!</v>
      </c>
      <c r="E60" s="2"/>
      <c r="F60" s="2" t="s">
        <v>54</v>
      </c>
      <c r="G60" s="2"/>
      <c r="H60" s="30" t="str">
        <f>(H57-H52)/($G$1-$C$1)</f>
        <v>#DIV/0!</v>
      </c>
      <c r="I60" s="2"/>
      <c r="J60" s="2"/>
      <c r="K60" s="2"/>
      <c r="L60" s="58" t="str">
        <f>SUM(M60:N60)</f>
        <v>#DIV/0!</v>
      </c>
      <c r="M60" s="58" t="str">
        <f>M59/(G1-C1)</f>
        <v>#DIV/0!</v>
      </c>
      <c r="N60" s="58" t="str">
        <f>N59/(G1-C1)</f>
        <v>#DIV/0!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5"/>
      <c r="AC60" s="21" t="s">
        <v>18</v>
      </c>
      <c r="AD60" s="22" t="s">
        <v>19</v>
      </c>
      <c r="AE60" s="23">
        <f t="shared" si="46"/>
        <v>96599698</v>
      </c>
      <c r="AF60" s="23">
        <f t="shared" si="47"/>
        <v>101356193</v>
      </c>
      <c r="AG60" s="63">
        <f t="shared" si="48"/>
        <v>1.049239232</v>
      </c>
      <c r="AH60" s="55"/>
      <c r="AI60" s="63">
        <f t="shared" ref="AI60:AJ60" si="51">AI47</f>
        <v>0.205</v>
      </c>
      <c r="AJ60" s="63">
        <f t="shared" si="51"/>
        <v>0.149899977</v>
      </c>
      <c r="AK60" s="63">
        <f t="shared" si="50"/>
        <v>-0.2687805999</v>
      </c>
      <c r="AL60" s="5"/>
      <c r="AM60" s="5"/>
      <c r="AN60" s="46"/>
    </row>
    <row r="61">
      <c r="A61" s="2"/>
      <c r="B61" s="2" t="s">
        <v>55</v>
      </c>
      <c r="C61" s="2"/>
      <c r="D61" s="30">
        <f>D52-D59</f>
        <v>85523593</v>
      </c>
      <c r="E61" s="2"/>
      <c r="F61" s="2" t="s">
        <v>55</v>
      </c>
      <c r="G61" s="2"/>
      <c r="H61" s="30">
        <f>H52-H59</f>
        <v>27510798</v>
      </c>
      <c r="I61" s="2"/>
      <c r="J61" s="2"/>
      <c r="K61" s="2"/>
      <c r="L61" s="2"/>
      <c r="M61" s="56"/>
      <c r="N61" s="56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5"/>
      <c r="AD61" s="22" t="s">
        <v>27</v>
      </c>
      <c r="AE61" s="23">
        <f t="shared" si="46"/>
        <v>86342889.5</v>
      </c>
      <c r="AF61" s="23">
        <f t="shared" si="47"/>
        <v>74707614.21</v>
      </c>
      <c r="AG61" s="63">
        <f t="shared" si="48"/>
        <v>0.8652433876</v>
      </c>
      <c r="AH61" s="55"/>
      <c r="AI61" s="63">
        <f t="shared" ref="AI61:AJ61" si="52">AI48</f>
        <v>0.115</v>
      </c>
      <c r="AJ61" s="63">
        <f t="shared" si="52"/>
        <v>0.1278910202</v>
      </c>
      <c r="AK61" s="63">
        <f t="shared" si="50"/>
        <v>0.1120958281</v>
      </c>
      <c r="AL61" s="5"/>
      <c r="AM61" s="5"/>
      <c r="AN61" s="46"/>
    </row>
    <row r="62">
      <c r="A62" s="2"/>
      <c r="B62" s="2" t="s">
        <v>56</v>
      </c>
      <c r="C62" s="2"/>
      <c r="D62" s="30">
        <f>D52/$C$1*$G$1</f>
        <v>199495328</v>
      </c>
      <c r="E62" s="2"/>
      <c r="F62" s="2" t="s">
        <v>56</v>
      </c>
      <c r="G62" s="2"/>
      <c r="H62" s="30">
        <f>H52/$C$1*$G$1</f>
        <v>138055387</v>
      </c>
      <c r="I62" s="2"/>
      <c r="J62" s="2"/>
      <c r="K62" s="2"/>
      <c r="L62" s="2"/>
      <c r="M62" s="56">
        <f t="shared" ref="M62:N62" si="53">M58</f>
        <v>0.5782079341</v>
      </c>
      <c r="N62" s="56">
        <f t="shared" si="53"/>
        <v>0.4217920659</v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5"/>
      <c r="AC62" s="21" t="s">
        <v>31</v>
      </c>
      <c r="AD62" s="22" t="s">
        <v>19</v>
      </c>
      <c r="AE62" s="23">
        <f t="shared" si="46"/>
        <v>3741104</v>
      </c>
      <c r="AF62" s="23">
        <f t="shared" si="47"/>
        <v>3150063.338</v>
      </c>
      <c r="AG62" s="63">
        <f t="shared" si="48"/>
        <v>0.8420143727</v>
      </c>
      <c r="AH62" s="55"/>
      <c r="AI62" s="63">
        <f t="shared" ref="AI62:AJ62" si="54">AI49</f>
        <v>0.18</v>
      </c>
      <c r="AJ62" s="63">
        <f t="shared" si="54"/>
        <v>0.1464084847</v>
      </c>
      <c r="AK62" s="63">
        <f t="shared" si="50"/>
        <v>-0.1866195294</v>
      </c>
      <c r="AL62" s="5"/>
      <c r="AM62" s="5"/>
      <c r="AN62" s="46"/>
    </row>
    <row r="63">
      <c r="A63" s="2"/>
      <c r="B63" s="66" t="s">
        <v>57</v>
      </c>
      <c r="C63" s="66"/>
      <c r="D63" s="67">
        <f>D62/D57</f>
        <v>1.750393008</v>
      </c>
      <c r="E63" s="2"/>
      <c r="F63" s="66" t="s">
        <v>57</v>
      </c>
      <c r="G63" s="66"/>
      <c r="H63" s="67">
        <f>H62/H57</f>
        <v>1.248866075</v>
      </c>
      <c r="I63" s="2"/>
      <c r="J63" s="2"/>
      <c r="K63" s="56"/>
      <c r="L63" s="2"/>
      <c r="M63" s="58">
        <f t="shared" ref="M63:N63" si="55">$N$56*M62</f>
        <v>121423666.2</v>
      </c>
      <c r="N63" s="58">
        <f t="shared" si="55"/>
        <v>88576333.83</v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5"/>
      <c r="AD63" s="22" t="s">
        <v>27</v>
      </c>
      <c r="AE63" s="23">
        <f t="shared" si="46"/>
        <v>3478652</v>
      </c>
      <c r="AF63" s="23">
        <f t="shared" si="47"/>
        <v>2508567.757</v>
      </c>
      <c r="AG63" s="63">
        <f t="shared" si="48"/>
        <v>0.7211321389</v>
      </c>
      <c r="AH63" s="55"/>
      <c r="AI63" s="63">
        <f t="shared" ref="AI63:AJ63" si="56">AI50</f>
        <v>0.175</v>
      </c>
      <c r="AJ63" s="63">
        <f t="shared" si="56"/>
        <v>0.1923117279</v>
      </c>
      <c r="AK63" s="63">
        <f t="shared" si="50"/>
        <v>0.09892415957</v>
      </c>
      <c r="AL63" s="5"/>
      <c r="AM63" s="5"/>
      <c r="AN63" s="46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56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5"/>
      <c r="AC64" s="44" t="s">
        <v>34</v>
      </c>
      <c r="AD64" s="22" t="s">
        <v>19</v>
      </c>
      <c r="AE64" s="23">
        <f t="shared" si="46"/>
        <v>341575</v>
      </c>
      <c r="AF64" s="23">
        <f t="shared" si="47"/>
        <v>355446</v>
      </c>
      <c r="AG64" s="63">
        <f t="shared" si="48"/>
        <v>1.040608944</v>
      </c>
      <c r="AH64" s="46"/>
      <c r="AI64" s="63">
        <f t="shared" ref="AI64:AJ64" si="57">AI51</f>
        <v>0.15</v>
      </c>
      <c r="AJ64" s="63">
        <f t="shared" si="57"/>
        <v>0</v>
      </c>
      <c r="AK64" s="63">
        <f t="shared" si="50"/>
        <v>-1</v>
      </c>
      <c r="AL64" s="46"/>
      <c r="AM64" s="46"/>
      <c r="AN64" s="46"/>
    </row>
    <row r="65">
      <c r="A65" s="2"/>
      <c r="B65" s="102" t="s">
        <v>31</v>
      </c>
      <c r="C65" s="17"/>
      <c r="D65" s="17"/>
      <c r="E65" s="17"/>
      <c r="F65" s="17"/>
      <c r="G65" s="17"/>
      <c r="H65" s="18"/>
      <c r="I65" s="2"/>
      <c r="J65" s="2"/>
      <c r="K65" s="56"/>
      <c r="L65" s="2">
        <f>G1-C1</f>
        <v>0</v>
      </c>
      <c r="M65" s="58" t="str">
        <f t="shared" ref="M65:N65" si="58">(M63-M35)/$L$65</f>
        <v>#DIV/0!</v>
      </c>
      <c r="N65" s="58" t="str">
        <f t="shared" si="58"/>
        <v>#DIV/0!</v>
      </c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5"/>
      <c r="AD65" s="22" t="s">
        <v>27</v>
      </c>
      <c r="AE65" s="23">
        <f t="shared" si="46"/>
        <v>1332348</v>
      </c>
      <c r="AF65" s="23">
        <f t="shared" si="47"/>
        <v>1476980</v>
      </c>
      <c r="AG65" s="63">
        <f t="shared" si="48"/>
        <v>1.108554222</v>
      </c>
      <c r="AH65" s="46"/>
      <c r="AI65" s="63">
        <f t="shared" ref="AI65:AJ65" si="59">AI52</f>
        <v>0.15</v>
      </c>
      <c r="AJ65" s="63">
        <f t="shared" si="59"/>
        <v>0</v>
      </c>
      <c r="AK65" s="63">
        <f t="shared" si="50"/>
        <v>-1</v>
      </c>
      <c r="AL65" s="46"/>
      <c r="AM65" s="46"/>
      <c r="AN65" s="46"/>
    </row>
    <row r="66">
      <c r="A66" s="2"/>
      <c r="B66" s="70" t="str">
        <f>B30</f>
        <v>Биг–Л / Январь | до </v>
      </c>
      <c r="C66" s="17"/>
      <c r="D66" s="28">
        <f>$D$4</f>
        <v>46053</v>
      </c>
      <c r="E66" s="2"/>
      <c r="F66" s="70" t="str">
        <f>F30</f>
        <v>Смарт/ Январь| до </v>
      </c>
      <c r="G66" s="17"/>
      <c r="H66" s="28">
        <f>$D$4</f>
        <v>46053</v>
      </c>
      <c r="I66" s="2"/>
      <c r="J66" s="2"/>
      <c r="AB66" s="5"/>
      <c r="AC66" s="44" t="s">
        <v>37</v>
      </c>
      <c r="AD66" s="22" t="s">
        <v>19</v>
      </c>
      <c r="AE66" s="23">
        <f t="shared" si="46"/>
        <v>108947</v>
      </c>
      <c r="AF66" s="23">
        <f t="shared" si="47"/>
        <v>338963</v>
      </c>
      <c r="AG66" s="63">
        <f t="shared" si="48"/>
        <v>3.111265111</v>
      </c>
      <c r="AH66" s="46"/>
      <c r="AI66" s="63">
        <f t="shared" ref="AI66:AJ66" si="60">AI53</f>
        <v>0</v>
      </c>
      <c r="AJ66" s="63">
        <f t="shared" si="60"/>
        <v>0</v>
      </c>
      <c r="AK66" s="63" t="str">
        <f t="shared" si="50"/>
        <v>#DIV/0!</v>
      </c>
      <c r="AL66" s="46"/>
      <c r="AM66" s="46"/>
      <c r="AN66" s="46"/>
    </row>
    <row r="67">
      <c r="A67" s="35">
        <f t="shared" ref="A67:A71" si="62">IFERROR(C67/$C$72, " ")</f>
        <v>0.9033642963</v>
      </c>
      <c r="B67" s="41" t="s">
        <v>82</v>
      </c>
      <c r="C67" s="31">
        <v>416628.0</v>
      </c>
      <c r="D67" s="53"/>
      <c r="E67" s="2"/>
      <c r="F67" s="41" t="s">
        <v>82</v>
      </c>
      <c r="G67" s="31">
        <v>410047.0</v>
      </c>
      <c r="H67" s="53"/>
      <c r="I67" s="35">
        <f t="shared" ref="I67:I71" si="63">IFERROR(G67/$G$72, " ")</f>
        <v>0.849966938</v>
      </c>
      <c r="J67" s="2"/>
      <c r="N67" s="31">
        <v>4.5E8</v>
      </c>
      <c r="AB67" s="5"/>
      <c r="AD67" s="22" t="s">
        <v>27</v>
      </c>
      <c r="AE67" s="23">
        <f t="shared" si="46"/>
        <v>787175</v>
      </c>
      <c r="AF67" s="23">
        <f t="shared" si="47"/>
        <v>847522</v>
      </c>
      <c r="AG67" s="63">
        <f t="shared" si="48"/>
        <v>1.07666275</v>
      </c>
      <c r="AH67" s="46"/>
      <c r="AI67" s="63">
        <f t="shared" ref="AI67:AJ67" si="61">AI54</f>
        <v>0</v>
      </c>
      <c r="AJ67" s="63">
        <f t="shared" si="61"/>
        <v>0</v>
      </c>
      <c r="AK67" s="63" t="str">
        <f t="shared" si="50"/>
        <v>#DIV/0!</v>
      </c>
      <c r="AL67" s="46"/>
      <c r="AM67" s="46"/>
      <c r="AN67" s="46"/>
    </row>
    <row r="68">
      <c r="A68" s="35">
        <f t="shared" si="62"/>
        <v>0.09663570369</v>
      </c>
      <c r="B68" s="41" t="s">
        <v>83</v>
      </c>
      <c r="C68" s="32">
        <v>44568.0</v>
      </c>
      <c r="D68" s="74"/>
      <c r="E68" s="2"/>
      <c r="F68" s="41" t="s">
        <v>83</v>
      </c>
      <c r="G68" s="32">
        <v>72380.0</v>
      </c>
      <c r="H68" s="40"/>
      <c r="I68" s="35">
        <f t="shared" si="63"/>
        <v>0.150033062</v>
      </c>
      <c r="J68" s="2"/>
      <c r="K68" s="56"/>
      <c r="L68" s="2"/>
      <c r="M68" s="56">
        <f t="shared" ref="M68:N68" si="64">M35/SUM($M$35:$N$35)</f>
        <v>0.5782079341</v>
      </c>
      <c r="N68" s="56">
        <f t="shared" si="64"/>
        <v>0.4217920659</v>
      </c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5"/>
      <c r="AC68" s="55"/>
      <c r="AD68" s="55"/>
      <c r="AE68" s="103">
        <f t="shared" si="46"/>
        <v>417248712.5</v>
      </c>
      <c r="AF68" s="103">
        <f t="shared" si="47"/>
        <v>520562280.3</v>
      </c>
      <c r="AG68" s="104">
        <f t="shared" si="48"/>
        <v>1.247606678</v>
      </c>
      <c r="AH68" s="55"/>
      <c r="AI68" s="69">
        <f t="shared" ref="AI68:AJ68" si="65">AI55</f>
        <v>0.1061309164</v>
      </c>
      <c r="AJ68" s="69">
        <f t="shared" si="65"/>
        <v>0.07864733318</v>
      </c>
      <c r="AK68" s="69">
        <f t="shared" si="50"/>
        <v>-0.2589592567</v>
      </c>
      <c r="AL68" s="5"/>
      <c r="AM68" s="5"/>
      <c r="AN68" s="46"/>
    </row>
    <row r="69">
      <c r="A69" s="35">
        <f t="shared" si="62"/>
        <v>0</v>
      </c>
      <c r="B69" s="41" t="s">
        <v>84</v>
      </c>
      <c r="C69" s="32"/>
      <c r="D69" s="53"/>
      <c r="E69" s="2"/>
      <c r="F69" s="41" t="s">
        <v>84</v>
      </c>
      <c r="G69" s="32"/>
      <c r="H69" s="53"/>
      <c r="I69" s="35">
        <f t="shared" si="63"/>
        <v>0</v>
      </c>
      <c r="J69" s="2"/>
      <c r="K69" s="56"/>
      <c r="L69" s="2"/>
      <c r="M69" s="58">
        <f t="shared" ref="M69:N69" si="66">$N$67*M68</f>
        <v>260193570.4</v>
      </c>
      <c r="N69" s="58">
        <f t="shared" si="66"/>
        <v>189806429.6</v>
      </c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</row>
    <row r="70">
      <c r="A70" s="35">
        <f t="shared" si="62"/>
        <v>0</v>
      </c>
      <c r="B70" s="41" t="s">
        <v>85</v>
      </c>
      <c r="C70" s="32"/>
      <c r="D70" s="53"/>
      <c r="E70" s="2"/>
      <c r="F70" s="41" t="s">
        <v>85</v>
      </c>
      <c r="G70" s="32"/>
      <c r="H70" s="53"/>
      <c r="I70" s="35">
        <f t="shared" si="63"/>
        <v>0</v>
      </c>
      <c r="J70" s="2"/>
      <c r="K70" s="56"/>
      <c r="L70" s="4">
        <v>30.0</v>
      </c>
      <c r="M70" s="58">
        <f t="shared" ref="M70:N70" si="67">M69/$L$70</f>
        <v>8673119.012</v>
      </c>
      <c r="N70" s="58">
        <f t="shared" si="67"/>
        <v>6326880.988</v>
      </c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5"/>
      <c r="AC70" s="5"/>
      <c r="AD70" s="5"/>
      <c r="AE70" s="105" t="s">
        <v>128</v>
      </c>
      <c r="AF70" s="105" t="s">
        <v>129</v>
      </c>
      <c r="AG70" s="51"/>
      <c r="AH70" s="51"/>
      <c r="AI70" s="51"/>
      <c r="AJ70" s="51"/>
      <c r="AK70" s="51" t="str">
        <f t="shared" ref="AK70:AL70" si="68">AE70</f>
        <v>Декабрь</v>
      </c>
      <c r="AL70" s="51" t="str">
        <f t="shared" si="68"/>
        <v>Январь</v>
      </c>
      <c r="AM70" s="5"/>
      <c r="AN70" s="5"/>
    </row>
    <row r="71">
      <c r="A71" s="35">
        <f t="shared" si="62"/>
        <v>0</v>
      </c>
      <c r="B71" s="41" t="s">
        <v>88</v>
      </c>
      <c r="C71" s="58"/>
      <c r="D71" s="53"/>
      <c r="E71" s="2"/>
      <c r="F71" s="41" t="s">
        <v>88</v>
      </c>
      <c r="G71" s="58"/>
      <c r="H71" s="53"/>
      <c r="I71" s="35">
        <f t="shared" si="63"/>
        <v>0</v>
      </c>
      <c r="J71" s="2"/>
      <c r="K71" s="56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5"/>
      <c r="AC71" s="5"/>
      <c r="AD71" s="5"/>
      <c r="AE71" s="14" t="s">
        <v>17</v>
      </c>
      <c r="AF71" s="14" t="s">
        <v>17</v>
      </c>
      <c r="AG71" s="14" t="s">
        <v>48</v>
      </c>
      <c r="AH71" s="5"/>
      <c r="AI71" s="72" t="s">
        <v>71</v>
      </c>
      <c r="AK71" s="14" t="s">
        <v>64</v>
      </c>
      <c r="AL71" s="14" t="s">
        <v>64</v>
      </c>
      <c r="AM71" s="14" t="s">
        <v>48</v>
      </c>
      <c r="AN71" s="5"/>
    </row>
    <row r="72">
      <c r="A72" s="2"/>
      <c r="B72" s="41" t="s">
        <v>42</v>
      </c>
      <c r="C72" s="30">
        <f>SUM(C67:C71)</f>
        <v>461196</v>
      </c>
      <c r="D72" s="53"/>
      <c r="E72" s="2"/>
      <c r="F72" s="41" t="s">
        <v>42</v>
      </c>
      <c r="G72" s="30">
        <f>SUM(G67:G71)</f>
        <v>482427</v>
      </c>
      <c r="H72" s="53"/>
      <c r="I72" s="2"/>
      <c r="J72" s="2"/>
      <c r="K72" s="56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5"/>
      <c r="AC72" s="21" t="s">
        <v>24</v>
      </c>
      <c r="AD72" s="22" t="s">
        <v>19</v>
      </c>
      <c r="AE72" s="23">
        <f>'Декабрь 25'!AC80</f>
        <v>113706034</v>
      </c>
      <c r="AF72" s="23">
        <f t="shared" ref="AF72:AF81" si="69">AF58</f>
        <v>198719614</v>
      </c>
      <c r="AG72" s="63">
        <f t="shared" ref="AG72:AG82" si="70">AF72/AE72-1</f>
        <v>0.7476611136</v>
      </c>
      <c r="AH72" s="5"/>
      <c r="AI72" s="21" t="s">
        <v>24</v>
      </c>
      <c r="AJ72" s="22" t="s">
        <v>19</v>
      </c>
      <c r="AK72" s="63">
        <f>'Декабрь 25'!AI80</f>
        <v>0.04619627838</v>
      </c>
      <c r="AL72" s="63">
        <f t="shared" ref="AL72:AL81" si="71">AJ45</f>
        <v>0.04815838863</v>
      </c>
      <c r="AM72" s="63">
        <f t="shared" ref="AM72:AM82" si="72">AL72/AK72-1</f>
        <v>0.04247334035</v>
      </c>
      <c r="AN72" s="5"/>
    </row>
    <row r="73">
      <c r="A73" s="2"/>
      <c r="B73" s="41" t="s">
        <v>43</v>
      </c>
      <c r="C73" s="58"/>
      <c r="D73" s="54">
        <f>Q35</f>
        <v>3639698</v>
      </c>
      <c r="E73" s="2"/>
      <c r="F73" s="41" t="s">
        <v>43</v>
      </c>
      <c r="G73" s="58"/>
      <c r="H73" s="54">
        <f>R35</f>
        <v>2771328</v>
      </c>
      <c r="I73" s="2"/>
      <c r="J73" s="2"/>
      <c r="K73" s="56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5"/>
      <c r="AD73" s="22" t="s">
        <v>27</v>
      </c>
      <c r="AE73" s="23">
        <f>'Декабрь 25'!AC81</f>
        <v>109193402</v>
      </c>
      <c r="AF73" s="23">
        <f t="shared" si="69"/>
        <v>137101317</v>
      </c>
      <c r="AG73" s="63">
        <f t="shared" si="70"/>
        <v>0.2555824298</v>
      </c>
      <c r="AH73" s="5"/>
      <c r="AJ73" s="22" t="s">
        <v>27</v>
      </c>
      <c r="AK73" s="63">
        <f>'Декабрь 25'!AI81</f>
        <v>0.04654316934</v>
      </c>
      <c r="AL73" s="63">
        <f t="shared" si="71"/>
        <v>0.04142536209</v>
      </c>
      <c r="AM73" s="63">
        <f t="shared" si="72"/>
        <v>-0.1099582886</v>
      </c>
      <c r="AN73" s="5"/>
    </row>
    <row r="74">
      <c r="A74" s="2"/>
      <c r="B74" s="41" t="s">
        <v>44</v>
      </c>
      <c r="C74" s="2"/>
      <c r="D74" s="57">
        <f>C72/D73</f>
        <v>0.1267127108</v>
      </c>
      <c r="E74" s="2"/>
      <c r="F74" s="41" t="s">
        <v>44</v>
      </c>
      <c r="G74" s="2"/>
      <c r="H74" s="57">
        <f>G72/H73</f>
        <v>0.174077915</v>
      </c>
      <c r="I74" s="2"/>
      <c r="J74" s="2"/>
      <c r="K74" s="56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5"/>
      <c r="AC74" s="21" t="s">
        <v>18</v>
      </c>
      <c r="AD74" s="22" t="s">
        <v>19</v>
      </c>
      <c r="AE74" s="23">
        <f>'Декабрь 25'!AC82</f>
        <v>87879382.57</v>
      </c>
      <c r="AF74" s="23">
        <f t="shared" si="69"/>
        <v>101356193</v>
      </c>
      <c r="AG74" s="63">
        <f t="shared" si="70"/>
        <v>0.1533557703</v>
      </c>
      <c r="AH74" s="5"/>
      <c r="AI74" s="21" t="s">
        <v>18</v>
      </c>
      <c r="AJ74" s="22" t="s">
        <v>19</v>
      </c>
      <c r="AK74" s="63">
        <f>'Декабрь 25'!AI82</f>
        <v>0.1458526747</v>
      </c>
      <c r="AL74" s="63">
        <f t="shared" si="71"/>
        <v>0.149899977</v>
      </c>
      <c r="AM74" s="63">
        <f t="shared" si="72"/>
        <v>0.02774924993</v>
      </c>
      <c r="AN74" s="5"/>
    </row>
    <row r="75">
      <c r="A75" s="35">
        <f>D74/C75</f>
        <v>0.7039595043</v>
      </c>
      <c r="B75" s="41" t="s">
        <v>47</v>
      </c>
      <c r="C75" s="35">
        <v>0.18</v>
      </c>
      <c r="D75" s="54">
        <f>D73*C75</f>
        <v>655145.64</v>
      </c>
      <c r="E75" s="2"/>
      <c r="F75" s="41" t="s">
        <v>47</v>
      </c>
      <c r="G75" s="35">
        <v>0.175</v>
      </c>
      <c r="H75" s="54">
        <f>H73*G75</f>
        <v>484982.4</v>
      </c>
      <c r="I75" s="35">
        <f>H74/G75</f>
        <v>0.9947309428</v>
      </c>
      <c r="J75" s="2"/>
      <c r="K75" s="56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5"/>
      <c r="AD75" s="22" t="s">
        <v>27</v>
      </c>
      <c r="AE75" s="23">
        <f>'Декабрь 25'!AC83</f>
        <v>79878694.3</v>
      </c>
      <c r="AF75" s="23">
        <f t="shared" si="69"/>
        <v>74707614.21</v>
      </c>
      <c r="AG75" s="63">
        <f t="shared" si="70"/>
        <v>-0.06473666265</v>
      </c>
      <c r="AH75" s="5"/>
      <c r="AJ75" s="22" t="s">
        <v>27</v>
      </c>
      <c r="AK75" s="63">
        <f>'Декабрь 25'!AI83</f>
        <v>0.1371911008</v>
      </c>
      <c r="AL75" s="63">
        <f t="shared" si="71"/>
        <v>0.1278910202</v>
      </c>
      <c r="AM75" s="63">
        <f t="shared" si="72"/>
        <v>-0.06778924077</v>
      </c>
      <c r="AN75" s="5"/>
    </row>
    <row r="76">
      <c r="A76" s="2"/>
      <c r="B76" s="77" t="s">
        <v>50</v>
      </c>
      <c r="C76" s="61"/>
      <c r="D76" s="62">
        <f>C72-D75</f>
        <v>-193949.64</v>
      </c>
      <c r="E76" s="2"/>
      <c r="F76" s="77" t="s">
        <v>50</v>
      </c>
      <c r="G76" s="61"/>
      <c r="H76" s="62">
        <f>G72-H75</f>
        <v>-2555.4</v>
      </c>
      <c r="I76" s="2"/>
      <c r="J76" s="2"/>
      <c r="K76" s="56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5"/>
      <c r="AC76" s="21" t="s">
        <v>31</v>
      </c>
      <c r="AD76" s="22" t="s">
        <v>19</v>
      </c>
      <c r="AE76" s="23">
        <f>'Декабрь 25'!AC84</f>
        <v>3359015.829</v>
      </c>
      <c r="AF76" s="23">
        <f t="shared" si="69"/>
        <v>3150063.338</v>
      </c>
      <c r="AG76" s="63">
        <f t="shared" si="70"/>
        <v>-0.0622064621</v>
      </c>
      <c r="AH76" s="5"/>
      <c r="AI76" s="21" t="s">
        <v>31</v>
      </c>
      <c r="AJ76" s="22" t="s">
        <v>19</v>
      </c>
      <c r="AK76" s="63">
        <f>'Декабрь 25'!AI84</f>
        <v>0.1794311283</v>
      </c>
      <c r="AL76" s="63">
        <f t="shared" si="71"/>
        <v>0.1464084847</v>
      </c>
      <c r="AM76" s="63">
        <f t="shared" si="72"/>
        <v>-0.1840407731</v>
      </c>
      <c r="AN76" s="5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56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5"/>
      <c r="AD77" s="22" t="s">
        <v>27</v>
      </c>
      <c r="AE77" s="23">
        <f>'Декабрь 25'!AC85</f>
        <v>3190903.338</v>
      </c>
      <c r="AF77" s="23">
        <f t="shared" si="69"/>
        <v>2508567.757</v>
      </c>
      <c r="AG77" s="63">
        <f t="shared" si="70"/>
        <v>-0.2138377469</v>
      </c>
      <c r="AH77" s="5"/>
      <c r="AJ77" s="22" t="s">
        <v>27</v>
      </c>
      <c r="AK77" s="63">
        <f>'Декабрь 25'!AI85</f>
        <v>0.2099913188</v>
      </c>
      <c r="AL77" s="63">
        <f t="shared" si="71"/>
        <v>0.1923117279</v>
      </c>
      <c r="AM77" s="63">
        <f t="shared" si="72"/>
        <v>-0.08419200838</v>
      </c>
      <c r="AN77" s="5"/>
    </row>
    <row r="78">
      <c r="A78" s="2"/>
      <c r="B78" s="58" t="s">
        <v>51</v>
      </c>
      <c r="C78" s="58"/>
      <c r="D78" s="64">
        <f>Q42</f>
        <v>3741104</v>
      </c>
      <c r="E78" s="2"/>
      <c r="F78" s="58" t="s">
        <v>51</v>
      </c>
      <c r="G78" s="58"/>
      <c r="H78" s="64">
        <f>R42</f>
        <v>3478652</v>
      </c>
      <c r="I78" s="2"/>
      <c r="J78" s="2"/>
      <c r="K78" s="56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5"/>
      <c r="AC78" s="44" t="s">
        <v>34</v>
      </c>
      <c r="AD78" s="22" t="s">
        <v>19</v>
      </c>
      <c r="AE78" s="23">
        <f>'Декабрь 25'!AC86</f>
        <v>328073</v>
      </c>
      <c r="AF78" s="23">
        <f t="shared" si="69"/>
        <v>355446</v>
      </c>
      <c r="AG78" s="63">
        <f t="shared" si="70"/>
        <v>0.08343569876</v>
      </c>
      <c r="AH78" s="5"/>
      <c r="AI78" s="44" t="s">
        <v>34</v>
      </c>
      <c r="AJ78" s="22" t="s">
        <v>19</v>
      </c>
      <c r="AK78" s="63">
        <f>'Декабрь 25'!AI86</f>
        <v>0</v>
      </c>
      <c r="AL78" s="63">
        <f t="shared" si="71"/>
        <v>0</v>
      </c>
      <c r="AM78" s="63" t="str">
        <f t="shared" si="72"/>
        <v>#DIV/0!</v>
      </c>
      <c r="AN78" s="5"/>
    </row>
    <row r="79">
      <c r="A79" s="2"/>
      <c r="B79" s="2" t="s">
        <v>52</v>
      </c>
      <c r="C79" s="2"/>
      <c r="D79" s="30">
        <f>D73/$C$1</f>
        <v>117409.6129</v>
      </c>
      <c r="E79" s="2"/>
      <c r="F79" s="2" t="s">
        <v>52</v>
      </c>
      <c r="G79" s="2"/>
      <c r="H79" s="30">
        <f>H73/$C$1</f>
        <v>89397.67742</v>
      </c>
      <c r="I79" s="2"/>
      <c r="J79" s="2"/>
      <c r="K79" s="56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5"/>
      <c r="AD79" s="22" t="s">
        <v>27</v>
      </c>
      <c r="AE79" s="23">
        <f>'Декабрь 25'!AC87</f>
        <v>1282517</v>
      </c>
      <c r="AF79" s="23">
        <f t="shared" si="69"/>
        <v>1476980</v>
      </c>
      <c r="AG79" s="63">
        <f t="shared" si="70"/>
        <v>0.1516260603</v>
      </c>
      <c r="AH79" s="5"/>
      <c r="AJ79" s="22" t="s">
        <v>27</v>
      </c>
      <c r="AK79" s="63">
        <f>'Декабрь 25'!AI87</f>
        <v>0</v>
      </c>
      <c r="AL79" s="63">
        <f t="shared" si="71"/>
        <v>0</v>
      </c>
      <c r="AM79" s="63" t="str">
        <f t="shared" si="72"/>
        <v>#DIV/0!</v>
      </c>
      <c r="AN79" s="5"/>
    </row>
    <row r="80">
      <c r="A80" s="2"/>
      <c r="B80" s="2" t="s">
        <v>53</v>
      </c>
      <c r="C80" s="2"/>
      <c r="D80" s="30">
        <f>D78/$G$1*$C$1</f>
        <v>3741104</v>
      </c>
      <c r="E80" s="2"/>
      <c r="F80" s="2" t="s">
        <v>53</v>
      </c>
      <c r="G80" s="2"/>
      <c r="H80" s="30">
        <f>H78/$G$1*$C$1</f>
        <v>3478652</v>
      </c>
      <c r="I80" s="2"/>
      <c r="J80" s="2"/>
      <c r="K80" s="56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5"/>
      <c r="AC80" s="44" t="s">
        <v>37</v>
      </c>
      <c r="AD80" s="22" t="s">
        <v>19</v>
      </c>
      <c r="AE80" s="23">
        <f>'Декабрь 25'!AC88</f>
        <v>74449</v>
      </c>
      <c r="AF80" s="23">
        <f t="shared" si="69"/>
        <v>338963</v>
      </c>
      <c r="AG80" s="63">
        <f t="shared" si="70"/>
        <v>3.552955715</v>
      </c>
      <c r="AH80" s="5"/>
      <c r="AI80" s="44" t="s">
        <v>37</v>
      </c>
      <c r="AJ80" s="22" t="s">
        <v>19</v>
      </c>
      <c r="AK80" s="63">
        <f>'Декабрь 25'!AI88</f>
        <v>0</v>
      </c>
      <c r="AL80" s="63">
        <f t="shared" si="71"/>
        <v>0</v>
      </c>
      <c r="AM80" s="63" t="str">
        <f t="shared" si="72"/>
        <v>#DIV/0!</v>
      </c>
      <c r="AN80" s="5"/>
    </row>
    <row r="81">
      <c r="A81" s="2"/>
      <c r="B81" s="2" t="s">
        <v>54</v>
      </c>
      <c r="C81" s="2"/>
      <c r="D81" s="30" t="str">
        <f>(D78-D73)/($G$1-$C$1)</f>
        <v>#DIV/0!</v>
      </c>
      <c r="E81" s="2"/>
      <c r="F81" s="2" t="s">
        <v>54</v>
      </c>
      <c r="G81" s="2"/>
      <c r="H81" s="30" t="str">
        <f>(H78-H73)/($G$1-$C$1)</f>
        <v>#DIV/0!</v>
      </c>
      <c r="I81" s="2"/>
      <c r="J81" s="2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5"/>
      <c r="AD81" s="22" t="s">
        <v>27</v>
      </c>
      <c r="AE81" s="23">
        <f>'Декабрь 25'!AC89</f>
        <v>710399</v>
      </c>
      <c r="AF81" s="23">
        <f t="shared" si="69"/>
        <v>847522</v>
      </c>
      <c r="AG81" s="63">
        <f t="shared" si="70"/>
        <v>0.1930225127</v>
      </c>
      <c r="AH81" s="55"/>
      <c r="AJ81" s="22" t="s">
        <v>27</v>
      </c>
      <c r="AK81" s="63">
        <f>'Декабрь 25'!AI89</f>
        <v>0</v>
      </c>
      <c r="AL81" s="63">
        <f t="shared" si="71"/>
        <v>0</v>
      </c>
      <c r="AM81" s="63" t="str">
        <f t="shared" si="72"/>
        <v>#DIV/0!</v>
      </c>
      <c r="AN81" s="55"/>
    </row>
    <row r="82">
      <c r="A82" s="2"/>
      <c r="B82" s="2" t="s">
        <v>89</v>
      </c>
      <c r="C82" s="2"/>
      <c r="D82" s="30">
        <f>D73-D80</f>
        <v>-101406</v>
      </c>
      <c r="E82" s="2"/>
      <c r="F82" s="2" t="s">
        <v>89</v>
      </c>
      <c r="G82" s="2"/>
      <c r="H82" s="30">
        <f>H73-H80</f>
        <v>-707324</v>
      </c>
      <c r="I82" s="2"/>
      <c r="J82" s="2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5"/>
      <c r="AC82" s="55"/>
      <c r="AD82" s="55"/>
      <c r="AE82" s="52">
        <f t="shared" ref="AE82:AF82" si="73">SUM(AE72:AE81)</f>
        <v>399602870</v>
      </c>
      <c r="AF82" s="52">
        <f t="shared" si="73"/>
        <v>520562280.3</v>
      </c>
      <c r="AG82" s="69">
        <f t="shared" si="70"/>
        <v>0.3026990528</v>
      </c>
      <c r="AH82" s="55"/>
      <c r="AI82" s="55"/>
      <c r="AJ82" s="55"/>
      <c r="AK82" s="69">
        <f>'Декабрь 25'!AH92</f>
        <v>0.08693440319</v>
      </c>
      <c r="AL82" s="69">
        <f>AJ68</f>
        <v>0.07864733318</v>
      </c>
      <c r="AM82" s="69">
        <f t="shared" si="72"/>
        <v>-0.09532555245</v>
      </c>
      <c r="AN82" s="55"/>
    </row>
    <row r="83">
      <c r="A83" s="2"/>
      <c r="B83" s="2" t="s">
        <v>56</v>
      </c>
      <c r="C83" s="2"/>
      <c r="D83" s="30">
        <f>D73/$C$1*$G$1</f>
        <v>3639698</v>
      </c>
      <c r="E83" s="2"/>
      <c r="F83" s="2" t="s">
        <v>56</v>
      </c>
      <c r="G83" s="2"/>
      <c r="H83" s="30">
        <f>H73/$C$1*$G$1</f>
        <v>2771328</v>
      </c>
      <c r="I83" s="2"/>
      <c r="J83" s="2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5"/>
      <c r="AC83" s="55"/>
      <c r="AD83" s="55"/>
      <c r="AE83" s="55"/>
      <c r="AF83" s="55"/>
      <c r="AG83" s="52">
        <f>AF82-AE82</f>
        <v>120959410.3</v>
      </c>
      <c r="AH83" s="55"/>
      <c r="AI83" s="55"/>
      <c r="AJ83" s="55"/>
      <c r="AK83" s="55"/>
      <c r="AL83" s="55"/>
      <c r="AM83" s="55"/>
      <c r="AN83" s="55"/>
    </row>
    <row r="84">
      <c r="A84" s="2"/>
      <c r="B84" s="66" t="s">
        <v>57</v>
      </c>
      <c r="C84" s="66"/>
      <c r="D84" s="67">
        <f>D83/D78</f>
        <v>0.9728940976</v>
      </c>
      <c r="E84" s="2"/>
      <c r="F84" s="66" t="s">
        <v>57</v>
      </c>
      <c r="G84" s="66"/>
      <c r="H84" s="67">
        <f>H83/H78</f>
        <v>0.7966672148</v>
      </c>
      <c r="I84" s="2"/>
      <c r="J84" s="2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  <c r="AK85" s="56"/>
      <c r="AL85" s="56"/>
      <c r="AM85" s="56"/>
      <c r="AN85" s="56"/>
    </row>
    <row r="86">
      <c r="A86" s="2"/>
      <c r="B86" s="70" t="s">
        <v>34</v>
      </c>
      <c r="C86" s="17"/>
      <c r="D86" s="17"/>
      <c r="E86" s="17"/>
      <c r="F86" s="17"/>
      <c r="G86" s="17"/>
      <c r="H86" s="18"/>
      <c r="I86" s="2"/>
      <c r="J86" s="2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6"/>
    </row>
    <row r="87">
      <c r="A87" s="2"/>
      <c r="B87" s="70" t="str">
        <f>B66</f>
        <v>Биг–Л / Январь | до </v>
      </c>
      <c r="C87" s="17"/>
      <c r="D87" s="28">
        <f>$D$4</f>
        <v>46053</v>
      </c>
      <c r="E87" s="2"/>
      <c r="F87" s="70" t="str">
        <f>F66</f>
        <v>Смарт/ Январь| до </v>
      </c>
      <c r="G87" s="17"/>
      <c r="H87" s="28">
        <f>$D$4</f>
        <v>46053</v>
      </c>
      <c r="I87" s="2"/>
      <c r="J87" s="2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6"/>
    </row>
    <row r="88">
      <c r="A88" s="2"/>
      <c r="B88" s="106" t="s">
        <v>90</v>
      </c>
      <c r="C88" s="107"/>
      <c r="D88" s="108">
        <v>23945.9</v>
      </c>
      <c r="E88" s="2"/>
      <c r="F88" s="106" t="s">
        <v>90</v>
      </c>
      <c r="G88" s="107"/>
      <c r="H88" s="108">
        <v>63087.19</v>
      </c>
      <c r="I88" s="2"/>
      <c r="J88" s="2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  <c r="AK88" s="56"/>
      <c r="AL88" s="56"/>
      <c r="AM88" s="56"/>
      <c r="AN88" s="56"/>
    </row>
    <row r="89">
      <c r="A89" s="2"/>
      <c r="B89" s="41" t="s">
        <v>43</v>
      </c>
      <c r="C89" s="2"/>
      <c r="D89" s="54">
        <f>S35</f>
        <v>355446</v>
      </c>
      <c r="E89" s="2"/>
      <c r="F89" s="41" t="s">
        <v>43</v>
      </c>
      <c r="G89" s="2"/>
      <c r="H89" s="54">
        <f>T35</f>
        <v>1486093</v>
      </c>
      <c r="I89" s="2"/>
      <c r="J89" s="2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  <c r="AK89" s="56"/>
      <c r="AL89" s="56"/>
      <c r="AM89" s="56"/>
      <c r="AN89" s="56"/>
    </row>
    <row r="90">
      <c r="A90" s="2"/>
      <c r="B90" s="41" t="s">
        <v>44</v>
      </c>
      <c r="C90" s="2"/>
      <c r="D90" s="57">
        <f>D88/D89</f>
        <v>0.0673686017</v>
      </c>
      <c r="E90" s="2"/>
      <c r="F90" s="41" t="s">
        <v>44</v>
      </c>
      <c r="G90" s="2"/>
      <c r="H90" s="57">
        <f>H88/H89</f>
        <v>0.04245171063</v>
      </c>
      <c r="I90" s="2"/>
      <c r="J90" s="2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  <c r="AM90" s="56"/>
      <c r="AN90" s="56"/>
    </row>
    <row r="91">
      <c r="A91" s="2"/>
      <c r="B91" s="41" t="s">
        <v>47</v>
      </c>
      <c r="C91" s="35">
        <v>0.15</v>
      </c>
      <c r="D91" s="54">
        <f>D89*C91</f>
        <v>53316.9</v>
      </c>
      <c r="E91" s="2"/>
      <c r="F91" s="41" t="s">
        <v>47</v>
      </c>
      <c r="G91" s="35">
        <v>0.15</v>
      </c>
      <c r="H91" s="54">
        <f>H89*G91</f>
        <v>222913.95</v>
      </c>
      <c r="I91" s="2"/>
      <c r="J91" s="2"/>
      <c r="K91" s="56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>
      <c r="A92" s="2"/>
      <c r="B92" s="77" t="s">
        <v>50</v>
      </c>
      <c r="C92" s="61"/>
      <c r="D92" s="62">
        <f>C88-D91</f>
        <v>-53316.9</v>
      </c>
      <c r="E92" s="2"/>
      <c r="F92" s="77" t="s">
        <v>50</v>
      </c>
      <c r="G92" s="61"/>
      <c r="H92" s="62">
        <f>G88-H91</f>
        <v>-222913.95</v>
      </c>
      <c r="I92" s="2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  <c r="AK92" s="56"/>
      <c r="AL92" s="56"/>
      <c r="AM92" s="56"/>
      <c r="AN92" s="56"/>
    </row>
    <row r="93">
      <c r="A93" s="2"/>
      <c r="B93" s="2"/>
      <c r="C93" s="2"/>
      <c r="D93" s="2"/>
      <c r="E93" s="2"/>
      <c r="F93" s="2"/>
      <c r="G93" s="2"/>
      <c r="H93" s="2"/>
      <c r="I93" s="2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  <c r="AK93" s="56"/>
      <c r="AL93" s="56"/>
      <c r="AM93" s="56"/>
      <c r="AN93" s="56"/>
    </row>
    <row r="94">
      <c r="A94" s="2"/>
      <c r="B94" s="58" t="s">
        <v>51</v>
      </c>
      <c r="C94" s="2"/>
      <c r="D94" s="64">
        <f>S42</f>
        <v>341575</v>
      </c>
      <c r="E94" s="2"/>
      <c r="F94" s="58" t="s">
        <v>51</v>
      </c>
      <c r="G94" s="2"/>
      <c r="H94" s="64">
        <f>T42</f>
        <v>1332348</v>
      </c>
      <c r="I94" s="2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N94" s="56"/>
    </row>
    <row r="95">
      <c r="A95" s="2"/>
      <c r="B95" s="2" t="s">
        <v>52</v>
      </c>
      <c r="C95" s="2"/>
      <c r="D95" s="30">
        <f>D89/$C$1</f>
        <v>11466</v>
      </c>
      <c r="E95" s="2"/>
      <c r="F95" s="2" t="s">
        <v>52</v>
      </c>
      <c r="G95" s="2"/>
      <c r="H95" s="30">
        <f>H89/$C$1</f>
        <v>47938.48387</v>
      </c>
      <c r="I95" s="2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  <c r="AM95" s="56"/>
      <c r="AN95" s="56"/>
    </row>
    <row r="96">
      <c r="A96" s="2"/>
      <c r="B96" s="2" t="s">
        <v>53</v>
      </c>
      <c r="C96" s="2"/>
      <c r="D96" s="30">
        <f>D94/$G$1*$C$1</f>
        <v>341575</v>
      </c>
      <c r="E96" s="2"/>
      <c r="F96" s="2" t="s">
        <v>53</v>
      </c>
      <c r="G96" s="2"/>
      <c r="H96" s="30">
        <f>H94/$G$1*$C$1</f>
        <v>1332348</v>
      </c>
      <c r="I96" s="2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</row>
    <row r="97">
      <c r="A97" s="2"/>
      <c r="B97" s="2" t="s">
        <v>54</v>
      </c>
      <c r="C97" s="2"/>
      <c r="D97" s="30" t="str">
        <f>(D94-D89)/($G$1-$C$1)</f>
        <v>#DIV/0!</v>
      </c>
      <c r="E97" s="2"/>
      <c r="F97" s="2" t="s">
        <v>54</v>
      </c>
      <c r="G97" s="2"/>
      <c r="H97" s="30" t="str">
        <f>(H94-H89)/($G$1-$C$1)</f>
        <v>#DIV/0!</v>
      </c>
      <c r="I97" s="2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6"/>
    </row>
    <row r="98">
      <c r="A98" s="2"/>
      <c r="B98" s="2" t="s">
        <v>89</v>
      </c>
      <c r="C98" s="2"/>
      <c r="D98" s="30">
        <f>D89-D96</f>
        <v>13871</v>
      </c>
      <c r="E98" s="2"/>
      <c r="F98" s="2" t="s">
        <v>89</v>
      </c>
      <c r="G98" s="2"/>
      <c r="H98" s="30">
        <f>H89-H96</f>
        <v>153745</v>
      </c>
      <c r="I98" s="2"/>
      <c r="J98" s="2"/>
      <c r="K98" s="56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>
      <c r="A99" s="2"/>
      <c r="B99" s="2" t="s">
        <v>56</v>
      </c>
      <c r="C99" s="2"/>
      <c r="D99" s="30">
        <f>D89/$C$1*$G$1</f>
        <v>355446</v>
      </c>
      <c r="E99" s="2"/>
      <c r="F99" s="2" t="s">
        <v>56</v>
      </c>
      <c r="G99" s="2"/>
      <c r="H99" s="30">
        <f>H89/$C$1*$G$1</f>
        <v>1486093</v>
      </c>
      <c r="I99" s="2"/>
      <c r="J99" s="2"/>
      <c r="K99" s="56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>
      <c r="A100" s="2"/>
      <c r="B100" s="66" t="s">
        <v>57</v>
      </c>
      <c r="C100" s="66"/>
      <c r="D100" s="67">
        <f>D99/D94</f>
        <v>1.040608944</v>
      </c>
      <c r="E100" s="2"/>
      <c r="F100" s="66" t="s">
        <v>57</v>
      </c>
      <c r="G100" s="66"/>
      <c r="H100" s="67">
        <f>H99/H94</f>
        <v>1.115394026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>
      <c r="A102" s="2"/>
      <c r="B102" s="26" t="s">
        <v>91</v>
      </c>
      <c r="C102" s="17"/>
      <c r="D102" s="17"/>
      <c r="E102" s="17"/>
      <c r="F102" s="17"/>
      <c r="G102" s="17"/>
      <c r="H102" s="18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>
      <c r="A103" s="2"/>
      <c r="B103" s="70" t="str">
        <f>B82</f>
        <v>Разница от плана</v>
      </c>
      <c r="C103" s="17"/>
      <c r="D103" s="28">
        <f>$D$4</f>
        <v>46053</v>
      </c>
      <c r="E103" s="2"/>
      <c r="F103" s="70" t="str">
        <f>F82</f>
        <v>Разница от плана</v>
      </c>
      <c r="G103" s="17"/>
      <c r="H103" s="28">
        <f>$D$4</f>
        <v>46053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>
      <c r="A104" s="2"/>
      <c r="B104" s="106" t="s">
        <v>90</v>
      </c>
      <c r="C104" s="109"/>
      <c r="D104" s="111"/>
      <c r="E104" s="2"/>
      <c r="F104" s="106" t="s">
        <v>90</v>
      </c>
      <c r="G104" s="109"/>
      <c r="H104" s="111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>
      <c r="A105" s="2"/>
      <c r="B105" s="41" t="s">
        <v>43</v>
      </c>
      <c r="C105" s="2"/>
      <c r="D105" s="54">
        <f>W35</f>
        <v>16504.5</v>
      </c>
      <c r="E105" s="2"/>
      <c r="F105" s="41" t="s">
        <v>43</v>
      </c>
      <c r="G105" s="2"/>
      <c r="H105" s="54">
        <f>X35</f>
        <v>54552.52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>
      <c r="A106" s="2"/>
      <c r="B106" s="41" t="s">
        <v>44</v>
      </c>
      <c r="C106" s="2"/>
      <c r="D106" s="57">
        <f>C104/D105</f>
        <v>0</v>
      </c>
      <c r="E106" s="2"/>
      <c r="F106" s="41" t="s">
        <v>44</v>
      </c>
      <c r="G106" s="2"/>
      <c r="H106" s="57">
        <f>G104/H105</f>
        <v>0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>
      <c r="A107" s="2"/>
      <c r="B107" s="41" t="s">
        <v>47</v>
      </c>
      <c r="C107" s="35">
        <v>0.15</v>
      </c>
      <c r="D107" s="54">
        <f>D105*C107</f>
        <v>2475.675</v>
      </c>
      <c r="E107" s="2"/>
      <c r="F107" s="41" t="s">
        <v>47</v>
      </c>
      <c r="G107" s="35">
        <v>0.15</v>
      </c>
      <c r="H107" s="54">
        <f>H105*G107</f>
        <v>8182.878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>
      <c r="A108" s="2"/>
      <c r="B108" s="77" t="s">
        <v>50</v>
      </c>
      <c r="C108" s="61"/>
      <c r="D108" s="62">
        <f>C104-D107</f>
        <v>-2475.675</v>
      </c>
      <c r="E108" s="2"/>
      <c r="F108" s="77" t="s">
        <v>50</v>
      </c>
      <c r="G108" s="61"/>
      <c r="H108" s="62">
        <f>G104-H107</f>
        <v>-8182.878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>
      <c r="A110" s="2"/>
      <c r="B110" s="58" t="s">
        <v>51</v>
      </c>
      <c r="C110" s="2"/>
      <c r="D110" s="65">
        <v>0.0</v>
      </c>
      <c r="E110" s="2"/>
      <c r="F110" s="58" t="s">
        <v>51</v>
      </c>
      <c r="G110" s="2"/>
      <c r="H110" s="65">
        <v>0.0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>
      <c r="A111" s="2"/>
      <c r="B111" s="2" t="s">
        <v>52</v>
      </c>
      <c r="C111" s="2"/>
      <c r="D111" s="30">
        <f>D105/$C$1</f>
        <v>532.4032258</v>
      </c>
      <c r="E111" s="2"/>
      <c r="F111" s="2" t="s">
        <v>52</v>
      </c>
      <c r="G111" s="2"/>
      <c r="H111" s="30">
        <f>H105/$C$1</f>
        <v>1759.75871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>
      <c r="A112" s="2"/>
      <c r="B112" s="2" t="s">
        <v>53</v>
      </c>
      <c r="C112" s="2"/>
      <c r="D112" s="30">
        <f>D110/$G$1*$C$1</f>
        <v>0</v>
      </c>
      <c r="E112" s="2"/>
      <c r="F112" s="2" t="s">
        <v>53</v>
      </c>
      <c r="G112" s="2"/>
      <c r="H112" s="30">
        <f>H110/$G$1*$C$1</f>
        <v>0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>
      <c r="A113" s="2"/>
      <c r="B113" s="2" t="s">
        <v>54</v>
      </c>
      <c r="C113" s="2"/>
      <c r="D113" s="30" t="str">
        <f>(D110-D105)/($G$1-$C$1)</f>
        <v>#DIV/0!</v>
      </c>
      <c r="E113" s="2"/>
      <c r="F113" s="2" t="s">
        <v>54</v>
      </c>
      <c r="G113" s="2"/>
      <c r="H113" s="30" t="str">
        <f>(H110-H105)/($G$1-$C$1)</f>
        <v>#DIV/0!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>
      <c r="A114" s="2"/>
      <c r="B114" s="2" t="s">
        <v>89</v>
      </c>
      <c r="C114" s="2"/>
      <c r="D114" s="30">
        <f>D105-D112</f>
        <v>16504.5</v>
      </c>
      <c r="E114" s="2"/>
      <c r="F114" s="2" t="s">
        <v>89</v>
      </c>
      <c r="G114" s="2"/>
      <c r="H114" s="30">
        <f>H105-H112</f>
        <v>54552.52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>
      <c r="A115" s="2"/>
      <c r="B115" s="2" t="s">
        <v>56</v>
      </c>
      <c r="C115" s="2"/>
      <c r="D115" s="30">
        <f>D105/$C$1*$G$1</f>
        <v>16504.5</v>
      </c>
      <c r="E115" s="2"/>
      <c r="F115" s="2" t="s">
        <v>56</v>
      </c>
      <c r="G115" s="2"/>
      <c r="H115" s="30">
        <f>H105/$C$1*$G$1</f>
        <v>54552.52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>
      <c r="A116" s="2"/>
      <c r="B116" s="66" t="s">
        <v>57</v>
      </c>
      <c r="C116" s="66"/>
      <c r="D116" s="67" t="str">
        <f>D115/D110</f>
        <v>#DIV/0!</v>
      </c>
      <c r="E116" s="2"/>
      <c r="F116" s="66" t="s">
        <v>57</v>
      </c>
      <c r="G116" s="66"/>
      <c r="H116" s="67" t="str">
        <f>H115/H110</f>
        <v>#DIV/0!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>
      <c r="A120" s="2"/>
      <c r="B120" s="26" t="s">
        <v>92</v>
      </c>
      <c r="C120" s="18"/>
      <c r="D120" s="2"/>
      <c r="E120" s="26" t="s">
        <v>51</v>
      </c>
      <c r="F120" s="18"/>
      <c r="G120" s="2"/>
      <c r="H120" s="112" t="s">
        <v>93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>
      <c r="A122" s="2"/>
      <c r="B122" s="26" t="s">
        <v>94</v>
      </c>
      <c r="C122" s="18"/>
      <c r="D122" s="2"/>
      <c r="E122" s="70" t="str">
        <f>B122</f>
        <v>Выручка по маркетплейсам</v>
      </c>
      <c r="F122" s="18"/>
      <c r="G122" s="2"/>
      <c r="H122" s="112" t="s">
        <v>93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>
      <c r="A123" s="2"/>
      <c r="B123" s="2" t="s">
        <v>95</v>
      </c>
      <c r="C123" s="30">
        <f>SUM(D16, H16)</f>
        <v>191363183.5</v>
      </c>
      <c r="D123" s="2"/>
      <c r="E123" s="2" t="s">
        <v>96</v>
      </c>
      <c r="F123" s="30">
        <f>SUM(D23, H23)</f>
        <v>182942587.5</v>
      </c>
      <c r="G123" s="2"/>
      <c r="H123" s="113">
        <f t="shared" ref="H123:H126" si="74">C123/F123</f>
        <v>1.046028626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>
      <c r="A124" s="2"/>
      <c r="B124" s="2" t="s">
        <v>97</v>
      </c>
      <c r="C124" s="30">
        <f>SUM(D34, H34)</f>
        <v>337550715</v>
      </c>
      <c r="D124" s="2"/>
      <c r="E124" s="2" t="s">
        <v>98</v>
      </c>
      <c r="F124" s="30">
        <f>SUM(D41, H41)</f>
        <v>224516324</v>
      </c>
      <c r="G124" s="2"/>
      <c r="H124" s="113">
        <f t="shared" si="74"/>
        <v>1.503457339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>
      <c r="A125" s="2"/>
      <c r="B125" s="2" t="s">
        <v>99</v>
      </c>
      <c r="C125" s="30">
        <f>SUM(D73, H73)</f>
        <v>6411026</v>
      </c>
      <c r="D125" s="2"/>
      <c r="E125" s="2" t="s">
        <v>100</v>
      </c>
      <c r="F125" s="30">
        <f>SUM(D80,H80)</f>
        <v>7219756</v>
      </c>
      <c r="G125" s="2"/>
      <c r="H125" s="113">
        <f t="shared" si="74"/>
        <v>0.887983749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>
      <c r="A126" s="2"/>
      <c r="B126" s="2" t="s">
        <v>101</v>
      </c>
      <c r="C126" s="30">
        <f>SUM(D89,H89)</f>
        <v>1841539</v>
      </c>
      <c r="D126" s="2"/>
      <c r="E126" s="2" t="s">
        <v>102</v>
      </c>
      <c r="F126" s="30">
        <f>SUM(H96,D96)</f>
        <v>1673923</v>
      </c>
      <c r="G126" s="2"/>
      <c r="H126" s="113">
        <f t="shared" si="74"/>
        <v>1.100133638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>
      <c r="A128" s="2"/>
      <c r="B128" s="26" t="s">
        <v>103</v>
      </c>
      <c r="C128" s="18"/>
      <c r="D128" s="2"/>
      <c r="E128" s="70" t="str">
        <f>B128</f>
        <v>Выручка по направлениям</v>
      </c>
      <c r="F128" s="18"/>
      <c r="G128" s="2"/>
      <c r="H128" s="112" t="s">
        <v>93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>
      <c r="A129" s="2"/>
      <c r="B129" s="4" t="s">
        <v>104</v>
      </c>
      <c r="C129" s="30">
        <f>SUM(D16, D34, D73)</f>
        <v>313782737</v>
      </c>
      <c r="D129" s="2"/>
      <c r="E129" s="2" t="s">
        <v>105</v>
      </c>
      <c r="F129" s="30">
        <f>SUM(D23, D41, D80)</f>
        <v>214312537</v>
      </c>
      <c r="G129" s="2"/>
      <c r="H129" s="113">
        <f t="shared" ref="H129:H130" si="75">C129/F129</f>
        <v>1.46413617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>
      <c r="A130" s="2"/>
      <c r="B130" s="4" t="s">
        <v>106</v>
      </c>
      <c r="C130" s="30">
        <f>SUM(H16, H34, H73, H89)</f>
        <v>223028280.5</v>
      </c>
      <c r="D130" s="2"/>
      <c r="E130" s="2" t="s">
        <v>107</v>
      </c>
      <c r="F130" s="30">
        <f>SUM(H23, H41, H80, H96)</f>
        <v>201698478.5</v>
      </c>
      <c r="G130" s="2"/>
      <c r="H130" s="113">
        <f t="shared" si="75"/>
        <v>1.105750932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>
      <c r="A132" s="2"/>
      <c r="B132" s="26" t="s">
        <v>108</v>
      </c>
      <c r="C132" s="18"/>
      <c r="D132" s="2"/>
      <c r="E132" s="70" t="str">
        <f>B132</f>
        <v>Суммарная выручка</v>
      </c>
      <c r="F132" s="18"/>
      <c r="G132" s="2"/>
      <c r="H132" s="112" t="s">
        <v>93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>
      <c r="A133" s="2"/>
      <c r="B133" s="2" t="s">
        <v>109</v>
      </c>
      <c r="C133" s="30">
        <f>SUM(C123:C126)</f>
        <v>537166463.5</v>
      </c>
      <c r="D133" s="2"/>
      <c r="E133" s="2" t="s">
        <v>110</v>
      </c>
      <c r="F133" s="30">
        <f>SUM(F123:F126)</f>
        <v>416352590.5</v>
      </c>
      <c r="G133" s="2"/>
      <c r="H133" s="113">
        <f t="shared" ref="H133:H134" si="76">C133/F133</f>
        <v>1.290172022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>
      <c r="A134" s="2"/>
      <c r="B134" s="2" t="s">
        <v>111</v>
      </c>
      <c r="C134" s="30">
        <f>C133/$C$1*G1</f>
        <v>537166463.5</v>
      </c>
      <c r="D134" s="2"/>
      <c r="E134" s="2" t="s">
        <v>112</v>
      </c>
      <c r="F134" s="30">
        <f>SUM(D21, H21, D39, H39, D78, H78, D94, H94)</f>
        <v>416352590.5</v>
      </c>
      <c r="G134" s="2"/>
      <c r="H134" s="113">
        <f t="shared" si="76"/>
        <v>1.290172022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>
      <c r="A136" s="2"/>
      <c r="B136" s="26" t="s">
        <v>113</v>
      </c>
      <c r="C136" s="17"/>
      <c r="D136" s="17"/>
      <c r="E136" s="17"/>
      <c r="F136" s="18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>
      <c r="A138" s="2"/>
      <c r="B138" s="26" t="s">
        <v>114</v>
      </c>
      <c r="C138" s="18"/>
      <c r="D138" s="2"/>
      <c r="E138" s="70" t="str">
        <f>B138</f>
        <v>Доля Рекламных Расходов</v>
      </c>
      <c r="F138" s="18"/>
      <c r="G138" s="2"/>
      <c r="H138" s="112" t="s">
        <v>93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>
      <c r="A139" s="2"/>
      <c r="B139" s="2" t="s">
        <v>18</v>
      </c>
      <c r="C139" s="35">
        <f>SUM(C15,G15)/SUM(D16,H16)</f>
        <v>0.1293233293</v>
      </c>
      <c r="D139" s="2"/>
      <c r="E139" s="2" t="s">
        <v>18</v>
      </c>
      <c r="F139" s="35">
        <f>(D21*C18+H21*G18)/SUM(D21, H21)</f>
        <v>0.1625229576</v>
      </c>
      <c r="G139" s="2"/>
      <c r="H139" s="35">
        <f t="shared" ref="H139:H142" si="77">C139/F139-1</f>
        <v>-0.2042765449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>
      <c r="A140" s="2"/>
      <c r="B140" s="2" t="s">
        <v>115</v>
      </c>
      <c r="C140" s="35">
        <f>SUM(C33,G33)/SUM(D34,H34)</f>
        <v>0.04517687987</v>
      </c>
      <c r="D140" s="2"/>
      <c r="E140" s="2" t="s">
        <v>115</v>
      </c>
      <c r="F140" s="35">
        <f>(D39*C36+H39*G36)/SUM(D39, H39)</f>
        <v>0.07</v>
      </c>
      <c r="G140" s="2"/>
      <c r="H140" s="35">
        <f t="shared" si="77"/>
        <v>-0.3546160019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>
      <c r="A141" s="2"/>
      <c r="B141" s="2" t="s">
        <v>31</v>
      </c>
      <c r="C141" s="35">
        <f>SUM(C72,G72)/SUM(D73,H73)</f>
        <v>0.1471875173</v>
      </c>
      <c r="D141" s="2"/>
      <c r="E141" s="2" t="s">
        <v>31</v>
      </c>
      <c r="F141" s="35">
        <f>(D78*C75+H78*G75)/SUM(D78, H78)</f>
        <v>0.1775908798</v>
      </c>
      <c r="G141" s="2"/>
      <c r="H141" s="35">
        <f t="shared" si="77"/>
        <v>-0.1711988959</v>
      </c>
      <c r="I141" s="2"/>
      <c r="J141" s="2"/>
      <c r="K141" s="2"/>
      <c r="L141" s="2"/>
      <c r="M141" s="31"/>
      <c r="N141" s="31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>
      <c r="A142" s="2"/>
      <c r="B142" s="2" t="s">
        <v>116</v>
      </c>
      <c r="C142" s="35">
        <f>SUM(C15, G15, C33, G33, C72, G72, C88, G88)/C133</f>
        <v>0.07621629026</v>
      </c>
      <c r="D142" s="2"/>
      <c r="E142" s="2" t="s">
        <v>116</v>
      </c>
      <c r="F142" s="35">
        <f>SUM(D16*C18, H16*G18, D34*C36, H34*G36, D73*C75, H73*G75, H89*G91, D89*C91)/C133</f>
        <v>0.1061309164</v>
      </c>
      <c r="G142" s="2"/>
      <c r="H142" s="35">
        <f t="shared" si="77"/>
        <v>-0.2818653335</v>
      </c>
      <c r="I142" s="67">
        <f>1+H142</f>
        <v>0.7181346665</v>
      </c>
      <c r="J142" s="2"/>
      <c r="K142" s="4"/>
      <c r="L142" s="2"/>
      <c r="M142" s="114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>
      <c r="A144" s="2"/>
      <c r="B144" s="26" t="s">
        <v>117</v>
      </c>
      <c r="C144" s="17"/>
      <c r="D144" s="17"/>
      <c r="E144" s="17"/>
      <c r="F144" s="18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>
      <c r="A146" s="2"/>
      <c r="B146" s="26" t="s">
        <v>114</v>
      </c>
      <c r="C146" s="18"/>
      <c r="D146" s="2"/>
      <c r="E146" s="70" t="str">
        <f>B146</f>
        <v>Доля Рекламных Расходов</v>
      </c>
      <c r="F146" s="18"/>
      <c r="G146" s="2"/>
      <c r="H146" s="112" t="s">
        <v>93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>
      <c r="A147" s="2"/>
      <c r="B147" s="2" t="s">
        <v>18</v>
      </c>
      <c r="C147" s="35">
        <f>C139</f>
        <v>0.1293233293</v>
      </c>
      <c r="D147" s="2"/>
      <c r="E147" s="2" t="s">
        <v>18</v>
      </c>
      <c r="F147" s="35">
        <f t="shared" ref="F147:F150" si="78">F139</f>
        <v>0.1625229576</v>
      </c>
      <c r="G147" s="2"/>
      <c r="H147" s="35">
        <f t="shared" ref="H147:H150" si="79">C147/F147-1</f>
        <v>-0.2042765449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>
      <c r="A148" s="2"/>
      <c r="B148" s="2" t="s">
        <v>115</v>
      </c>
      <c r="C148" s="35">
        <f>SUM(C51,G51)/SUM(D52,H52)</f>
        <v>0.02359366947</v>
      </c>
      <c r="D148" s="2"/>
      <c r="E148" s="2" t="s">
        <v>115</v>
      </c>
      <c r="F148" s="35">
        <f t="shared" si="78"/>
        <v>0.07</v>
      </c>
      <c r="G148" s="2"/>
      <c r="H148" s="35">
        <f t="shared" si="79"/>
        <v>-0.662947579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>
      <c r="A149" s="2"/>
      <c r="B149" s="2" t="s">
        <v>31</v>
      </c>
      <c r="C149" s="35">
        <f>C141</f>
        <v>0.1471875173</v>
      </c>
      <c r="D149" s="2"/>
      <c r="E149" s="2" t="s">
        <v>31</v>
      </c>
      <c r="F149" s="35">
        <f t="shared" si="78"/>
        <v>0.1775908798</v>
      </c>
      <c r="G149" s="2"/>
      <c r="H149" s="35">
        <f t="shared" si="79"/>
        <v>-0.1711988959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>
      <c r="A150" s="2"/>
      <c r="B150" s="2" t="s">
        <v>116</v>
      </c>
      <c r="C150" s="35">
        <f>SUM(C15, G15, C51, G51, C72, G72, C88, G88)/C133</f>
        <v>0.06265358932</v>
      </c>
      <c r="D150" s="2"/>
      <c r="E150" s="2" t="s">
        <v>116</v>
      </c>
      <c r="F150" s="35">
        <f t="shared" si="78"/>
        <v>0.1061309164</v>
      </c>
      <c r="G150" s="2"/>
      <c r="H150" s="35">
        <f t="shared" si="79"/>
        <v>-0.4096575113</v>
      </c>
      <c r="I150" s="67">
        <f>1+H150</f>
        <v>0.5903424887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>
      <c r="A151" s="2"/>
      <c r="B151" s="2"/>
      <c r="C151" s="35"/>
      <c r="D151" s="2"/>
      <c r="E151" s="2"/>
      <c r="F151" s="35"/>
      <c r="G151" s="2"/>
      <c r="H151" s="35"/>
      <c r="I151" s="19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>
      <c r="A152" s="2"/>
      <c r="B152" s="26" t="s">
        <v>118</v>
      </c>
      <c r="C152" s="17"/>
      <c r="D152" s="17"/>
      <c r="E152" s="17"/>
      <c r="F152" s="18"/>
      <c r="G152" s="2"/>
      <c r="H152" s="35"/>
      <c r="I152" s="19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>
      <c r="A154" s="2"/>
      <c r="B154" s="115" t="s">
        <v>119</v>
      </c>
      <c r="C154" s="18"/>
      <c r="D154" s="2"/>
      <c r="E154" s="26" t="s">
        <v>60</v>
      </c>
      <c r="F154" s="18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>
      <c r="A155" s="56">
        <f t="shared" ref="A155:A158" si="80">C155/$C$159</f>
        <v>0.6044753103</v>
      </c>
      <c r="B155" s="4" t="s">
        <v>18</v>
      </c>
      <c r="C155" s="58">
        <f>SUM(C15,G15)</f>
        <v>24747724</v>
      </c>
      <c r="D155" s="2"/>
      <c r="E155" s="4" t="s">
        <v>18</v>
      </c>
      <c r="F155" s="58">
        <f>SUM(C15,G15)</f>
        <v>24747724</v>
      </c>
      <c r="G155" s="56">
        <f t="shared" ref="G155:G158" si="81">F155/$F$159</f>
        <v>0.7353268377</v>
      </c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>
      <c r="A156" s="56">
        <f t="shared" si="80"/>
        <v>0.3724762346</v>
      </c>
      <c r="B156" s="4" t="s">
        <v>115</v>
      </c>
      <c r="C156" s="58">
        <f>SUM(C33,G33)</f>
        <v>15249488.1</v>
      </c>
      <c r="D156" s="2"/>
      <c r="E156" s="4" t="s">
        <v>115</v>
      </c>
      <c r="F156" s="58">
        <f>SUM(C51,G51)</f>
        <v>7964060</v>
      </c>
      <c r="G156" s="56">
        <f t="shared" si="81"/>
        <v>0.2366353793</v>
      </c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>
      <c r="A157" s="56">
        <f t="shared" si="80"/>
        <v>0.02304845511</v>
      </c>
      <c r="B157" s="4" t="s">
        <v>31</v>
      </c>
      <c r="C157" s="58">
        <f>SUM(C72,G72)</f>
        <v>943623</v>
      </c>
      <c r="D157" s="2"/>
      <c r="E157" s="4" t="s">
        <v>31</v>
      </c>
      <c r="F157" s="58">
        <f>SUM(C72,G72)</f>
        <v>943623</v>
      </c>
      <c r="G157" s="56">
        <f t="shared" si="81"/>
        <v>0.02803778305</v>
      </c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>
      <c r="A158" s="56">
        <f t="shared" si="80"/>
        <v>0</v>
      </c>
      <c r="B158" s="4" t="s">
        <v>34</v>
      </c>
      <c r="C158" s="58">
        <f>SUM(C88,G88)</f>
        <v>0</v>
      </c>
      <c r="D158" s="2"/>
      <c r="E158" s="4" t="s">
        <v>34</v>
      </c>
      <c r="F158" s="58">
        <f>SUM(C88,G88)</f>
        <v>0</v>
      </c>
      <c r="G158" s="56">
        <f t="shared" si="81"/>
        <v>0</v>
      </c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>
      <c r="A159" s="2"/>
      <c r="B159" s="20" t="s">
        <v>120</v>
      </c>
      <c r="C159" s="75">
        <f>SUM(C155:C158)</f>
        <v>40940835.1</v>
      </c>
      <c r="D159" s="2"/>
      <c r="E159" s="20" t="s">
        <v>120</v>
      </c>
      <c r="F159" s="75">
        <f>SUM(F155:F158)</f>
        <v>33655407</v>
      </c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>
      <c r="A161" s="2"/>
      <c r="B161" s="26" t="s">
        <v>121</v>
      </c>
      <c r="C161" s="17"/>
      <c r="D161" s="17"/>
      <c r="E161" s="17"/>
      <c r="F161" s="18"/>
      <c r="G161" s="2"/>
      <c r="H161" s="35"/>
      <c r="I161" s="19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>
      <c r="A163" s="2"/>
      <c r="B163" s="115" t="s">
        <v>119</v>
      </c>
      <c r="C163" s="18"/>
      <c r="D163" s="2"/>
      <c r="E163" s="26" t="s">
        <v>60</v>
      </c>
      <c r="F163" s="18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>
      <c r="A164" s="56">
        <f t="shared" ref="A164:A165" si="82">C164/$C$166</f>
        <v>0.6161208812</v>
      </c>
      <c r="B164" s="4" t="s">
        <v>19</v>
      </c>
      <c r="C164" s="58">
        <f>SUM(C15,C33,C72,C88)</f>
        <v>25224503.4</v>
      </c>
      <c r="D164" s="2"/>
      <c r="E164" s="4" t="s">
        <v>19</v>
      </c>
      <c r="F164" s="58">
        <f>SUM(C15,C51,C72,C88)</f>
        <v>20227051</v>
      </c>
      <c r="G164" s="56">
        <f t="shared" ref="G164:G165" si="83">F164/$F$166</f>
        <v>0.6010044983</v>
      </c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>
      <c r="A165" s="56">
        <f t="shared" si="82"/>
        <v>0.3838791188</v>
      </c>
      <c r="B165" s="4" t="s">
        <v>122</v>
      </c>
      <c r="C165" s="58">
        <f>SUM(G15,G33,G72,G88)</f>
        <v>15716331.7</v>
      </c>
      <c r="D165" s="2"/>
      <c r="E165" s="4" t="s">
        <v>122</v>
      </c>
      <c r="F165" s="58">
        <f>SUM(G15,G51,G72,G88)</f>
        <v>13428356</v>
      </c>
      <c r="G165" s="56">
        <f t="shared" si="83"/>
        <v>0.3989955017</v>
      </c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>
      <c r="A166" s="2"/>
      <c r="B166" s="20" t="s">
        <v>120</v>
      </c>
      <c r="C166" s="75">
        <f>SUM(C164:C165)</f>
        <v>40940835.1</v>
      </c>
      <c r="D166" s="2"/>
      <c r="E166" s="20" t="s">
        <v>120</v>
      </c>
      <c r="F166" s="75">
        <f>SUM(F164:F165)</f>
        <v>33655407</v>
      </c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</sheetData>
  <mergeCells count="109">
    <mergeCell ref="B4:C4"/>
    <mergeCell ref="F4:G4"/>
    <mergeCell ref="B29:H29"/>
    <mergeCell ref="B30:C30"/>
    <mergeCell ref="F30:G30"/>
    <mergeCell ref="M2:N2"/>
    <mergeCell ref="O2:P2"/>
    <mergeCell ref="Q2:R2"/>
    <mergeCell ref="S2:T2"/>
    <mergeCell ref="U2:V2"/>
    <mergeCell ref="W2:X2"/>
    <mergeCell ref="B3:H3"/>
    <mergeCell ref="Y2:AA2"/>
    <mergeCell ref="AC3:AC4"/>
    <mergeCell ref="AC5:AC6"/>
    <mergeCell ref="AC7:AC8"/>
    <mergeCell ref="AC9:AC10"/>
    <mergeCell ref="AE17:AG17"/>
    <mergeCell ref="AI17:AK17"/>
    <mergeCell ref="S38:T38"/>
    <mergeCell ref="U38:V38"/>
    <mergeCell ref="W38:X38"/>
    <mergeCell ref="Y38:AA38"/>
    <mergeCell ref="AC38:AC39"/>
    <mergeCell ref="AC40:AC41"/>
    <mergeCell ref="AC32:AC33"/>
    <mergeCell ref="AC34:AC35"/>
    <mergeCell ref="AC36:AC37"/>
    <mergeCell ref="K38:L38"/>
    <mergeCell ref="M38:N38"/>
    <mergeCell ref="O38:P38"/>
    <mergeCell ref="Q38:R38"/>
    <mergeCell ref="AC11:AC12"/>
    <mergeCell ref="AC19:AC20"/>
    <mergeCell ref="AC21:AC22"/>
    <mergeCell ref="AC23:AC24"/>
    <mergeCell ref="AC25:AC26"/>
    <mergeCell ref="AC27:AC28"/>
    <mergeCell ref="AC31:AD31"/>
    <mergeCell ref="B66:C66"/>
    <mergeCell ref="F66:G66"/>
    <mergeCell ref="B86:H86"/>
    <mergeCell ref="B87:C87"/>
    <mergeCell ref="F87:G87"/>
    <mergeCell ref="B102:H102"/>
    <mergeCell ref="F103:G103"/>
    <mergeCell ref="B103:C103"/>
    <mergeCell ref="B120:C120"/>
    <mergeCell ref="E120:F120"/>
    <mergeCell ref="B122:C122"/>
    <mergeCell ref="E122:F122"/>
    <mergeCell ref="B128:C128"/>
    <mergeCell ref="E128:F128"/>
    <mergeCell ref="E146:F146"/>
    <mergeCell ref="B152:F152"/>
    <mergeCell ref="B154:C154"/>
    <mergeCell ref="E154:F154"/>
    <mergeCell ref="B161:F161"/>
    <mergeCell ref="B163:C163"/>
    <mergeCell ref="E163:F163"/>
    <mergeCell ref="B132:C132"/>
    <mergeCell ref="E132:F132"/>
    <mergeCell ref="B136:F136"/>
    <mergeCell ref="B138:C138"/>
    <mergeCell ref="E138:F138"/>
    <mergeCell ref="B144:F144"/>
    <mergeCell ref="B146:C146"/>
    <mergeCell ref="Q48:R48"/>
    <mergeCell ref="S48:T48"/>
    <mergeCell ref="AC44:AD44"/>
    <mergeCell ref="AC45:AC46"/>
    <mergeCell ref="B47:H47"/>
    <mergeCell ref="AC47:AC48"/>
    <mergeCell ref="B48:C48"/>
    <mergeCell ref="F48:G48"/>
    <mergeCell ref="K48:L48"/>
    <mergeCell ref="Y48:AA48"/>
    <mergeCell ref="U48:V48"/>
    <mergeCell ref="W48:X48"/>
    <mergeCell ref="AC49:AC50"/>
    <mergeCell ref="S50:T50"/>
    <mergeCell ref="U50:V50"/>
    <mergeCell ref="W50:X50"/>
    <mergeCell ref="Y50:AA50"/>
    <mergeCell ref="M48:N48"/>
    <mergeCell ref="O48:P48"/>
    <mergeCell ref="K50:L50"/>
    <mergeCell ref="M50:N50"/>
    <mergeCell ref="O50:P50"/>
    <mergeCell ref="Q50:R50"/>
    <mergeCell ref="B65:H65"/>
    <mergeCell ref="AC66:AC67"/>
    <mergeCell ref="AC72:AC73"/>
    <mergeCell ref="AC74:AC75"/>
    <mergeCell ref="AC76:AC77"/>
    <mergeCell ref="AC78:AC79"/>
    <mergeCell ref="AC80:AC81"/>
    <mergeCell ref="AI72:AI73"/>
    <mergeCell ref="AI74:AI75"/>
    <mergeCell ref="AI76:AI77"/>
    <mergeCell ref="AI78:AI79"/>
    <mergeCell ref="AI80:AI81"/>
    <mergeCell ref="AC51:AC52"/>
    <mergeCell ref="AC53:AC54"/>
    <mergeCell ref="AC58:AC59"/>
    <mergeCell ref="AC60:AC61"/>
    <mergeCell ref="AC62:AC63"/>
    <mergeCell ref="AC64:AC65"/>
    <mergeCell ref="AI71:AJ71"/>
  </mergeCells>
  <conditionalFormatting sqref="D19 H19 AK32:AK42 D37 H37 AK45:AK55 D55 H55 AK58:AK68 AM72:AN82 D76 H76 D92 H92 D108 H108">
    <cfRule type="cellIs" dxfId="0" priority="1" operator="lessThan">
      <formula>0</formula>
    </cfRule>
  </conditionalFormatting>
  <conditionalFormatting sqref="D19 H19 AK32:AK42 D37 H37 AK45:AK55 D55 H55 AK58:AK68 AM72:AN82 D76 H76 D92 H92 D108 H108">
    <cfRule type="cellIs" dxfId="1" priority="2" operator="greaterThan">
      <formula>0</formula>
    </cfRule>
  </conditionalFormatting>
  <conditionalFormatting sqref="D25 H25 D43 H43 L47 M47:AA51 L49 D61 H61 AG72:AG82 D82 H82 D98 H98 D114 H114">
    <cfRule type="cellIs" dxfId="0" priority="3" operator="greaterThan">
      <formula>0</formula>
    </cfRule>
  </conditionalFormatting>
  <conditionalFormatting sqref="D25 H25 D43 H43 L47 M47:AA51 L49 D61 H61 AG72:AG82 D82 H82 D98 H98 D114 H114">
    <cfRule type="cellIs" dxfId="1" priority="4" operator="lessThan">
      <formula>0</formula>
    </cfRule>
  </conditionalFormatting>
  <conditionalFormatting sqref="AG19:AG29 AK19:AK29 D27 H27 D45 H45 D63 H63 D84 H84 D100 H100 D116 H116 H125:H136">
    <cfRule type="cellIs" dxfId="0" priority="5" operator="greaterThan">
      <formula>1</formula>
    </cfRule>
  </conditionalFormatting>
  <conditionalFormatting sqref="AG19:AG29 AK19:AK29 D27 H27 D45 H45 D63 H63 D84 H84 D100 H100 D116 H116 H125:H136">
    <cfRule type="cellIs" dxfId="1" priority="6" operator="lessThan">
      <formula>1</formula>
    </cfRule>
  </conditionalFormatting>
  <conditionalFormatting sqref="H101 H104:H128">
    <cfRule type="cellIs" dxfId="0" priority="7" operator="greaterThan">
      <formula>1</formula>
    </cfRule>
  </conditionalFormatting>
  <conditionalFormatting sqref="H101 H104:H128">
    <cfRule type="cellIs" dxfId="1" priority="8" operator="lessThan">
      <formula>1</formula>
    </cfRule>
  </conditionalFormatting>
  <conditionalFormatting sqref="H125:H136">
    <cfRule type="cellIs" dxfId="0" priority="9" operator="greaterThan">
      <formula>1</formula>
    </cfRule>
  </conditionalFormatting>
  <conditionalFormatting sqref="H125:H136">
    <cfRule type="cellIs" dxfId="1" priority="10" operator="lessThan">
      <formula>1</formula>
    </cfRule>
  </conditionalFormatting>
  <conditionalFormatting sqref="H135:H154 H157:H159 H161:H163">
    <cfRule type="cellIs" dxfId="0" priority="11" operator="lessThan">
      <formula>1</formula>
    </cfRule>
  </conditionalFormatting>
  <conditionalFormatting sqref="H135:H154 H157:H159 H161:H163">
    <cfRule type="cellIs" dxfId="1" priority="12" operator="greaterThan">
      <formula>1</formula>
    </cfRule>
  </conditionalFormatting>
  <conditionalFormatting sqref="L47 M47:AA51 L49">
    <cfRule type="cellIs" dxfId="0" priority="13" operator="greaterThan">
      <formula>0</formula>
    </cfRule>
  </conditionalFormatting>
  <conditionalFormatting sqref="L47 M47:AA51 L49">
    <cfRule type="cellIs" dxfId="1" priority="14" operator="lessThan">
      <formula>0</formula>
    </cfRule>
  </conditionalFormatting>
  <conditionalFormatting sqref="AG58:AG68">
    <cfRule type="cellIs" dxfId="0" priority="15" operator="greaterThan">
      <formula>1</formula>
    </cfRule>
  </conditionalFormatting>
  <conditionalFormatting sqref="AG58:AG68">
    <cfRule type="cellIs" dxfId="1" priority="16" operator="lessThan">
      <formula>1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5"/>
    <col customWidth="1" min="3" max="4" width="15.63"/>
    <col customWidth="1" min="5" max="5" width="23.0"/>
    <col customWidth="1" min="6" max="6" width="23.5"/>
    <col customWidth="1" min="7" max="8" width="15.63"/>
    <col customWidth="1" min="11" max="11" width="28.88"/>
    <col customWidth="1" min="12" max="12" width="16.38"/>
    <col customWidth="1" min="13" max="24" width="16.25"/>
    <col customWidth="1" min="26" max="26" width="14.88"/>
    <col customWidth="1" min="27" max="27" width="12.13"/>
    <col customWidth="1" min="28" max="29" width="16.5"/>
    <col customWidth="1" min="30" max="30" width="15.38"/>
    <col customWidth="1" min="32" max="32" width="17.13"/>
    <col customWidth="1" min="33" max="33" width="17.5"/>
    <col customWidth="1" min="36" max="36" width="15.25"/>
  </cols>
  <sheetData>
    <row r="1">
      <c r="A1" s="1">
        <v>3.0</v>
      </c>
      <c r="B1" s="2" t="s">
        <v>0</v>
      </c>
      <c r="C1" s="3">
        <v>31.0</v>
      </c>
      <c r="D1" s="2"/>
      <c r="E1" s="2"/>
      <c r="F1" s="2" t="s">
        <v>1</v>
      </c>
      <c r="G1" s="3">
        <v>31.0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4"/>
      <c r="T1" s="4"/>
      <c r="U1" s="2"/>
      <c r="V1" s="2"/>
      <c r="W1" s="2"/>
      <c r="X1" s="2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</row>
    <row r="2">
      <c r="A2" s="2" t="s">
        <v>2</v>
      </c>
      <c r="B2" s="6">
        <v>46022.0</v>
      </c>
      <c r="C2" s="2"/>
      <c r="D2" s="2"/>
      <c r="E2" s="2"/>
      <c r="F2" s="2"/>
      <c r="G2" s="2"/>
      <c r="H2" s="2"/>
      <c r="I2" s="2"/>
      <c r="J2" s="2"/>
      <c r="K2" s="2"/>
      <c r="L2" s="2"/>
      <c r="M2" s="7" t="s">
        <v>3</v>
      </c>
      <c r="O2" s="8" t="s">
        <v>4</v>
      </c>
      <c r="Q2" s="9" t="s">
        <v>5</v>
      </c>
      <c r="S2" s="10" t="s">
        <v>6</v>
      </c>
      <c r="U2" s="11" t="s">
        <v>7</v>
      </c>
      <c r="W2" s="12" t="s">
        <v>8</v>
      </c>
      <c r="Y2" s="5"/>
      <c r="Z2" s="5"/>
      <c r="AA2" s="5"/>
      <c r="AB2" s="14" t="s">
        <v>10</v>
      </c>
      <c r="AC2" s="15" t="s">
        <v>11</v>
      </c>
      <c r="AD2" s="14" t="s">
        <v>12</v>
      </c>
      <c r="AE2" s="5"/>
      <c r="AF2" s="14" t="s">
        <v>13</v>
      </c>
      <c r="AG2" s="14" t="s">
        <v>14</v>
      </c>
      <c r="AH2" s="14" t="s">
        <v>15</v>
      </c>
      <c r="AI2" s="14" t="s">
        <v>16</v>
      </c>
      <c r="AJ2" s="14" t="s">
        <v>17</v>
      </c>
      <c r="AK2" s="5"/>
    </row>
    <row r="3">
      <c r="A3" s="2"/>
      <c r="B3" s="16" t="s">
        <v>18</v>
      </c>
      <c r="C3" s="17"/>
      <c r="D3" s="17"/>
      <c r="E3" s="17"/>
      <c r="F3" s="17"/>
      <c r="G3" s="17"/>
      <c r="H3" s="18"/>
      <c r="I3" s="2"/>
      <c r="J3" s="2"/>
      <c r="K3" s="2"/>
      <c r="L3" s="2"/>
      <c r="M3" s="19" t="s">
        <v>19</v>
      </c>
      <c r="N3" s="19" t="s">
        <v>20</v>
      </c>
      <c r="O3" s="19" t="s">
        <v>19</v>
      </c>
      <c r="P3" s="19" t="s">
        <v>20</v>
      </c>
      <c r="Q3" s="19" t="s">
        <v>19</v>
      </c>
      <c r="R3" s="19" t="s">
        <v>20</v>
      </c>
      <c r="S3" s="19" t="s">
        <v>19</v>
      </c>
      <c r="T3" s="19" t="s">
        <v>20</v>
      </c>
      <c r="U3" s="19" t="s">
        <v>19</v>
      </c>
      <c r="V3" s="19" t="s">
        <v>20</v>
      </c>
      <c r="W3" s="19" t="s">
        <v>19</v>
      </c>
      <c r="X3" s="19" t="s">
        <v>20</v>
      </c>
      <c r="Y3" s="5"/>
      <c r="Z3" s="21" t="s">
        <v>24</v>
      </c>
      <c r="AA3" s="22" t="s">
        <v>19</v>
      </c>
      <c r="AB3" s="23">
        <f>D39</f>
        <v>103370590</v>
      </c>
      <c r="AC3" s="24"/>
      <c r="AD3" s="25">
        <f t="shared" ref="AD3:AD14" si="1">AB3-AC3</f>
        <v>103370590</v>
      </c>
      <c r="AE3" s="24"/>
      <c r="AF3" s="23">
        <f>O35</f>
        <v>113971735</v>
      </c>
      <c r="AG3" s="24"/>
      <c r="AH3" s="23">
        <f>1800+263901</f>
        <v>265701</v>
      </c>
      <c r="AI3" s="24"/>
      <c r="AJ3" s="23">
        <f t="shared" ref="AJ3:AJ14" si="2">AF3-SUM(AG3:AI3)</f>
        <v>113706034</v>
      </c>
      <c r="AK3" s="5"/>
    </row>
    <row r="4">
      <c r="A4" s="2"/>
      <c r="B4" s="26" t="s">
        <v>130</v>
      </c>
      <c r="C4" s="17"/>
      <c r="D4" s="27">
        <f>TODAY()-1</f>
        <v>46107</v>
      </c>
      <c r="E4" s="2"/>
      <c r="F4" s="26" t="s">
        <v>131</v>
      </c>
      <c r="G4" s="17"/>
      <c r="H4" s="28">
        <f>$D$4</f>
        <v>46107</v>
      </c>
      <c r="I4" s="2"/>
      <c r="J4" s="2"/>
      <c r="K4" s="29">
        <v>45992.0</v>
      </c>
      <c r="L4" s="30">
        <f t="shared" ref="L4:L34" si="3">SUM(M4:X4)</f>
        <v>12621391.1</v>
      </c>
      <c r="M4" s="31">
        <v>2348963.0</v>
      </c>
      <c r="N4" s="31">
        <v>2898929.1</v>
      </c>
      <c r="O4" s="31">
        <v>3616967.0</v>
      </c>
      <c r="P4" s="31">
        <v>3509563.0</v>
      </c>
      <c r="Q4" s="32">
        <v>65103.0</v>
      </c>
      <c r="R4" s="32">
        <v>91393.0</v>
      </c>
      <c r="S4" s="32">
        <v>17685.0</v>
      </c>
      <c r="T4" s="32">
        <v>60837.0</v>
      </c>
      <c r="U4" s="120"/>
      <c r="V4" s="31">
        <v>11951.0</v>
      </c>
      <c r="W4" s="31">
        <v>0.0</v>
      </c>
      <c r="X4" s="31">
        <v>0.0</v>
      </c>
      <c r="Y4" s="5"/>
      <c r="AA4" s="22" t="s">
        <v>27</v>
      </c>
      <c r="AB4" s="23">
        <f>H39</f>
        <v>124247057</v>
      </c>
      <c r="AC4" s="24"/>
      <c r="AD4" s="25">
        <f t="shared" si="1"/>
        <v>124247057</v>
      </c>
      <c r="AE4" s="24"/>
      <c r="AF4" s="23">
        <f>P35</f>
        <v>110544589</v>
      </c>
      <c r="AG4" s="24"/>
      <c r="AH4" s="23">
        <f>28907+1322280</f>
        <v>1351187</v>
      </c>
      <c r="AI4" s="24"/>
      <c r="AJ4" s="23">
        <f t="shared" si="2"/>
        <v>109193402</v>
      </c>
      <c r="AK4" s="5"/>
    </row>
    <row r="5">
      <c r="A5" s="35">
        <f t="shared" ref="A5:A11" si="4">IFERROR(C5/$C$15, " ")</f>
        <v>0.9209804951</v>
      </c>
      <c r="B5" s="36" t="s">
        <v>28</v>
      </c>
      <c r="C5" s="37">
        <v>1.1804615E7</v>
      </c>
      <c r="D5" s="38"/>
      <c r="E5" s="2"/>
      <c r="F5" s="36" t="s">
        <v>28</v>
      </c>
      <c r="G5" s="37">
        <v>1.0022821E7</v>
      </c>
      <c r="H5" s="38">
        <v>368630.0</v>
      </c>
      <c r="I5" s="35">
        <f t="shared" ref="I5:I13" si="5">IFERROR(G5/$G$15, " ")</f>
        <v>0.9146039575</v>
      </c>
      <c r="J5" s="2"/>
      <c r="K5" s="29">
        <v>45993.0</v>
      </c>
      <c r="L5" s="30">
        <f t="shared" si="3"/>
        <v>12055242.4</v>
      </c>
      <c r="M5" s="32">
        <v>2720347.0</v>
      </c>
      <c r="N5" s="31">
        <v>2750788.0</v>
      </c>
      <c r="O5" s="31">
        <v>3361085.0</v>
      </c>
      <c r="P5" s="31">
        <v>2870498.0</v>
      </c>
      <c r="Q5" s="32">
        <v>114964.0</v>
      </c>
      <c r="R5" s="32">
        <v>140722.0</v>
      </c>
      <c r="S5" s="32">
        <v>19993.0</v>
      </c>
      <c r="T5" s="32">
        <v>69540.0</v>
      </c>
      <c r="U5" s="120"/>
      <c r="V5" s="43">
        <v>6491.0</v>
      </c>
      <c r="W5" s="31">
        <v>0.0</v>
      </c>
      <c r="X5" s="31">
        <v>814.4</v>
      </c>
      <c r="Y5" s="5"/>
      <c r="Z5" s="21" t="s">
        <v>18</v>
      </c>
      <c r="AA5" s="22" t="s">
        <v>19</v>
      </c>
      <c r="AB5" s="23">
        <f>D21</f>
        <v>68328978</v>
      </c>
      <c r="AC5" s="24"/>
      <c r="AD5" s="25">
        <f t="shared" si="1"/>
        <v>68328978</v>
      </c>
      <c r="AE5" s="24"/>
      <c r="AF5" s="23">
        <f>M35</f>
        <v>96599698</v>
      </c>
      <c r="AG5" s="23">
        <f>AF5/79355*(6496+66)</f>
        <v>7987993.425</v>
      </c>
      <c r="AH5" s="23">
        <f>17128+715194</f>
        <v>732322</v>
      </c>
      <c r="AI5" s="24"/>
      <c r="AJ5" s="23">
        <f t="shared" si="2"/>
        <v>87879382.57</v>
      </c>
      <c r="AK5" s="5"/>
    </row>
    <row r="6">
      <c r="A6" s="35">
        <f t="shared" si="4"/>
        <v>0.05210048525</v>
      </c>
      <c r="B6" s="39" t="s">
        <v>29</v>
      </c>
      <c r="C6" s="32">
        <v>667795.0</v>
      </c>
      <c r="D6" s="40"/>
      <c r="E6" s="2"/>
      <c r="F6" s="39" t="s">
        <v>29</v>
      </c>
      <c r="G6" s="32">
        <v>555930.0</v>
      </c>
      <c r="H6" s="40">
        <v>3064.0</v>
      </c>
      <c r="I6" s="35">
        <f t="shared" si="5"/>
        <v>0.05072980731</v>
      </c>
      <c r="J6" s="2"/>
      <c r="K6" s="29">
        <v>45994.0</v>
      </c>
      <c r="L6" s="30">
        <f t="shared" si="3"/>
        <v>14114630.1</v>
      </c>
      <c r="M6" s="32">
        <v>3028089.0</v>
      </c>
      <c r="N6" s="31">
        <v>3048715.1</v>
      </c>
      <c r="O6" s="32">
        <v>3986511.0</v>
      </c>
      <c r="P6" s="32">
        <v>3745955.0</v>
      </c>
      <c r="Q6" s="32">
        <v>90370.0</v>
      </c>
      <c r="R6" s="32">
        <v>152662.0</v>
      </c>
      <c r="S6" s="32">
        <v>9962.0</v>
      </c>
      <c r="T6" s="32">
        <v>41817.0</v>
      </c>
      <c r="U6" s="120"/>
      <c r="V6" s="31">
        <v>10549.0</v>
      </c>
      <c r="W6" s="31">
        <v>0.0</v>
      </c>
      <c r="X6" s="31">
        <v>0.0</v>
      </c>
      <c r="Y6" s="5"/>
      <c r="AA6" s="22" t="s">
        <v>27</v>
      </c>
      <c r="AB6" s="23">
        <f>H21</f>
        <v>73964392.7</v>
      </c>
      <c r="AC6" s="24"/>
      <c r="AD6" s="25">
        <f t="shared" si="1"/>
        <v>73964392.7</v>
      </c>
      <c r="AE6" s="24"/>
      <c r="AF6" s="23">
        <f>N35</f>
        <v>86342889.5</v>
      </c>
      <c r="AG6" s="23">
        <f>AF6/85340*(5785+94)</f>
        <v>5948088.204</v>
      </c>
      <c r="AH6" s="23">
        <f>516107</f>
        <v>516107</v>
      </c>
      <c r="AI6" s="23"/>
      <c r="AJ6" s="23">
        <f t="shared" si="2"/>
        <v>79878694.3</v>
      </c>
      <c r="AK6" s="5"/>
    </row>
    <row r="7">
      <c r="A7" s="35">
        <f t="shared" si="4"/>
        <v>0.01373300431</v>
      </c>
      <c r="B7" s="41" t="s">
        <v>30</v>
      </c>
      <c r="C7" s="32">
        <v>176022.0</v>
      </c>
      <c r="D7" s="40"/>
      <c r="E7" s="2"/>
      <c r="F7" s="41" t="s">
        <v>30</v>
      </c>
      <c r="G7" s="32">
        <v>199419.0</v>
      </c>
      <c r="H7" s="40">
        <v>9571.0</v>
      </c>
      <c r="I7" s="35">
        <f t="shared" si="5"/>
        <v>0.01819741234</v>
      </c>
      <c r="J7" s="2"/>
      <c r="K7" s="29">
        <v>45995.0</v>
      </c>
      <c r="L7" s="30">
        <f t="shared" si="3"/>
        <v>13301923.5</v>
      </c>
      <c r="M7" s="32">
        <v>2696101.0</v>
      </c>
      <c r="N7" s="32">
        <v>3017920.1</v>
      </c>
      <c r="O7" s="32">
        <v>3627559.0</v>
      </c>
      <c r="P7" s="32">
        <v>3646639.0</v>
      </c>
      <c r="Q7" s="32">
        <v>111668.0</v>
      </c>
      <c r="R7" s="32">
        <v>134129.0</v>
      </c>
      <c r="S7" s="116">
        <v>12162.0</v>
      </c>
      <c r="T7" s="116">
        <v>40785.0</v>
      </c>
      <c r="U7" s="120"/>
      <c r="V7" s="31">
        <v>14146.0</v>
      </c>
      <c r="W7" s="31">
        <v>0.0</v>
      </c>
      <c r="X7" s="31">
        <v>814.4</v>
      </c>
      <c r="Y7" s="5"/>
      <c r="Z7" s="21" t="s">
        <v>31</v>
      </c>
      <c r="AA7" s="22" t="s">
        <v>19</v>
      </c>
      <c r="AB7" s="23">
        <f>D78</f>
        <v>2491703</v>
      </c>
      <c r="AC7" s="24"/>
      <c r="AD7" s="25">
        <f t="shared" si="1"/>
        <v>2491703</v>
      </c>
      <c r="AE7" s="24"/>
      <c r="AF7" s="23">
        <f>Q35</f>
        <v>3741104</v>
      </c>
      <c r="AG7" s="23">
        <f>AF7/4436*354</f>
        <v>298546.1713</v>
      </c>
      <c r="AH7" s="50">
        <v>83542.0</v>
      </c>
      <c r="AI7" s="24"/>
      <c r="AJ7" s="23">
        <f t="shared" si="2"/>
        <v>3359015.829</v>
      </c>
      <c r="AK7" s="5"/>
    </row>
    <row r="8">
      <c r="A8" s="35">
        <f t="shared" si="4"/>
        <v>0.000331423358</v>
      </c>
      <c r="B8" s="39" t="s">
        <v>32</v>
      </c>
      <c r="C8" s="32">
        <v>4248.0</v>
      </c>
      <c r="D8" s="42"/>
      <c r="E8" s="2"/>
      <c r="F8" s="39" t="s">
        <v>32</v>
      </c>
      <c r="G8" s="32">
        <v>4541.0</v>
      </c>
      <c r="H8" s="42">
        <v>504.0</v>
      </c>
      <c r="I8" s="35">
        <f t="shared" si="5"/>
        <v>0.0004143760096</v>
      </c>
      <c r="J8" s="2"/>
      <c r="K8" s="29">
        <v>45996.0</v>
      </c>
      <c r="L8" s="30">
        <f t="shared" si="3"/>
        <v>13344410</v>
      </c>
      <c r="M8" s="32">
        <v>3005335.0</v>
      </c>
      <c r="N8" s="31">
        <v>2928242.0</v>
      </c>
      <c r="O8" s="32">
        <v>3832361.0</v>
      </c>
      <c r="P8" s="32">
        <v>3269890.0</v>
      </c>
      <c r="Q8" s="32">
        <v>108809.0</v>
      </c>
      <c r="R8" s="32">
        <v>130447.0</v>
      </c>
      <c r="S8" s="32">
        <v>11076.0</v>
      </c>
      <c r="T8" s="32">
        <v>43974.0</v>
      </c>
      <c r="U8" s="120"/>
      <c r="V8" s="31">
        <v>14276.0</v>
      </c>
      <c r="W8" s="31">
        <v>0.0</v>
      </c>
      <c r="X8" s="31">
        <v>0.0</v>
      </c>
      <c r="Y8" s="5"/>
      <c r="AA8" s="22" t="s">
        <v>27</v>
      </c>
      <c r="AB8" s="23">
        <f>H78</f>
        <v>4455445</v>
      </c>
      <c r="AC8" s="24"/>
      <c r="AD8" s="25">
        <f t="shared" si="1"/>
        <v>4455445</v>
      </c>
      <c r="AE8" s="24"/>
      <c r="AF8" s="23">
        <f>R35</f>
        <v>3478652</v>
      </c>
      <c r="AG8" s="23">
        <f>AF8/5096*344</f>
        <v>234822.6625</v>
      </c>
      <c r="AH8" s="50">
        <v>52926.0</v>
      </c>
      <c r="AI8" s="24"/>
      <c r="AJ8" s="23">
        <f t="shared" si="2"/>
        <v>3190903.338</v>
      </c>
      <c r="AK8" s="5"/>
    </row>
    <row r="9">
      <c r="A9" s="35">
        <f t="shared" si="4"/>
        <v>0.01268396512</v>
      </c>
      <c r="B9" s="41" t="s">
        <v>33</v>
      </c>
      <c r="C9" s="32">
        <v>162576.0</v>
      </c>
      <c r="D9" s="40"/>
      <c r="E9" s="2"/>
      <c r="F9" s="41" t="s">
        <v>33</v>
      </c>
      <c r="G9" s="32">
        <v>163324.0</v>
      </c>
      <c r="H9" s="40">
        <v>5649.0</v>
      </c>
      <c r="I9" s="35">
        <f t="shared" si="5"/>
        <v>0.01490366602</v>
      </c>
      <c r="J9" s="2"/>
      <c r="K9" s="29">
        <v>45997.0</v>
      </c>
      <c r="L9" s="30">
        <f t="shared" si="3"/>
        <v>14034429</v>
      </c>
      <c r="M9" s="32">
        <v>3192032.0</v>
      </c>
      <c r="N9" s="31">
        <v>3059169.0</v>
      </c>
      <c r="O9" s="32">
        <v>3592132.0</v>
      </c>
      <c r="P9" s="32">
        <v>3862451.0</v>
      </c>
      <c r="Q9" s="31">
        <v>122857.0</v>
      </c>
      <c r="R9" s="31">
        <v>144391.0</v>
      </c>
      <c r="S9" s="31">
        <v>9170.0</v>
      </c>
      <c r="T9" s="31">
        <v>37926.0</v>
      </c>
      <c r="U9" s="120"/>
      <c r="V9" s="31">
        <v>14301.0</v>
      </c>
      <c r="W9" s="31">
        <v>0.0</v>
      </c>
      <c r="X9" s="31">
        <v>0.0</v>
      </c>
      <c r="Y9" s="5"/>
      <c r="Z9" s="44" t="s">
        <v>34</v>
      </c>
      <c r="AA9" s="22" t="s">
        <v>19</v>
      </c>
      <c r="AB9" s="45">
        <f>S42</f>
        <v>357438</v>
      </c>
      <c r="AC9" s="46"/>
      <c r="AD9" s="25">
        <f t="shared" si="1"/>
        <v>357438</v>
      </c>
      <c r="AE9" s="46"/>
      <c r="AF9" s="23">
        <f>S35</f>
        <v>341575</v>
      </c>
      <c r="AG9" s="23"/>
      <c r="AH9" s="23">
        <f>1200+12302</f>
        <v>13502</v>
      </c>
      <c r="AI9" s="24"/>
      <c r="AJ9" s="23">
        <f t="shared" si="2"/>
        <v>328073</v>
      </c>
      <c r="AK9" s="5"/>
    </row>
    <row r="10">
      <c r="A10" s="35">
        <f t="shared" si="4"/>
        <v>0</v>
      </c>
      <c r="B10" s="41" t="s">
        <v>35</v>
      </c>
      <c r="C10" s="31">
        <v>0.0</v>
      </c>
      <c r="D10" s="40"/>
      <c r="E10" s="2"/>
      <c r="F10" s="41" t="s">
        <v>35</v>
      </c>
      <c r="G10" s="31">
        <v>12611.0</v>
      </c>
      <c r="H10" s="40">
        <v>0.0</v>
      </c>
      <c r="I10" s="35">
        <f t="shared" si="5"/>
        <v>0.001150780854</v>
      </c>
      <c r="J10" s="47"/>
      <c r="K10" s="29">
        <v>45998.0</v>
      </c>
      <c r="L10" s="30">
        <f t="shared" si="3"/>
        <v>15208375.2</v>
      </c>
      <c r="M10" s="32">
        <v>3067649.0</v>
      </c>
      <c r="N10" s="31">
        <v>3149598.2</v>
      </c>
      <c r="O10" s="32">
        <v>4283439.0</v>
      </c>
      <c r="P10" s="32">
        <v>4303678.0</v>
      </c>
      <c r="Q10" s="31">
        <v>132807.0</v>
      </c>
      <c r="R10" s="31">
        <v>163980.0</v>
      </c>
      <c r="S10" s="31">
        <v>15530.0</v>
      </c>
      <c r="T10" s="31">
        <v>67339.0</v>
      </c>
      <c r="U10" s="120"/>
      <c r="V10" s="31">
        <v>24355.0</v>
      </c>
      <c r="W10" s="31">
        <v>0.0</v>
      </c>
      <c r="X10" s="31">
        <v>0.0</v>
      </c>
      <c r="Y10" s="5"/>
      <c r="AA10" s="22" t="s">
        <v>27</v>
      </c>
      <c r="AB10" s="45">
        <f>T42</f>
        <v>1099783</v>
      </c>
      <c r="AC10" s="46"/>
      <c r="AD10" s="25">
        <f t="shared" si="1"/>
        <v>1099783</v>
      </c>
      <c r="AE10" s="46"/>
      <c r="AF10" s="23">
        <f>T35</f>
        <v>1332348</v>
      </c>
      <c r="AG10" s="23"/>
      <c r="AH10" s="23">
        <f>49831</f>
        <v>49831</v>
      </c>
      <c r="AI10" s="24"/>
      <c r="AJ10" s="23">
        <f t="shared" si="2"/>
        <v>1282517</v>
      </c>
      <c r="AK10" s="5"/>
    </row>
    <row r="11">
      <c r="A11" s="35">
        <f t="shared" si="4"/>
        <v>0</v>
      </c>
      <c r="B11" s="39" t="s">
        <v>36</v>
      </c>
      <c r="C11" s="32">
        <v>0.0</v>
      </c>
      <c r="D11" s="42"/>
      <c r="E11" s="2"/>
      <c r="F11" s="39" t="s">
        <v>36</v>
      </c>
      <c r="G11" s="32"/>
      <c r="H11" s="42">
        <v>0.0</v>
      </c>
      <c r="I11" s="35">
        <f t="shared" si="5"/>
        <v>0</v>
      </c>
      <c r="J11" s="47"/>
      <c r="K11" s="29">
        <v>45999.0</v>
      </c>
      <c r="L11" s="30">
        <f t="shared" si="3"/>
        <v>13657181.4</v>
      </c>
      <c r="M11" s="32">
        <v>3122113.0</v>
      </c>
      <c r="N11" s="31">
        <v>2979476.0</v>
      </c>
      <c r="O11" s="32">
        <v>3936946.0</v>
      </c>
      <c r="P11" s="32">
        <v>3228434.0</v>
      </c>
      <c r="Q11" s="31">
        <v>152478.0</v>
      </c>
      <c r="R11" s="31">
        <v>117561.0</v>
      </c>
      <c r="S11" s="31">
        <v>12620.0</v>
      </c>
      <c r="T11" s="31">
        <v>80627.0</v>
      </c>
      <c r="U11" s="120"/>
      <c r="V11" s="31">
        <v>26112.0</v>
      </c>
      <c r="W11" s="31">
        <v>0.0</v>
      </c>
      <c r="X11" s="31">
        <v>814.4</v>
      </c>
      <c r="Y11" s="5"/>
      <c r="Z11" s="44" t="s">
        <v>37</v>
      </c>
      <c r="AA11" s="22" t="s">
        <v>19</v>
      </c>
      <c r="AB11" s="45">
        <f>U42</f>
        <v>0</v>
      </c>
      <c r="AC11" s="46"/>
      <c r="AD11" s="25">
        <f t="shared" si="1"/>
        <v>0</v>
      </c>
      <c r="AE11" s="46"/>
      <c r="AF11" s="23">
        <f>U35</f>
        <v>108947</v>
      </c>
      <c r="AG11" s="23"/>
      <c r="AH11" s="23">
        <f>34498</f>
        <v>34498</v>
      </c>
      <c r="AI11" s="24"/>
      <c r="AJ11" s="23">
        <f t="shared" si="2"/>
        <v>74449</v>
      </c>
      <c r="AK11" s="5"/>
    </row>
    <row r="12">
      <c r="A12" s="46"/>
      <c r="B12" s="48" t="s">
        <v>38</v>
      </c>
      <c r="C12" s="32">
        <v>0.0</v>
      </c>
      <c r="D12" s="49"/>
      <c r="E12" s="46"/>
      <c r="F12" s="48" t="s">
        <v>38</v>
      </c>
      <c r="G12" s="32"/>
      <c r="H12" s="49">
        <v>0.0</v>
      </c>
      <c r="I12" s="35">
        <f t="shared" si="5"/>
        <v>0</v>
      </c>
      <c r="J12" s="47"/>
      <c r="K12" s="29">
        <v>46000.0</v>
      </c>
      <c r="L12" s="30">
        <f t="shared" si="3"/>
        <v>13488240.9</v>
      </c>
      <c r="M12" s="32">
        <v>2980974.0</v>
      </c>
      <c r="N12" s="31">
        <v>3079510.1</v>
      </c>
      <c r="O12" s="32">
        <v>3805093.0</v>
      </c>
      <c r="P12" s="32">
        <v>3318450.0</v>
      </c>
      <c r="Q12" s="31">
        <v>123931.0</v>
      </c>
      <c r="R12" s="31">
        <v>103883.0</v>
      </c>
      <c r="S12" s="31">
        <v>8340.0</v>
      </c>
      <c r="T12" s="31">
        <v>34905.0</v>
      </c>
      <c r="U12" s="120"/>
      <c r="V12" s="31">
        <v>28886.0</v>
      </c>
      <c r="W12" s="31">
        <v>0.0</v>
      </c>
      <c r="X12" s="31">
        <v>4268.8</v>
      </c>
      <c r="Y12" s="5"/>
      <c r="AA12" s="22" t="s">
        <v>27</v>
      </c>
      <c r="AB12" s="45">
        <f>V42</f>
        <v>1079042</v>
      </c>
      <c r="AC12" s="46"/>
      <c r="AD12" s="25">
        <f t="shared" si="1"/>
        <v>1079042</v>
      </c>
      <c r="AE12" s="46"/>
      <c r="AF12" s="23">
        <f>V35</f>
        <v>787175</v>
      </c>
      <c r="AG12" s="23"/>
      <c r="AH12" s="50">
        <f>76776</f>
        <v>76776</v>
      </c>
      <c r="AI12" s="24"/>
      <c r="AJ12" s="23">
        <f t="shared" si="2"/>
        <v>710399</v>
      </c>
      <c r="AK12" s="5"/>
    </row>
    <row r="13">
      <c r="A13" s="46"/>
      <c r="B13" s="48" t="s">
        <v>39</v>
      </c>
      <c r="C13" s="32">
        <v>0.0</v>
      </c>
      <c r="D13" s="49"/>
      <c r="E13" s="46"/>
      <c r="F13" s="48" t="s">
        <v>39</v>
      </c>
      <c r="G13" s="32"/>
      <c r="H13" s="49">
        <v>0.0</v>
      </c>
      <c r="I13" s="35">
        <f t="shared" si="5"/>
        <v>0</v>
      </c>
      <c r="J13" s="47"/>
      <c r="K13" s="29">
        <v>46001.0</v>
      </c>
      <c r="L13" s="30">
        <f t="shared" si="3"/>
        <v>15003459.2</v>
      </c>
      <c r="M13" s="32">
        <v>3589572.0</v>
      </c>
      <c r="N13" s="31">
        <v>3258993.0</v>
      </c>
      <c r="O13" s="31">
        <v>3808180.0</v>
      </c>
      <c r="P13" s="32">
        <v>3928646.0</v>
      </c>
      <c r="Q13" s="31">
        <v>202549.0</v>
      </c>
      <c r="R13" s="31">
        <v>104560.0</v>
      </c>
      <c r="S13" s="31">
        <v>5422.0</v>
      </c>
      <c r="T13" s="31">
        <v>36893.0</v>
      </c>
      <c r="U13" s="31">
        <v>27885.0</v>
      </c>
      <c r="V13" s="31">
        <v>40308.0</v>
      </c>
      <c r="W13" s="31">
        <v>0.0</v>
      </c>
      <c r="X13" s="31">
        <v>451.2</v>
      </c>
      <c r="Y13" s="5"/>
      <c r="Z13" s="44" t="s">
        <v>8</v>
      </c>
      <c r="AA13" s="22" t="s">
        <v>19</v>
      </c>
      <c r="AB13" s="121">
        <f>W42</f>
        <v>2049</v>
      </c>
      <c r="AD13" s="25">
        <f t="shared" si="1"/>
        <v>2049</v>
      </c>
      <c r="AF13" s="121">
        <f>W35</f>
        <v>4715.92</v>
      </c>
      <c r="AJ13" s="23">
        <f t="shared" si="2"/>
        <v>4715.92</v>
      </c>
      <c r="AK13" s="5"/>
    </row>
    <row r="14">
      <c r="A14" s="46"/>
      <c r="B14" s="48" t="s">
        <v>41</v>
      </c>
      <c r="C14" s="32">
        <v>2187.0</v>
      </c>
      <c r="D14" s="49"/>
      <c r="E14" s="46"/>
      <c r="F14" s="48" t="s">
        <v>41</v>
      </c>
      <c r="G14" s="32"/>
      <c r="H14" s="49"/>
      <c r="I14" s="46"/>
      <c r="J14" s="47"/>
      <c r="K14" s="29">
        <v>46002.0</v>
      </c>
      <c r="L14" s="30">
        <f t="shared" si="3"/>
        <v>15038524.94</v>
      </c>
      <c r="M14" s="32">
        <v>3577493.0</v>
      </c>
      <c r="N14" s="31">
        <v>3336345.1</v>
      </c>
      <c r="O14" s="31">
        <v>3703451.0</v>
      </c>
      <c r="P14" s="32">
        <v>4093944.0</v>
      </c>
      <c r="Q14" s="31">
        <v>141638.0</v>
      </c>
      <c r="R14" s="31">
        <v>98712.0</v>
      </c>
      <c r="S14" s="31">
        <v>6067.0</v>
      </c>
      <c r="T14" s="31">
        <v>35370.0</v>
      </c>
      <c r="U14" s="31">
        <v>6067.0</v>
      </c>
      <c r="V14" s="31">
        <v>35370.0</v>
      </c>
      <c r="W14" s="31">
        <v>415.36</v>
      </c>
      <c r="X14" s="31">
        <v>3652.48</v>
      </c>
      <c r="Y14" s="5"/>
      <c r="AA14" s="22" t="s">
        <v>27</v>
      </c>
      <c r="AB14" s="121">
        <f>X42</f>
        <v>17685.2</v>
      </c>
      <c r="AD14" s="25">
        <f t="shared" si="1"/>
        <v>17685.2</v>
      </c>
      <c r="AF14" s="121">
        <f>X35</f>
        <v>36021.18</v>
      </c>
      <c r="AJ14" s="23">
        <f t="shared" si="2"/>
        <v>36021.18</v>
      </c>
      <c r="AK14" s="5"/>
    </row>
    <row r="15">
      <c r="A15" s="2"/>
      <c r="B15" s="41" t="s">
        <v>42</v>
      </c>
      <c r="C15" s="30">
        <f>SUM(C5:C14)</f>
        <v>12817443</v>
      </c>
      <c r="D15" s="40"/>
      <c r="E15" s="2"/>
      <c r="F15" s="41" t="s">
        <v>42</v>
      </c>
      <c r="G15" s="30">
        <f t="shared" ref="G15:H15" si="6">SUM(G5:G14)</f>
        <v>10958646</v>
      </c>
      <c r="H15" s="53">
        <f t="shared" si="6"/>
        <v>387418</v>
      </c>
      <c r="I15" s="2"/>
      <c r="J15" s="47"/>
      <c r="K15" s="29">
        <v>46003.0</v>
      </c>
      <c r="L15" s="30">
        <f t="shared" si="3"/>
        <v>14152621</v>
      </c>
      <c r="M15" s="32">
        <v>3499214.0</v>
      </c>
      <c r="N15" s="31">
        <v>3034905.0</v>
      </c>
      <c r="O15" s="31">
        <v>3681772.0</v>
      </c>
      <c r="P15" s="32">
        <v>3640624.0</v>
      </c>
      <c r="Q15" s="31">
        <v>120204.0</v>
      </c>
      <c r="R15" s="31">
        <v>101213.0</v>
      </c>
      <c r="S15" s="31">
        <v>5225.0</v>
      </c>
      <c r="T15" s="31">
        <v>28826.0</v>
      </c>
      <c r="U15" s="31">
        <v>0.0</v>
      </c>
      <c r="V15" s="31">
        <v>37015.0</v>
      </c>
      <c r="W15" s="31">
        <v>0.0</v>
      </c>
      <c r="X15" s="31">
        <v>3623.0</v>
      </c>
      <c r="Y15" s="5"/>
      <c r="Z15" s="46"/>
      <c r="AA15" s="51" t="s">
        <v>40</v>
      </c>
      <c r="AB15" s="52">
        <f t="shared" ref="AB15:AD15" si="7">SUM(AB3:AB14)</f>
        <v>379414162.9</v>
      </c>
      <c r="AC15" s="52">
        <f t="shared" si="7"/>
        <v>0</v>
      </c>
      <c r="AD15" s="52">
        <f t="shared" si="7"/>
        <v>379414162.9</v>
      </c>
      <c r="AE15" s="5"/>
      <c r="AF15" s="52">
        <f t="shared" ref="AF15:AJ15" si="8">SUM(AF3:AF14)</f>
        <v>417289449.6</v>
      </c>
      <c r="AG15" s="52">
        <f t="shared" si="8"/>
        <v>14469450.46</v>
      </c>
      <c r="AH15" s="52">
        <f t="shared" si="8"/>
        <v>3176392</v>
      </c>
      <c r="AI15" s="52">
        <f t="shared" si="8"/>
        <v>0</v>
      </c>
      <c r="AJ15" s="52">
        <f t="shared" si="8"/>
        <v>399643607.1</v>
      </c>
      <c r="AK15" s="5"/>
    </row>
    <row r="16">
      <c r="A16" s="2"/>
      <c r="B16" s="41" t="s">
        <v>43</v>
      </c>
      <c r="C16" s="2"/>
      <c r="D16" s="54">
        <f>M35</f>
        <v>96599698</v>
      </c>
      <c r="E16" s="2"/>
      <c r="F16" s="41" t="s">
        <v>43</v>
      </c>
      <c r="G16" s="2"/>
      <c r="H16" s="54">
        <f>N35</f>
        <v>86342889.5</v>
      </c>
      <c r="I16" s="2"/>
      <c r="J16" s="47"/>
      <c r="K16" s="29">
        <v>46004.0</v>
      </c>
      <c r="L16" s="30">
        <f t="shared" si="3"/>
        <v>14346923.84</v>
      </c>
      <c r="M16" s="32">
        <v>3618865.0</v>
      </c>
      <c r="N16" s="31">
        <v>3180181.0</v>
      </c>
      <c r="O16" s="31">
        <v>3452323.0</v>
      </c>
      <c r="P16" s="32">
        <v>3708455.0</v>
      </c>
      <c r="Q16" s="31">
        <v>150785.0</v>
      </c>
      <c r="R16" s="31">
        <v>135876.0</v>
      </c>
      <c r="S16" s="31">
        <v>14599.0</v>
      </c>
      <c r="T16" s="31">
        <v>46100.0</v>
      </c>
      <c r="U16" s="31">
        <v>1998.0</v>
      </c>
      <c r="V16" s="31">
        <v>36362.0</v>
      </c>
      <c r="W16" s="31">
        <v>0.0</v>
      </c>
      <c r="X16" s="31">
        <v>1379.84</v>
      </c>
      <c r="Y16" s="5"/>
      <c r="Z16" s="46"/>
      <c r="AA16" s="46"/>
      <c r="AB16" s="46"/>
      <c r="AC16" s="46"/>
      <c r="AD16" s="46"/>
      <c r="AE16" s="46"/>
      <c r="AF16" s="46"/>
      <c r="AG16" s="46"/>
      <c r="AH16" s="82">
        <f>AH15/AF15</f>
        <v>0.007611963358</v>
      </c>
      <c r="AI16" s="46"/>
      <c r="AJ16" s="46"/>
      <c r="AK16" s="5"/>
    </row>
    <row r="17">
      <c r="A17" s="2"/>
      <c r="B17" s="41" t="s">
        <v>44</v>
      </c>
      <c r="C17" s="56"/>
      <c r="D17" s="57">
        <f>C15/D16</f>
        <v>0.1326861602</v>
      </c>
      <c r="E17" s="58"/>
      <c r="F17" s="41" t="s">
        <v>44</v>
      </c>
      <c r="G17" s="56"/>
      <c r="H17" s="57">
        <f>G15/H16</f>
        <v>0.1269200749</v>
      </c>
      <c r="I17" s="2"/>
      <c r="J17" s="47"/>
      <c r="K17" s="29">
        <v>46005.0</v>
      </c>
      <c r="L17" s="30">
        <f t="shared" si="3"/>
        <v>14285437.14</v>
      </c>
      <c r="M17" s="32">
        <v>3762019.0</v>
      </c>
      <c r="N17" s="31">
        <v>2994484.1</v>
      </c>
      <c r="O17" s="31">
        <v>3249906.0</v>
      </c>
      <c r="P17" s="32">
        <v>3874535.0</v>
      </c>
      <c r="Q17" s="31">
        <v>140620.0</v>
      </c>
      <c r="R17" s="31">
        <v>158142.0</v>
      </c>
      <c r="S17" s="31">
        <v>8932.0</v>
      </c>
      <c r="T17" s="31">
        <v>52471.0</v>
      </c>
      <c r="U17" s="31">
        <v>1998.0</v>
      </c>
      <c r="V17" s="31">
        <v>41027.0</v>
      </c>
      <c r="W17" s="31">
        <v>0.0</v>
      </c>
      <c r="X17" s="31">
        <v>1303.04</v>
      </c>
      <c r="Y17" s="5"/>
      <c r="Z17" s="5"/>
      <c r="AA17" s="5"/>
      <c r="AB17" s="14" t="s">
        <v>45</v>
      </c>
      <c r="AE17" s="55"/>
      <c r="AF17" s="14" t="s">
        <v>46</v>
      </c>
      <c r="AI17" s="55"/>
      <c r="AJ17" s="24"/>
      <c r="AK17" s="5"/>
    </row>
    <row r="18">
      <c r="A18" s="35">
        <f>D17/C18</f>
        <v>0.6472495617</v>
      </c>
      <c r="B18" s="41" t="s">
        <v>47</v>
      </c>
      <c r="C18" s="59">
        <v>0.205</v>
      </c>
      <c r="D18" s="54">
        <f>D16*C18</f>
        <v>19802938.09</v>
      </c>
      <c r="E18" s="2"/>
      <c r="F18" s="41" t="s">
        <v>47</v>
      </c>
      <c r="G18" s="59">
        <v>0.115</v>
      </c>
      <c r="H18" s="54">
        <f>H16*G18</f>
        <v>9929432.293</v>
      </c>
      <c r="I18" s="35">
        <f>H17/G18</f>
        <v>1.103652825</v>
      </c>
      <c r="J18" s="47"/>
      <c r="K18" s="29">
        <v>46006.0</v>
      </c>
      <c r="L18" s="30">
        <f t="shared" si="3"/>
        <v>14399032.16</v>
      </c>
      <c r="M18" s="31">
        <v>4091505.0</v>
      </c>
      <c r="N18" s="31">
        <v>2903381.0</v>
      </c>
      <c r="O18" s="31">
        <v>3456522.0</v>
      </c>
      <c r="P18" s="32">
        <v>3585919.0</v>
      </c>
      <c r="Q18" s="31">
        <v>157226.0</v>
      </c>
      <c r="R18" s="31">
        <v>134159.0</v>
      </c>
      <c r="S18" s="31">
        <v>8560.0</v>
      </c>
      <c r="T18" s="31">
        <v>37394.0</v>
      </c>
      <c r="U18" s="31">
        <v>0.0</v>
      </c>
      <c r="V18" s="31">
        <v>22610.0</v>
      </c>
      <c r="W18" s="31">
        <v>0.0</v>
      </c>
      <c r="X18" s="31">
        <v>1756.16</v>
      </c>
      <c r="Y18" s="5"/>
      <c r="Z18" s="55"/>
      <c r="AA18" s="55"/>
      <c r="AB18" s="14" t="s">
        <v>10</v>
      </c>
      <c r="AC18" s="14" t="s">
        <v>13</v>
      </c>
      <c r="AD18" s="14" t="s">
        <v>48</v>
      </c>
      <c r="AE18" s="5"/>
      <c r="AF18" s="14" t="s">
        <v>12</v>
      </c>
      <c r="AG18" s="14" t="s">
        <v>17</v>
      </c>
      <c r="AH18" s="14" t="s">
        <v>48</v>
      </c>
      <c r="AI18" s="5"/>
      <c r="AJ18" s="5"/>
      <c r="AK18" s="5"/>
    </row>
    <row r="19">
      <c r="A19" s="2"/>
      <c r="B19" s="60" t="s">
        <v>49</v>
      </c>
      <c r="C19" s="61"/>
      <c r="D19" s="62">
        <f>C15-D18</f>
        <v>-6985495.09</v>
      </c>
      <c r="E19" s="58"/>
      <c r="F19" s="60" t="s">
        <v>50</v>
      </c>
      <c r="G19" s="61"/>
      <c r="H19" s="62">
        <f>G15-H18</f>
        <v>1029213.708</v>
      </c>
      <c r="I19" s="2"/>
      <c r="J19" s="2"/>
      <c r="K19" s="29">
        <v>46007.0</v>
      </c>
      <c r="L19" s="30">
        <f t="shared" si="3"/>
        <v>13611196.5</v>
      </c>
      <c r="M19" s="31">
        <v>3648925.0</v>
      </c>
      <c r="N19" s="31">
        <v>2729347.7</v>
      </c>
      <c r="O19" s="31">
        <v>3344262.0</v>
      </c>
      <c r="P19" s="32">
        <v>3518564.0</v>
      </c>
      <c r="Q19" s="31">
        <v>138344.0</v>
      </c>
      <c r="R19" s="31">
        <v>153189.0</v>
      </c>
      <c r="S19" s="31">
        <v>17038.0</v>
      </c>
      <c r="T19" s="31">
        <v>32675.0</v>
      </c>
      <c r="U19" s="31">
        <v>0.0</v>
      </c>
      <c r="V19" s="31">
        <v>24919.0</v>
      </c>
      <c r="W19" s="31">
        <v>1218.56</v>
      </c>
      <c r="X19" s="31">
        <v>2714.24</v>
      </c>
      <c r="Y19" s="5"/>
      <c r="Z19" s="21" t="s">
        <v>24</v>
      </c>
      <c r="AA19" s="22" t="s">
        <v>19</v>
      </c>
      <c r="AB19" s="25">
        <f t="shared" ref="AB19:AB30" si="9">AB3</f>
        <v>103370590</v>
      </c>
      <c r="AC19" s="23">
        <f t="shared" ref="AC19:AC30" si="10">AF3</f>
        <v>113971735</v>
      </c>
      <c r="AD19" s="63">
        <f t="shared" ref="AD19:AD31" si="11">IFERROR(AC19/AB19, " ")</f>
        <v>1.10255475</v>
      </c>
      <c r="AE19" s="5"/>
      <c r="AF19" s="23">
        <f t="shared" ref="AF19:AF30" si="12">AD3</f>
        <v>103370590</v>
      </c>
      <c r="AG19" s="23">
        <f t="shared" ref="AG19:AG30" si="13">AJ3</f>
        <v>113706034</v>
      </c>
      <c r="AH19" s="63">
        <f t="shared" ref="AH19:AH31" si="14">IFERROR(AG19/AF19, " ")</f>
        <v>1.099984377</v>
      </c>
      <c r="AI19" s="5"/>
      <c r="AJ19" s="5"/>
      <c r="AK19" s="5"/>
    </row>
    <row r="20">
      <c r="A20" s="2"/>
      <c r="B20" s="2"/>
      <c r="C20" s="2"/>
      <c r="D20" s="2"/>
      <c r="E20" s="56"/>
      <c r="F20" s="2"/>
      <c r="G20" s="2"/>
      <c r="H20" s="2"/>
      <c r="I20" s="2"/>
      <c r="J20" s="58"/>
      <c r="K20" s="29">
        <v>46008.0</v>
      </c>
      <c r="L20" s="30">
        <f t="shared" si="3"/>
        <v>13513728.2</v>
      </c>
      <c r="M20" s="31">
        <v>3735610.0</v>
      </c>
      <c r="N20" s="122">
        <v>2813146.1</v>
      </c>
      <c r="O20" s="31">
        <v>3353286.0</v>
      </c>
      <c r="P20" s="31">
        <v>3215322.0</v>
      </c>
      <c r="Q20" s="31">
        <v>148528.0</v>
      </c>
      <c r="R20" s="31">
        <v>153189.0</v>
      </c>
      <c r="S20" s="31">
        <v>17501.0</v>
      </c>
      <c r="T20" s="31">
        <v>46671.0</v>
      </c>
      <c r="U20" s="31">
        <v>5686.0</v>
      </c>
      <c r="V20" s="31">
        <v>23463.0</v>
      </c>
      <c r="W20" s="31">
        <v>0.0</v>
      </c>
      <c r="X20" s="31">
        <v>1326.1</v>
      </c>
      <c r="Y20" s="5"/>
      <c r="AA20" s="22" t="s">
        <v>27</v>
      </c>
      <c r="AB20" s="25">
        <f t="shared" si="9"/>
        <v>124247057</v>
      </c>
      <c r="AC20" s="23">
        <f t="shared" si="10"/>
        <v>110544589</v>
      </c>
      <c r="AD20" s="63">
        <f t="shared" si="11"/>
        <v>0.8897159552</v>
      </c>
      <c r="AE20" s="5"/>
      <c r="AF20" s="23">
        <f t="shared" si="12"/>
        <v>124247057</v>
      </c>
      <c r="AG20" s="23">
        <f t="shared" si="13"/>
        <v>109193402</v>
      </c>
      <c r="AH20" s="63">
        <f t="shared" si="14"/>
        <v>0.8788409532</v>
      </c>
      <c r="AI20" s="5"/>
      <c r="AJ20" s="5"/>
      <c r="AK20" s="5"/>
    </row>
    <row r="21">
      <c r="A21" s="2"/>
      <c r="B21" s="58" t="s">
        <v>51</v>
      </c>
      <c r="C21" s="58"/>
      <c r="D21" s="64">
        <f>M42</f>
        <v>68328978</v>
      </c>
      <c r="E21" s="31"/>
      <c r="F21" s="58" t="s">
        <v>51</v>
      </c>
      <c r="G21" s="58"/>
      <c r="H21" s="65">
        <f>N42</f>
        <v>73964392.7</v>
      </c>
      <c r="I21" s="2"/>
      <c r="J21" s="58"/>
      <c r="K21" s="29">
        <v>46009.0</v>
      </c>
      <c r="L21" s="30">
        <f t="shared" si="3"/>
        <v>14152201.12</v>
      </c>
      <c r="M21" s="31">
        <v>3308389.0</v>
      </c>
      <c r="N21" s="31">
        <v>2648887.0</v>
      </c>
      <c r="O21" s="31">
        <v>3972611.0</v>
      </c>
      <c r="P21" s="31">
        <v>3870388.0</v>
      </c>
      <c r="Q21" s="31">
        <v>137088.0</v>
      </c>
      <c r="R21" s="31">
        <v>132065.0</v>
      </c>
      <c r="S21" s="31">
        <v>16276.0</v>
      </c>
      <c r="T21" s="31">
        <v>35302.0</v>
      </c>
      <c r="U21" s="43">
        <v>5162.0</v>
      </c>
      <c r="V21" s="43">
        <v>25230.0</v>
      </c>
      <c r="W21" s="31">
        <v>0.0</v>
      </c>
      <c r="X21" s="31">
        <v>803.12</v>
      </c>
      <c r="Y21" s="5"/>
      <c r="Z21" s="21" t="s">
        <v>18</v>
      </c>
      <c r="AA21" s="22" t="s">
        <v>19</v>
      </c>
      <c r="AB21" s="25">
        <f t="shared" si="9"/>
        <v>68328978</v>
      </c>
      <c r="AC21" s="23">
        <f t="shared" si="10"/>
        <v>96599698</v>
      </c>
      <c r="AD21" s="63">
        <f t="shared" si="11"/>
        <v>1.413744224</v>
      </c>
      <c r="AE21" s="5"/>
      <c r="AF21" s="23">
        <f t="shared" si="12"/>
        <v>68328978</v>
      </c>
      <c r="AG21" s="23">
        <f t="shared" si="13"/>
        <v>87879382.57</v>
      </c>
      <c r="AH21" s="63">
        <f t="shared" si="14"/>
        <v>1.286121718</v>
      </c>
      <c r="AI21" s="5"/>
      <c r="AJ21" s="5"/>
      <c r="AK21" s="5"/>
    </row>
    <row r="22">
      <c r="A22" s="2"/>
      <c r="B22" s="2" t="s">
        <v>52</v>
      </c>
      <c r="C22" s="2"/>
      <c r="D22" s="30">
        <f>D16/$C$1</f>
        <v>3116119.29</v>
      </c>
      <c r="E22" s="58"/>
      <c r="F22" s="2" t="s">
        <v>52</v>
      </c>
      <c r="G22" s="2"/>
      <c r="H22" s="30">
        <f>H16/$C$1</f>
        <v>2785254.5</v>
      </c>
      <c r="I22" s="58"/>
      <c r="J22" s="58"/>
      <c r="K22" s="29">
        <v>46010.0</v>
      </c>
      <c r="L22" s="30">
        <f t="shared" si="3"/>
        <v>13563759</v>
      </c>
      <c r="M22" s="31">
        <v>2969237.0</v>
      </c>
      <c r="N22" s="31">
        <v>2675429.0</v>
      </c>
      <c r="O22" s="31">
        <v>3802489.0</v>
      </c>
      <c r="P22" s="31">
        <v>3851382.0</v>
      </c>
      <c r="Q22" s="31">
        <v>110874.0</v>
      </c>
      <c r="R22" s="31">
        <v>78049.0</v>
      </c>
      <c r="S22" s="31">
        <v>6094.0</v>
      </c>
      <c r="T22" s="31">
        <v>46344.0</v>
      </c>
      <c r="U22" s="31">
        <v>4958.0</v>
      </c>
      <c r="V22" s="31">
        <v>18258.0</v>
      </c>
      <c r="W22" s="31">
        <v>0.0</v>
      </c>
      <c r="X22" s="31">
        <v>645.0</v>
      </c>
      <c r="Y22" s="5"/>
      <c r="AA22" s="22" t="s">
        <v>27</v>
      </c>
      <c r="AB22" s="25">
        <f t="shared" si="9"/>
        <v>73964392.7</v>
      </c>
      <c r="AC22" s="23">
        <f t="shared" si="10"/>
        <v>86342889.5</v>
      </c>
      <c r="AD22" s="63">
        <f t="shared" si="11"/>
        <v>1.167357513</v>
      </c>
      <c r="AE22" s="24"/>
      <c r="AF22" s="23">
        <f t="shared" si="12"/>
        <v>73964392.7</v>
      </c>
      <c r="AG22" s="23">
        <f t="shared" si="13"/>
        <v>79878694.3</v>
      </c>
      <c r="AH22" s="63">
        <f t="shared" si="14"/>
        <v>1.07996147</v>
      </c>
      <c r="AI22" s="24"/>
      <c r="AJ22" s="24"/>
      <c r="AK22" s="5"/>
    </row>
    <row r="23">
      <c r="A23" s="2"/>
      <c r="B23" s="2" t="s">
        <v>53</v>
      </c>
      <c r="C23" s="2"/>
      <c r="D23" s="30">
        <f>D21/$G$1*$C$1</f>
        <v>68328978</v>
      </c>
      <c r="E23" s="2"/>
      <c r="F23" s="2" t="s">
        <v>53</v>
      </c>
      <c r="G23" s="2"/>
      <c r="H23" s="30">
        <f>H21/$G$1*$C$1</f>
        <v>73964392.7</v>
      </c>
      <c r="I23" s="2"/>
      <c r="J23" s="47"/>
      <c r="K23" s="29">
        <v>46011.0</v>
      </c>
      <c r="L23" s="30">
        <f t="shared" si="3"/>
        <v>13733664</v>
      </c>
      <c r="M23" s="31">
        <v>2988436.0</v>
      </c>
      <c r="N23" s="31">
        <v>2762642.0</v>
      </c>
      <c r="O23" s="31">
        <v>3832319.0</v>
      </c>
      <c r="P23" s="31">
        <v>3863483.0</v>
      </c>
      <c r="Q23" s="31">
        <v>97660.0</v>
      </c>
      <c r="R23" s="31">
        <v>128223.0</v>
      </c>
      <c r="S23" s="31">
        <v>2726.0</v>
      </c>
      <c r="T23" s="31">
        <v>33158.0</v>
      </c>
      <c r="U23" s="31">
        <v>3264.0</v>
      </c>
      <c r="V23" s="31">
        <v>21753.0</v>
      </c>
      <c r="W23" s="31">
        <v>0.0</v>
      </c>
      <c r="X23" s="31">
        <v>0.0</v>
      </c>
      <c r="Y23" s="5"/>
      <c r="Z23" s="21" t="s">
        <v>31</v>
      </c>
      <c r="AA23" s="22" t="s">
        <v>19</v>
      </c>
      <c r="AB23" s="25">
        <f t="shared" si="9"/>
        <v>2491703</v>
      </c>
      <c r="AC23" s="23">
        <f t="shared" si="10"/>
        <v>3741104</v>
      </c>
      <c r="AD23" s="63">
        <f t="shared" si="11"/>
        <v>1.501424528</v>
      </c>
      <c r="AE23" s="24"/>
      <c r="AF23" s="23">
        <f t="shared" si="12"/>
        <v>2491703</v>
      </c>
      <c r="AG23" s="23">
        <f t="shared" si="13"/>
        <v>3359015.829</v>
      </c>
      <c r="AH23" s="63">
        <f t="shared" si="14"/>
        <v>1.348080341</v>
      </c>
      <c r="AI23" s="24"/>
      <c r="AJ23" s="24"/>
      <c r="AK23" s="5"/>
    </row>
    <row r="24">
      <c r="A24" s="2"/>
      <c r="B24" s="2" t="s">
        <v>54</v>
      </c>
      <c r="C24" s="2"/>
      <c r="D24" s="30" t="str">
        <f>(D21-D16)/($G$1-$C$1)</f>
        <v>#DIV/0!</v>
      </c>
      <c r="E24" s="2"/>
      <c r="F24" s="2" t="s">
        <v>54</v>
      </c>
      <c r="G24" s="2"/>
      <c r="H24" s="30" t="str">
        <f>(H21-H16)/($G$1-$C$1)</f>
        <v>#DIV/0!</v>
      </c>
      <c r="I24" s="2"/>
      <c r="J24" s="58"/>
      <c r="K24" s="29">
        <v>46012.0</v>
      </c>
      <c r="L24" s="30">
        <f t="shared" si="3"/>
        <v>16475111</v>
      </c>
      <c r="M24" s="31">
        <v>3857367.0</v>
      </c>
      <c r="N24" s="31">
        <v>3236106.0</v>
      </c>
      <c r="O24" s="31">
        <v>4236802.0</v>
      </c>
      <c r="P24" s="31">
        <v>4828999.0</v>
      </c>
      <c r="Q24" s="31">
        <v>109326.0</v>
      </c>
      <c r="R24" s="31">
        <v>114189.0</v>
      </c>
      <c r="S24" s="31">
        <v>9955.0</v>
      </c>
      <c r="T24" s="31">
        <v>56421.0</v>
      </c>
      <c r="U24" s="31">
        <v>3184.0</v>
      </c>
      <c r="V24" s="31">
        <v>20547.0</v>
      </c>
      <c r="W24" s="31">
        <v>1198.0</v>
      </c>
      <c r="X24" s="31">
        <v>1017.0</v>
      </c>
      <c r="Y24" s="5"/>
      <c r="AA24" s="22" t="s">
        <v>27</v>
      </c>
      <c r="AB24" s="25">
        <f t="shared" si="9"/>
        <v>4455445</v>
      </c>
      <c r="AC24" s="23">
        <f t="shared" si="10"/>
        <v>3478652</v>
      </c>
      <c r="AD24" s="63">
        <f t="shared" si="11"/>
        <v>0.780764211</v>
      </c>
      <c r="AE24" s="24"/>
      <c r="AF24" s="23">
        <f t="shared" si="12"/>
        <v>4455445</v>
      </c>
      <c r="AG24" s="23">
        <f t="shared" si="13"/>
        <v>3190903.338</v>
      </c>
      <c r="AH24" s="63">
        <f t="shared" si="14"/>
        <v>0.7161806144</v>
      </c>
      <c r="AI24" s="24"/>
      <c r="AJ24" s="24"/>
      <c r="AK24" s="5"/>
    </row>
    <row r="25">
      <c r="A25" s="2"/>
      <c r="B25" s="2" t="s">
        <v>55</v>
      </c>
      <c r="C25" s="2"/>
      <c r="D25" s="30">
        <f>D16-D23</f>
        <v>28270720</v>
      </c>
      <c r="E25" s="2"/>
      <c r="F25" s="2" t="s">
        <v>55</v>
      </c>
      <c r="G25" s="2"/>
      <c r="H25" s="30">
        <f>H16-H23</f>
        <v>12378496.8</v>
      </c>
      <c r="I25" s="2"/>
      <c r="J25" s="47"/>
      <c r="K25" s="29">
        <v>46013.0</v>
      </c>
      <c r="L25" s="30">
        <f t="shared" si="3"/>
        <v>13857822</v>
      </c>
      <c r="M25" s="31">
        <v>2964641.0</v>
      </c>
      <c r="N25" s="31">
        <v>3015680.0</v>
      </c>
      <c r="O25" s="31">
        <v>3819899.0</v>
      </c>
      <c r="P25" s="31">
        <v>3767995.0</v>
      </c>
      <c r="Q25" s="31">
        <v>100314.0</v>
      </c>
      <c r="R25" s="31">
        <v>105724.0</v>
      </c>
      <c r="S25" s="31">
        <v>8963.0</v>
      </c>
      <c r="T25" s="31">
        <v>38684.0</v>
      </c>
      <c r="U25" s="31">
        <v>1984.0</v>
      </c>
      <c r="V25" s="31">
        <v>32054.0</v>
      </c>
      <c r="W25" s="31">
        <v>1884.0</v>
      </c>
      <c r="X25" s="31">
        <v>0.0</v>
      </c>
      <c r="Y25" s="5"/>
      <c r="Z25" s="44" t="s">
        <v>34</v>
      </c>
      <c r="AA25" s="22" t="s">
        <v>19</v>
      </c>
      <c r="AB25" s="25">
        <f t="shared" si="9"/>
        <v>357438</v>
      </c>
      <c r="AC25" s="23">
        <f t="shared" si="10"/>
        <v>341575</v>
      </c>
      <c r="AD25" s="63">
        <f t="shared" si="11"/>
        <v>0.9556202754</v>
      </c>
      <c r="AE25" s="46"/>
      <c r="AF25" s="23">
        <f t="shared" si="12"/>
        <v>357438</v>
      </c>
      <c r="AG25" s="23">
        <f t="shared" si="13"/>
        <v>328073</v>
      </c>
      <c r="AH25" s="63">
        <f t="shared" si="14"/>
        <v>0.9178458922</v>
      </c>
      <c r="AI25" s="46"/>
      <c r="AJ25" s="46"/>
      <c r="AK25" s="5"/>
    </row>
    <row r="26">
      <c r="A26" s="2"/>
      <c r="B26" s="2" t="s">
        <v>56</v>
      </c>
      <c r="C26" s="2"/>
      <c r="D26" s="30">
        <f>D16/$C$1*$G$1</f>
        <v>96599698</v>
      </c>
      <c r="E26" s="56"/>
      <c r="F26" s="2" t="s">
        <v>56</v>
      </c>
      <c r="G26" s="2"/>
      <c r="H26" s="30">
        <f>H16/$C$1*$G$1</f>
        <v>86342889.5</v>
      </c>
      <c r="I26" s="2"/>
      <c r="J26" s="56"/>
      <c r="K26" s="29">
        <v>46014.0</v>
      </c>
      <c r="L26" s="30">
        <f t="shared" si="3"/>
        <v>13768264.5</v>
      </c>
      <c r="M26" s="31">
        <v>3162668.0</v>
      </c>
      <c r="N26" s="31">
        <v>3085949.5</v>
      </c>
      <c r="O26" s="31">
        <v>3664429.0</v>
      </c>
      <c r="P26" s="31">
        <v>3551603.0</v>
      </c>
      <c r="Q26" s="31">
        <v>106788.0</v>
      </c>
      <c r="R26" s="31">
        <v>108875.0</v>
      </c>
      <c r="S26" s="31">
        <v>0.0</v>
      </c>
      <c r="T26" s="31">
        <v>17252.0</v>
      </c>
      <c r="U26" s="31">
        <v>4788.0</v>
      </c>
      <c r="V26" s="31">
        <v>61900.0</v>
      </c>
      <c r="W26" s="31">
        <v>0.0</v>
      </c>
      <c r="X26" s="31">
        <v>4012.0</v>
      </c>
      <c r="Y26" s="5"/>
      <c r="AA26" s="22" t="s">
        <v>27</v>
      </c>
      <c r="AB26" s="25">
        <f t="shared" si="9"/>
        <v>1099783</v>
      </c>
      <c r="AC26" s="23">
        <f t="shared" si="10"/>
        <v>1332348</v>
      </c>
      <c r="AD26" s="63">
        <f t="shared" si="11"/>
        <v>1.211464443</v>
      </c>
      <c r="AE26" s="46"/>
      <c r="AF26" s="23">
        <f t="shared" si="12"/>
        <v>1099783</v>
      </c>
      <c r="AG26" s="23">
        <f t="shared" si="13"/>
        <v>1282517</v>
      </c>
      <c r="AH26" s="63">
        <f t="shared" si="14"/>
        <v>1.166154596</v>
      </c>
      <c r="AI26" s="46"/>
      <c r="AJ26" s="46"/>
      <c r="AK26" s="5"/>
    </row>
    <row r="27">
      <c r="A27" s="2"/>
      <c r="B27" s="66" t="s">
        <v>57</v>
      </c>
      <c r="C27" s="66"/>
      <c r="D27" s="67">
        <f>D26/D21</f>
        <v>1.413744224</v>
      </c>
      <c r="E27" s="2"/>
      <c r="F27" s="66" t="s">
        <v>57</v>
      </c>
      <c r="G27" s="66"/>
      <c r="H27" s="67">
        <f>H26/H21</f>
        <v>1.167357513</v>
      </c>
      <c r="I27" s="2"/>
      <c r="J27" s="47"/>
      <c r="K27" s="29">
        <v>46015.0</v>
      </c>
      <c r="L27" s="30">
        <f t="shared" si="3"/>
        <v>13459046</v>
      </c>
      <c r="M27" s="31">
        <v>3261774.0</v>
      </c>
      <c r="N27" s="31">
        <v>2808628.0</v>
      </c>
      <c r="O27" s="31">
        <v>3788683.0</v>
      </c>
      <c r="P27" s="31">
        <v>3344398.0</v>
      </c>
      <c r="Q27" s="31">
        <v>104260.0</v>
      </c>
      <c r="R27" s="31">
        <v>83621.0</v>
      </c>
      <c r="S27" s="31">
        <v>536.0</v>
      </c>
      <c r="T27" s="43">
        <v>25309.0</v>
      </c>
      <c r="U27" s="31">
        <v>2997.0</v>
      </c>
      <c r="V27" s="31">
        <v>38840.0</v>
      </c>
      <c r="W27" s="31">
        <v>0.0</v>
      </c>
      <c r="X27" s="31">
        <v>0.0</v>
      </c>
      <c r="Y27" s="5"/>
      <c r="Z27" s="44" t="s">
        <v>37</v>
      </c>
      <c r="AA27" s="22" t="s">
        <v>19</v>
      </c>
      <c r="AB27" s="25">
        <f t="shared" si="9"/>
        <v>0</v>
      </c>
      <c r="AC27" s="23">
        <f t="shared" si="10"/>
        <v>108947</v>
      </c>
      <c r="AD27" s="63" t="str">
        <f t="shared" si="11"/>
        <v> </v>
      </c>
      <c r="AE27" s="46"/>
      <c r="AF27" s="23">
        <f t="shared" si="12"/>
        <v>0</v>
      </c>
      <c r="AG27" s="23">
        <f t="shared" si="13"/>
        <v>74449</v>
      </c>
      <c r="AH27" s="63" t="str">
        <f t="shared" si="14"/>
        <v> </v>
      </c>
      <c r="AI27" s="46"/>
      <c r="AJ27" s="46"/>
      <c r="AK27" s="5"/>
    </row>
    <row r="28">
      <c r="A28" s="2"/>
      <c r="B28" s="2"/>
      <c r="C28" s="2"/>
      <c r="D28" s="2"/>
      <c r="E28" s="2"/>
      <c r="F28" s="2"/>
      <c r="G28" s="2"/>
      <c r="H28" s="2"/>
      <c r="I28" s="2"/>
      <c r="J28" s="47"/>
      <c r="K28" s="29">
        <v>46016.0</v>
      </c>
      <c r="L28" s="30">
        <f t="shared" si="3"/>
        <v>13897814</v>
      </c>
      <c r="M28" s="31">
        <v>3356397.0</v>
      </c>
      <c r="N28" s="31">
        <v>2499393.0</v>
      </c>
      <c r="O28" s="31">
        <v>3937025.0</v>
      </c>
      <c r="P28" s="31">
        <v>3837098.0</v>
      </c>
      <c r="Q28" s="31">
        <v>86936.0</v>
      </c>
      <c r="R28" s="31">
        <v>111506.0</v>
      </c>
      <c r="S28" s="31">
        <v>4022.0</v>
      </c>
      <c r="T28" s="31">
        <v>30363.0</v>
      </c>
      <c r="U28" s="31">
        <v>8443.0</v>
      </c>
      <c r="V28" s="31">
        <v>25539.0</v>
      </c>
      <c r="W28" s="31">
        <v>0.0</v>
      </c>
      <c r="X28" s="31">
        <v>1092.0</v>
      </c>
      <c r="Y28" s="5"/>
      <c r="AA28" s="22" t="s">
        <v>27</v>
      </c>
      <c r="AB28" s="25">
        <f t="shared" si="9"/>
        <v>1079042</v>
      </c>
      <c r="AC28" s="23">
        <f t="shared" si="10"/>
        <v>787175</v>
      </c>
      <c r="AD28" s="63">
        <f t="shared" si="11"/>
        <v>0.7295128457</v>
      </c>
      <c r="AE28" s="46"/>
      <c r="AF28" s="23">
        <f t="shared" si="12"/>
        <v>1079042</v>
      </c>
      <c r="AG28" s="23">
        <f t="shared" si="13"/>
        <v>710399</v>
      </c>
      <c r="AH28" s="63">
        <f t="shared" si="14"/>
        <v>0.6583608423</v>
      </c>
      <c r="AI28" s="46"/>
      <c r="AJ28" s="46"/>
      <c r="AK28" s="5"/>
    </row>
    <row r="29">
      <c r="A29" s="2"/>
      <c r="B29" s="68" t="s">
        <v>58</v>
      </c>
      <c r="C29" s="17"/>
      <c r="D29" s="17"/>
      <c r="E29" s="17"/>
      <c r="F29" s="17"/>
      <c r="G29" s="17"/>
      <c r="H29" s="18"/>
      <c r="I29" s="2"/>
      <c r="J29" s="30"/>
      <c r="K29" s="29">
        <v>46017.0</v>
      </c>
      <c r="L29" s="30">
        <f t="shared" si="3"/>
        <v>12928102</v>
      </c>
      <c r="M29" s="31">
        <v>3138019.0</v>
      </c>
      <c r="N29" s="31">
        <v>2499858.0</v>
      </c>
      <c r="O29" s="31">
        <v>3582823.0</v>
      </c>
      <c r="P29" s="31">
        <v>3438266.0</v>
      </c>
      <c r="Q29" s="31">
        <v>113536.0</v>
      </c>
      <c r="R29" s="31">
        <v>93059.0</v>
      </c>
      <c r="S29" s="31">
        <v>10021.0</v>
      </c>
      <c r="T29" s="31">
        <v>25383.0</v>
      </c>
      <c r="U29" s="31">
        <v>2344.0</v>
      </c>
      <c r="V29" s="31">
        <v>23850.0</v>
      </c>
      <c r="W29" s="31">
        <v>0.0</v>
      </c>
      <c r="X29" s="31">
        <v>943.0</v>
      </c>
      <c r="Y29" s="5"/>
      <c r="Z29" s="44" t="s">
        <v>8</v>
      </c>
      <c r="AA29" s="22" t="s">
        <v>19</v>
      </c>
      <c r="AB29" s="25">
        <f t="shared" si="9"/>
        <v>2049</v>
      </c>
      <c r="AC29" s="23">
        <f t="shared" si="10"/>
        <v>4715.92</v>
      </c>
      <c r="AD29" s="63">
        <f t="shared" si="11"/>
        <v>2.301571498</v>
      </c>
      <c r="AF29" s="23">
        <f t="shared" si="12"/>
        <v>2049</v>
      </c>
      <c r="AG29" s="23">
        <f t="shared" si="13"/>
        <v>4715.92</v>
      </c>
      <c r="AH29" s="63">
        <f t="shared" si="14"/>
        <v>2.301571498</v>
      </c>
      <c r="AI29" s="24"/>
      <c r="AJ29" s="24"/>
      <c r="AK29" s="5"/>
    </row>
    <row r="30">
      <c r="A30" s="2"/>
      <c r="B30" s="70" t="str">
        <f>B4</f>
        <v>Биг–Л / Ноябрь | до </v>
      </c>
      <c r="C30" s="17"/>
      <c r="D30" s="28">
        <f>$D$4</f>
        <v>46107</v>
      </c>
      <c r="E30" s="2"/>
      <c r="F30" s="70" t="str">
        <f>F4</f>
        <v>Смарт / Декабрь| до </v>
      </c>
      <c r="G30" s="17"/>
      <c r="H30" s="28">
        <f>$D$4</f>
        <v>46107</v>
      </c>
      <c r="I30" s="2"/>
      <c r="J30" s="30"/>
      <c r="K30" s="29">
        <v>46018.0</v>
      </c>
      <c r="L30" s="30">
        <f t="shared" si="3"/>
        <v>14052291</v>
      </c>
      <c r="M30" s="31">
        <v>2864733.0</v>
      </c>
      <c r="N30" s="31">
        <v>2481405.0</v>
      </c>
      <c r="O30" s="31">
        <v>4405457.0</v>
      </c>
      <c r="P30" s="31">
        <v>4018919.0</v>
      </c>
      <c r="Q30" s="31">
        <v>108218.0</v>
      </c>
      <c r="R30" s="31">
        <v>85275.0</v>
      </c>
      <c r="S30" s="31">
        <v>20457.0</v>
      </c>
      <c r="T30" s="31">
        <v>32097.0</v>
      </c>
      <c r="U30" s="31">
        <v>9338.0</v>
      </c>
      <c r="V30" s="31">
        <v>26392.0</v>
      </c>
      <c r="W30" s="31">
        <v>0.0</v>
      </c>
      <c r="X30" s="31">
        <v>0.0</v>
      </c>
      <c r="Y30" s="5"/>
      <c r="AA30" s="22" t="s">
        <v>27</v>
      </c>
      <c r="AB30" s="25">
        <f t="shared" si="9"/>
        <v>17685.2</v>
      </c>
      <c r="AC30" s="23">
        <f t="shared" si="10"/>
        <v>36021.18</v>
      </c>
      <c r="AD30" s="63">
        <f t="shared" si="11"/>
        <v>2.036798001</v>
      </c>
      <c r="AF30" s="23">
        <f t="shared" si="12"/>
        <v>17685.2</v>
      </c>
      <c r="AG30" s="23">
        <f t="shared" si="13"/>
        <v>36021.18</v>
      </c>
      <c r="AH30" s="63">
        <f t="shared" si="14"/>
        <v>2.036798001</v>
      </c>
      <c r="AK30" s="5"/>
    </row>
    <row r="31">
      <c r="A31" s="35">
        <f t="shared" ref="A31:A32" si="17">IFERROR(C31/$C$33, " ")</f>
        <v>0.644898309</v>
      </c>
      <c r="B31" s="41" t="s">
        <v>59</v>
      </c>
      <c r="C31" s="31">
        <v>3387519.0</v>
      </c>
      <c r="D31" s="71"/>
      <c r="E31" s="2"/>
      <c r="F31" s="41" t="s">
        <v>59</v>
      </c>
      <c r="G31" s="31">
        <v>5040907.0</v>
      </c>
      <c r="H31" s="53"/>
      <c r="I31" s="35">
        <f t="shared" ref="I31:I32" si="18">IFERROR(G31/$G$33, " ")</f>
        <v>0.9918736092</v>
      </c>
      <c r="J31" s="47"/>
      <c r="K31" s="29">
        <v>46019.0</v>
      </c>
      <c r="L31" s="30">
        <f t="shared" si="3"/>
        <v>14357885</v>
      </c>
      <c r="M31" s="31">
        <v>2718725.0</v>
      </c>
      <c r="N31" s="31">
        <v>2431864.0</v>
      </c>
      <c r="O31" s="31">
        <v>4409921.0</v>
      </c>
      <c r="P31" s="31">
        <v>4505970.0</v>
      </c>
      <c r="Q31" s="31">
        <v>123133.0</v>
      </c>
      <c r="R31" s="31">
        <v>72167.0</v>
      </c>
      <c r="S31" s="31">
        <v>17497.0</v>
      </c>
      <c r="T31" s="31">
        <v>45329.0</v>
      </c>
      <c r="U31" s="31">
        <v>8704.0</v>
      </c>
      <c r="V31" s="31">
        <v>24221.0</v>
      </c>
      <c r="W31" s="31">
        <v>0.0</v>
      </c>
      <c r="X31" s="31">
        <v>354.0</v>
      </c>
      <c r="Y31" s="5"/>
      <c r="AA31" s="24"/>
      <c r="AB31" s="52">
        <f t="shared" ref="AB31:AC31" si="15">SUM(AB19:AB30)</f>
        <v>379414162.9</v>
      </c>
      <c r="AC31" s="52">
        <f t="shared" si="15"/>
        <v>417289449.6</v>
      </c>
      <c r="AD31" s="69">
        <f t="shared" si="11"/>
        <v>1.099825706</v>
      </c>
      <c r="AE31" s="24"/>
      <c r="AF31" s="52">
        <f t="shared" ref="AF31:AG31" si="16">SUM(AF19:AF30)</f>
        <v>379414162.9</v>
      </c>
      <c r="AG31" s="52">
        <f t="shared" si="16"/>
        <v>399643607.1</v>
      </c>
      <c r="AH31" s="69">
        <f t="shared" si="14"/>
        <v>1.053317578</v>
      </c>
      <c r="AK31" s="5"/>
    </row>
    <row r="32">
      <c r="A32" s="35">
        <f t="shared" si="17"/>
        <v>0.355101691</v>
      </c>
      <c r="B32" s="39" t="s">
        <v>65</v>
      </c>
      <c r="C32" s="31">
        <v>1865276.6</v>
      </c>
      <c r="D32" s="74"/>
      <c r="E32" s="2"/>
      <c r="F32" s="39" t="s">
        <v>65</v>
      </c>
      <c r="G32" s="32">
        <v>41300.0</v>
      </c>
      <c r="H32" s="53"/>
      <c r="I32" s="35">
        <f t="shared" si="18"/>
        <v>0.008126390759</v>
      </c>
      <c r="J32" s="47"/>
      <c r="K32" s="29">
        <v>46020.0</v>
      </c>
      <c r="L32" s="30">
        <f t="shared" si="3"/>
        <v>11148926.4</v>
      </c>
      <c r="M32" s="31">
        <v>2410845.0</v>
      </c>
      <c r="N32" s="31">
        <v>2086957.4</v>
      </c>
      <c r="O32" s="31">
        <v>3486085.0</v>
      </c>
      <c r="P32" s="31">
        <v>2884095.0</v>
      </c>
      <c r="Q32" s="31">
        <v>127642.0</v>
      </c>
      <c r="R32" s="31">
        <v>58407.0</v>
      </c>
      <c r="S32" s="31">
        <v>21734.0</v>
      </c>
      <c r="T32" s="31">
        <v>36962.0</v>
      </c>
      <c r="U32" s="31">
        <v>8187.0</v>
      </c>
      <c r="V32" s="31">
        <v>25628.0</v>
      </c>
      <c r="W32" s="31">
        <v>0.0</v>
      </c>
      <c r="X32" s="31">
        <v>2384.0</v>
      </c>
      <c r="Y32" s="5"/>
      <c r="AK32" s="5"/>
    </row>
    <row r="33">
      <c r="A33" s="2"/>
      <c r="B33" s="41" t="s">
        <v>42</v>
      </c>
      <c r="C33" s="32">
        <f>SUM(C31:C32)</f>
        <v>5252795.6</v>
      </c>
      <c r="D33" s="40"/>
      <c r="E33" s="2"/>
      <c r="F33" s="41" t="s">
        <v>42</v>
      </c>
      <c r="G33" s="32">
        <f>SUM(G31:G32)</f>
        <v>5082207</v>
      </c>
      <c r="H33" s="40"/>
      <c r="I33" s="2"/>
      <c r="J33" s="47"/>
      <c r="K33" s="29">
        <v>46021.0</v>
      </c>
      <c r="L33" s="30">
        <f t="shared" si="3"/>
        <v>9623069</v>
      </c>
      <c r="M33" s="31">
        <v>2448993.0</v>
      </c>
      <c r="N33" s="31">
        <v>1790507.0</v>
      </c>
      <c r="O33" s="31">
        <v>2900772.0</v>
      </c>
      <c r="P33" s="31">
        <v>2221734.0</v>
      </c>
      <c r="Q33" s="31">
        <v>110092.0</v>
      </c>
      <c r="R33" s="31">
        <v>51215.0</v>
      </c>
      <c r="S33" s="31">
        <v>20297.0</v>
      </c>
      <c r="T33" s="31">
        <v>58658.0</v>
      </c>
      <c r="U33" s="31">
        <v>1960.0</v>
      </c>
      <c r="V33" s="31">
        <v>16988.0</v>
      </c>
      <c r="W33" s="31">
        <v>0.0</v>
      </c>
      <c r="X33" s="31">
        <v>1853.0</v>
      </c>
      <c r="Y33" s="21"/>
      <c r="Z33" s="72" t="s">
        <v>60</v>
      </c>
      <c r="AB33" s="14" t="s">
        <v>17</v>
      </c>
      <c r="AC33" s="14" t="s">
        <v>61</v>
      </c>
      <c r="AD33" s="14" t="s">
        <v>62</v>
      </c>
      <c r="AE33" s="46"/>
      <c r="AF33" s="73" t="s">
        <v>63</v>
      </c>
      <c r="AG33" s="73" t="s">
        <v>64</v>
      </c>
      <c r="AH33" s="14" t="s">
        <v>48</v>
      </c>
      <c r="AK33" s="21"/>
    </row>
    <row r="34">
      <c r="A34" s="2"/>
      <c r="B34" s="41" t="s">
        <v>43</v>
      </c>
      <c r="C34" s="2"/>
      <c r="D34" s="54">
        <f>O35</f>
        <v>113971735</v>
      </c>
      <c r="E34" s="2"/>
      <c r="F34" s="41" t="s">
        <v>43</v>
      </c>
      <c r="G34" s="2"/>
      <c r="H34" s="54">
        <f>P35</f>
        <v>110544589</v>
      </c>
      <c r="I34" s="2"/>
      <c r="J34" s="47"/>
      <c r="K34" s="29">
        <v>46022.0</v>
      </c>
      <c r="L34" s="30">
        <f t="shared" si="3"/>
        <v>6094748</v>
      </c>
      <c r="M34" s="31">
        <v>1464668.0</v>
      </c>
      <c r="N34" s="31">
        <v>1156453.0</v>
      </c>
      <c r="O34" s="31">
        <v>2040625.0</v>
      </c>
      <c r="P34" s="31">
        <v>1238692.0</v>
      </c>
      <c r="Q34" s="31">
        <v>82356.0</v>
      </c>
      <c r="R34" s="31">
        <v>38069.0</v>
      </c>
      <c r="S34" s="31">
        <v>3115.0</v>
      </c>
      <c r="T34" s="31">
        <v>56936.0</v>
      </c>
      <c r="U34" s="31">
        <v>0.0</v>
      </c>
      <c r="V34" s="31">
        <v>13834.0</v>
      </c>
      <c r="W34" s="31">
        <v>0.0</v>
      </c>
      <c r="X34" s="31">
        <v>0.0</v>
      </c>
      <c r="Y34" s="5"/>
      <c r="Z34" s="21" t="s">
        <v>24</v>
      </c>
      <c r="AA34" s="22" t="s">
        <v>19</v>
      </c>
      <c r="AB34" s="23">
        <f t="shared" ref="AB34:AB45" si="20">AJ3</f>
        <v>113706034</v>
      </c>
      <c r="AC34" s="23">
        <f>C51</f>
        <v>2547543</v>
      </c>
      <c r="AD34" s="63">
        <f t="shared" ref="AD34:AD46" si="21">AC34/AB34</f>
        <v>0.02240464213</v>
      </c>
      <c r="AE34" s="46"/>
      <c r="AF34" s="63">
        <f>C36</f>
        <v>0.07</v>
      </c>
      <c r="AG34" s="63">
        <f t="shared" ref="AG34:AG46" si="22">AD34</f>
        <v>0.02240464213</v>
      </c>
      <c r="AH34" s="63">
        <f t="shared" ref="AH34:AH46" si="23">AG34/AF34-1</f>
        <v>-0.6799336838</v>
      </c>
      <c r="AK34" s="5"/>
    </row>
    <row r="35">
      <c r="A35" s="2"/>
      <c r="B35" s="41" t="s">
        <v>44</v>
      </c>
      <c r="C35" s="2"/>
      <c r="D35" s="57">
        <f>C33/D34</f>
        <v>0.04608858152</v>
      </c>
      <c r="E35" s="2"/>
      <c r="F35" s="41" t="s">
        <v>44</v>
      </c>
      <c r="G35" s="2"/>
      <c r="H35" s="57">
        <f>G33/H34</f>
        <v>0.04597427197</v>
      </c>
      <c r="I35" s="2"/>
      <c r="J35" s="47"/>
      <c r="K35" s="75">
        <f>L35/C1</f>
        <v>13460949.99</v>
      </c>
      <c r="L35" s="76">
        <f t="shared" ref="L35:X35" si="19">SUM(L4:L34)</f>
        <v>417289449.6</v>
      </c>
      <c r="M35" s="30">
        <f t="shared" si="19"/>
        <v>96599698</v>
      </c>
      <c r="N35" s="30">
        <f t="shared" si="19"/>
        <v>86342889.5</v>
      </c>
      <c r="O35" s="30">
        <f t="shared" si="19"/>
        <v>113971735</v>
      </c>
      <c r="P35" s="30">
        <f t="shared" si="19"/>
        <v>110544589</v>
      </c>
      <c r="Q35" s="30">
        <f t="shared" si="19"/>
        <v>3741104</v>
      </c>
      <c r="R35" s="30">
        <f t="shared" si="19"/>
        <v>3478652</v>
      </c>
      <c r="S35" s="30">
        <f t="shared" si="19"/>
        <v>341575</v>
      </c>
      <c r="T35" s="30">
        <f t="shared" si="19"/>
        <v>1332348</v>
      </c>
      <c r="U35" s="30">
        <f t="shared" si="19"/>
        <v>108947</v>
      </c>
      <c r="V35" s="30">
        <f t="shared" si="19"/>
        <v>787175</v>
      </c>
      <c r="W35" s="30">
        <f t="shared" si="19"/>
        <v>4715.92</v>
      </c>
      <c r="X35" s="30">
        <f t="shared" si="19"/>
        <v>36021.18</v>
      </c>
      <c r="Y35" s="5"/>
      <c r="AA35" s="22" t="s">
        <v>27</v>
      </c>
      <c r="AB35" s="23">
        <f t="shared" si="20"/>
        <v>109193402</v>
      </c>
      <c r="AC35" s="23">
        <f>G51</f>
        <v>3936644</v>
      </c>
      <c r="AD35" s="63">
        <f t="shared" si="21"/>
        <v>0.03605203179</v>
      </c>
      <c r="AE35" s="46"/>
      <c r="AF35" s="63">
        <f>G36</f>
        <v>0.07</v>
      </c>
      <c r="AG35" s="63">
        <f t="shared" si="22"/>
        <v>0.03605203179</v>
      </c>
      <c r="AH35" s="63">
        <f t="shared" si="23"/>
        <v>-0.4849709744</v>
      </c>
      <c r="AK35" s="5"/>
    </row>
    <row r="36">
      <c r="A36" s="35">
        <f>D35/C36</f>
        <v>0.6584083075</v>
      </c>
      <c r="B36" s="41" t="s">
        <v>47</v>
      </c>
      <c r="C36" s="59">
        <v>0.07</v>
      </c>
      <c r="D36" s="54">
        <f>D34*C36</f>
        <v>7978021.45</v>
      </c>
      <c r="E36" s="2"/>
      <c r="F36" s="41" t="s">
        <v>47</v>
      </c>
      <c r="G36" s="59">
        <v>0.07</v>
      </c>
      <c r="H36" s="54">
        <f>H34*G36</f>
        <v>7738121.23</v>
      </c>
      <c r="I36" s="35">
        <f>H35/G36</f>
        <v>0.6567753139</v>
      </c>
      <c r="J36" s="47"/>
      <c r="K36" s="2"/>
      <c r="L36" s="2"/>
      <c r="M36" s="35">
        <f t="shared" ref="M36:X36" si="24">M35/$L$35</f>
        <v>0.2314932671</v>
      </c>
      <c r="N36" s="35">
        <f t="shared" si="24"/>
        <v>0.2069136653</v>
      </c>
      <c r="O36" s="35">
        <f t="shared" si="24"/>
        <v>0.2731239314</v>
      </c>
      <c r="P36" s="35">
        <f t="shared" si="24"/>
        <v>0.2649110566</v>
      </c>
      <c r="Q36" s="35">
        <f t="shared" si="24"/>
        <v>0.00896524943</v>
      </c>
      <c r="R36" s="35">
        <f t="shared" si="24"/>
        <v>0.0083363047</v>
      </c>
      <c r="S36" s="35">
        <f t="shared" si="24"/>
        <v>0.0008185565207</v>
      </c>
      <c r="T36" s="35">
        <f t="shared" si="24"/>
        <v>0.003192862895</v>
      </c>
      <c r="U36" s="35">
        <f t="shared" si="24"/>
        <v>0.0002610825654</v>
      </c>
      <c r="V36" s="35">
        <f t="shared" si="24"/>
        <v>0.001886400437</v>
      </c>
      <c r="W36" s="35">
        <f t="shared" si="24"/>
        <v>0.00001130131616</v>
      </c>
      <c r="X36" s="35">
        <f t="shared" si="24"/>
        <v>0.0000863218086</v>
      </c>
      <c r="Y36" s="5"/>
      <c r="Z36" s="21" t="s">
        <v>18</v>
      </c>
      <c r="AA36" s="22" t="s">
        <v>19</v>
      </c>
      <c r="AB36" s="23">
        <f t="shared" si="20"/>
        <v>87879382.57</v>
      </c>
      <c r="AC36" s="23">
        <f>C15</f>
        <v>12817443</v>
      </c>
      <c r="AD36" s="63">
        <f t="shared" si="21"/>
        <v>0.1458526747</v>
      </c>
      <c r="AE36" s="46"/>
      <c r="AF36" s="63">
        <f>C18</f>
        <v>0.205</v>
      </c>
      <c r="AG36" s="63">
        <f t="shared" si="22"/>
        <v>0.1458526747</v>
      </c>
      <c r="AH36" s="63">
        <f t="shared" si="23"/>
        <v>-0.288523538</v>
      </c>
      <c r="AK36" s="5"/>
    </row>
    <row r="37">
      <c r="A37" s="2"/>
      <c r="B37" s="77" t="s">
        <v>50</v>
      </c>
      <c r="C37" s="61"/>
      <c r="D37" s="62">
        <f>C33-D36</f>
        <v>-2725225.85</v>
      </c>
      <c r="E37" s="2"/>
      <c r="F37" s="77" t="s">
        <v>50</v>
      </c>
      <c r="G37" s="61"/>
      <c r="H37" s="62">
        <f>G33-H36</f>
        <v>-2655914.23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5"/>
      <c r="AA37" s="22" t="s">
        <v>27</v>
      </c>
      <c r="AB37" s="23">
        <f t="shared" si="20"/>
        <v>79878694.3</v>
      </c>
      <c r="AC37" s="23">
        <f>G15</f>
        <v>10958646</v>
      </c>
      <c r="AD37" s="63">
        <f t="shared" si="21"/>
        <v>0.1371911008</v>
      </c>
      <c r="AE37" s="46"/>
      <c r="AF37" s="63">
        <f>G18</f>
        <v>0.115</v>
      </c>
      <c r="AG37" s="63">
        <f t="shared" si="22"/>
        <v>0.1371911008</v>
      </c>
      <c r="AH37" s="63">
        <f t="shared" si="23"/>
        <v>0.1929660938</v>
      </c>
      <c r="AK37" s="5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66" t="s">
        <v>66</v>
      </c>
      <c r="M38" s="78">
        <f>SUM(M40:N40)/$L$40</f>
        <v>0.4384069323</v>
      </c>
      <c r="N38" s="79"/>
      <c r="O38" s="78">
        <f>SUM(O40:P40)/$L$40</f>
        <v>0.538034988</v>
      </c>
      <c r="P38" s="79"/>
      <c r="Q38" s="78">
        <f>SUM(Q40:R40)/$L$40</f>
        <v>0.01730155413</v>
      </c>
      <c r="R38" s="79"/>
      <c r="S38" s="78">
        <f>SUM(S40:T40)/$L$40</f>
        <v>0.004011419415</v>
      </c>
      <c r="T38" s="79"/>
      <c r="U38" s="78">
        <f>SUM(U40:V40)/$L$40</f>
        <v>0.002147483002</v>
      </c>
      <c r="V38" s="79"/>
      <c r="W38" s="78">
        <f>SUM(W40:X40)/$L$40</f>
        <v>0.00009762312476</v>
      </c>
      <c r="X38" s="79"/>
      <c r="Y38" s="5"/>
      <c r="Z38" s="21" t="s">
        <v>31</v>
      </c>
      <c r="AA38" s="22" t="s">
        <v>19</v>
      </c>
      <c r="AB38" s="23">
        <f t="shared" si="20"/>
        <v>3359015.829</v>
      </c>
      <c r="AC38" s="23">
        <f>C72</f>
        <v>602712</v>
      </c>
      <c r="AD38" s="63">
        <f t="shared" si="21"/>
        <v>0.1794311283</v>
      </c>
      <c r="AE38" s="46"/>
      <c r="AF38" s="63">
        <f>C75</f>
        <v>0.18</v>
      </c>
      <c r="AG38" s="63">
        <f t="shared" si="22"/>
        <v>0.1794311283</v>
      </c>
      <c r="AH38" s="63">
        <f t="shared" si="23"/>
        <v>-0.003160398526</v>
      </c>
      <c r="AK38" s="5"/>
    </row>
    <row r="39">
      <c r="A39" s="2"/>
      <c r="B39" s="58" t="s">
        <v>51</v>
      </c>
      <c r="C39" s="58"/>
      <c r="D39" s="64">
        <f>O42</f>
        <v>103370590</v>
      </c>
      <c r="E39" s="2"/>
      <c r="F39" s="58" t="s">
        <v>51</v>
      </c>
      <c r="G39" s="58"/>
      <c r="H39" s="64">
        <f>P42</f>
        <v>124247057</v>
      </c>
      <c r="I39" s="2"/>
      <c r="J39" s="2"/>
      <c r="K39" s="2" t="s">
        <v>67</v>
      </c>
      <c r="L39" s="35">
        <f t="shared" ref="L39:X39" si="25">L40/$L$40</f>
        <v>1</v>
      </c>
      <c r="M39" s="83">
        <f t="shared" si="25"/>
        <v>0.2314932671</v>
      </c>
      <c r="N39" s="84">
        <f t="shared" si="25"/>
        <v>0.2069136653</v>
      </c>
      <c r="O39" s="83">
        <f t="shared" si="25"/>
        <v>0.2731239314</v>
      </c>
      <c r="P39" s="84">
        <f t="shared" si="25"/>
        <v>0.2649110566</v>
      </c>
      <c r="Q39" s="83">
        <f t="shared" si="25"/>
        <v>0.00896524943</v>
      </c>
      <c r="R39" s="84">
        <f t="shared" si="25"/>
        <v>0.0083363047</v>
      </c>
      <c r="S39" s="83">
        <f t="shared" si="25"/>
        <v>0.0008185565207</v>
      </c>
      <c r="T39" s="84">
        <f t="shared" si="25"/>
        <v>0.003192862895</v>
      </c>
      <c r="U39" s="83">
        <f t="shared" si="25"/>
        <v>0.0002610825654</v>
      </c>
      <c r="V39" s="84">
        <f t="shared" si="25"/>
        <v>0.001886400437</v>
      </c>
      <c r="W39" s="83">
        <f t="shared" si="25"/>
        <v>0.00001130131616</v>
      </c>
      <c r="X39" s="84">
        <f t="shared" si="25"/>
        <v>0.0000863218086</v>
      </c>
      <c r="Y39" s="5"/>
      <c r="AA39" s="22" t="s">
        <v>27</v>
      </c>
      <c r="AB39" s="23">
        <f t="shared" si="20"/>
        <v>3190903.338</v>
      </c>
      <c r="AC39" s="23">
        <f>G72</f>
        <v>670062</v>
      </c>
      <c r="AD39" s="63">
        <f t="shared" si="21"/>
        <v>0.2099913188</v>
      </c>
      <c r="AE39" s="46"/>
      <c r="AF39" s="63">
        <f>G75</f>
        <v>0.175</v>
      </c>
      <c r="AG39" s="63">
        <f t="shared" si="22"/>
        <v>0.2099913188</v>
      </c>
      <c r="AH39" s="63">
        <f t="shared" si="23"/>
        <v>0.1999503931</v>
      </c>
      <c r="AK39" s="5"/>
    </row>
    <row r="40">
      <c r="A40" s="2"/>
      <c r="B40" s="2" t="s">
        <v>52</v>
      </c>
      <c r="C40" s="2"/>
      <c r="D40" s="30">
        <f>D34/$C$1</f>
        <v>3676507.581</v>
      </c>
      <c r="E40" s="2"/>
      <c r="F40" s="2" t="s">
        <v>52</v>
      </c>
      <c r="G40" s="2"/>
      <c r="H40" s="30">
        <f>H34/$C$1</f>
        <v>3565954.484</v>
      </c>
      <c r="I40" s="2"/>
      <c r="J40" s="2"/>
      <c r="K40" s="2" t="s">
        <v>68</v>
      </c>
      <c r="L40" s="76">
        <f t="shared" ref="L40:X40" si="26">L35/$C$1*$G$1</f>
        <v>417289449.6</v>
      </c>
      <c r="M40" s="30">
        <f t="shared" si="26"/>
        <v>96599698</v>
      </c>
      <c r="N40" s="30">
        <f t="shared" si="26"/>
        <v>86342889.5</v>
      </c>
      <c r="O40" s="30">
        <f t="shared" si="26"/>
        <v>113971735</v>
      </c>
      <c r="P40" s="30">
        <f t="shared" si="26"/>
        <v>110544589</v>
      </c>
      <c r="Q40" s="30">
        <f t="shared" si="26"/>
        <v>3741104</v>
      </c>
      <c r="R40" s="30">
        <f t="shared" si="26"/>
        <v>3478652</v>
      </c>
      <c r="S40" s="30">
        <f t="shared" si="26"/>
        <v>341575</v>
      </c>
      <c r="T40" s="30">
        <f t="shared" si="26"/>
        <v>1332348</v>
      </c>
      <c r="U40" s="30">
        <f t="shared" si="26"/>
        <v>108947</v>
      </c>
      <c r="V40" s="30">
        <f t="shared" si="26"/>
        <v>787175</v>
      </c>
      <c r="W40" s="30">
        <f t="shared" si="26"/>
        <v>4715.92</v>
      </c>
      <c r="X40" s="30">
        <f t="shared" si="26"/>
        <v>36021.18</v>
      </c>
      <c r="Y40" s="5"/>
      <c r="Z40" s="44" t="s">
        <v>34</v>
      </c>
      <c r="AA40" s="22" t="s">
        <v>19</v>
      </c>
      <c r="AB40" s="23">
        <f t="shared" si="20"/>
        <v>328073</v>
      </c>
      <c r="AC40" s="81">
        <v>0.0</v>
      </c>
      <c r="AD40" s="63">
        <f t="shared" si="21"/>
        <v>0</v>
      </c>
      <c r="AE40" s="46"/>
      <c r="AF40" s="82">
        <f>C91</f>
        <v>0.15</v>
      </c>
      <c r="AG40" s="63">
        <f t="shared" si="22"/>
        <v>0</v>
      </c>
      <c r="AH40" s="63">
        <f t="shared" si="23"/>
        <v>-1</v>
      </c>
      <c r="AK40" s="5"/>
    </row>
    <row r="41">
      <c r="A41" s="2"/>
      <c r="B41" s="2" t="s">
        <v>53</v>
      </c>
      <c r="C41" s="2"/>
      <c r="D41" s="30">
        <f>D39/$G$1*$C$1</f>
        <v>103370590</v>
      </c>
      <c r="E41" s="2"/>
      <c r="F41" s="2" t="s">
        <v>53</v>
      </c>
      <c r="G41" s="2"/>
      <c r="H41" s="30">
        <f>H39/$G$1*$C$1</f>
        <v>124247057</v>
      </c>
      <c r="I41" s="2"/>
      <c r="J41" s="2"/>
      <c r="K41" s="2" t="s">
        <v>52</v>
      </c>
      <c r="L41" s="76">
        <f t="shared" ref="L41:X41" si="27">L35/$C$1</f>
        <v>13460949.99</v>
      </c>
      <c r="M41" s="30">
        <f t="shared" si="27"/>
        <v>3116119.29</v>
      </c>
      <c r="N41" s="30">
        <f t="shared" si="27"/>
        <v>2785254.5</v>
      </c>
      <c r="O41" s="30">
        <f t="shared" si="27"/>
        <v>3676507.581</v>
      </c>
      <c r="P41" s="30">
        <f t="shared" si="27"/>
        <v>3565954.484</v>
      </c>
      <c r="Q41" s="30">
        <f t="shared" si="27"/>
        <v>120680.7742</v>
      </c>
      <c r="R41" s="30">
        <f t="shared" si="27"/>
        <v>112214.5806</v>
      </c>
      <c r="S41" s="30">
        <f t="shared" si="27"/>
        <v>11018.54839</v>
      </c>
      <c r="T41" s="30">
        <f t="shared" si="27"/>
        <v>42978.96774</v>
      </c>
      <c r="U41" s="30">
        <f t="shared" si="27"/>
        <v>3514.419355</v>
      </c>
      <c r="V41" s="30">
        <f t="shared" si="27"/>
        <v>25392.74194</v>
      </c>
      <c r="W41" s="30">
        <f t="shared" si="27"/>
        <v>152.1264516</v>
      </c>
      <c r="X41" s="30">
        <f t="shared" si="27"/>
        <v>1161.973548</v>
      </c>
      <c r="Y41" s="5"/>
      <c r="AA41" s="22" t="s">
        <v>27</v>
      </c>
      <c r="AB41" s="23">
        <f t="shared" si="20"/>
        <v>1282517</v>
      </c>
      <c r="AC41" s="81">
        <v>0.0</v>
      </c>
      <c r="AD41" s="63">
        <f t="shared" si="21"/>
        <v>0</v>
      </c>
      <c r="AE41" s="46"/>
      <c r="AF41" s="82">
        <f>G91</f>
        <v>0.15</v>
      </c>
      <c r="AG41" s="63">
        <f t="shared" si="22"/>
        <v>0</v>
      </c>
      <c r="AH41" s="63">
        <f t="shared" si="23"/>
        <v>-1</v>
      </c>
      <c r="AK41" s="5"/>
    </row>
    <row r="42">
      <c r="A42" s="2"/>
      <c r="B42" s="2" t="s">
        <v>54</v>
      </c>
      <c r="C42" s="2"/>
      <c r="D42" s="30" t="str">
        <f>(D39-D34)/($G$1-$C$1)</f>
        <v>#DIV/0!</v>
      </c>
      <c r="E42" s="2"/>
      <c r="F42" s="2" t="s">
        <v>54</v>
      </c>
      <c r="G42" s="2"/>
      <c r="H42" s="30" t="str">
        <f>(H39-H34)/($G$1-$C$1)</f>
        <v>#DIV/0!</v>
      </c>
      <c r="I42" s="2"/>
      <c r="J42" s="2"/>
      <c r="K42" s="2" t="s">
        <v>69</v>
      </c>
      <c r="L42" s="76">
        <f>SUM(M42:V42)</f>
        <v>379394428.7</v>
      </c>
      <c r="M42" s="30">
        <f>'Ноябрь 25'!M35</f>
        <v>68328978</v>
      </c>
      <c r="N42" s="30">
        <f>'Ноябрь 25'!N35</f>
        <v>73964392.7</v>
      </c>
      <c r="O42" s="30">
        <f>'Ноябрь 25'!O35</f>
        <v>103370590</v>
      </c>
      <c r="P42" s="30">
        <f>'Ноябрь 25'!P35</f>
        <v>124247057</v>
      </c>
      <c r="Q42" s="30">
        <f>'Ноябрь 25'!Q35</f>
        <v>2491703</v>
      </c>
      <c r="R42" s="30">
        <f>'Ноябрь 25'!R35</f>
        <v>4455445</v>
      </c>
      <c r="S42" s="30">
        <f>'Ноябрь 25'!S35</f>
        <v>357438</v>
      </c>
      <c r="T42" s="30">
        <f>'Ноябрь 25'!T35</f>
        <v>1099783</v>
      </c>
      <c r="U42" s="30">
        <f>'Ноябрь 25'!U35</f>
        <v>0</v>
      </c>
      <c r="V42" s="30">
        <f>'Ноябрь 25'!V35</f>
        <v>1079042</v>
      </c>
      <c r="W42" s="30">
        <f>'Ноябрь 25'!W35</f>
        <v>2049</v>
      </c>
      <c r="X42" s="30">
        <f>'Ноябрь 25'!X35</f>
        <v>17685.2</v>
      </c>
      <c r="Y42" s="5"/>
      <c r="Z42" s="44" t="s">
        <v>37</v>
      </c>
      <c r="AA42" s="22" t="s">
        <v>19</v>
      </c>
      <c r="AB42" s="23">
        <f t="shared" si="20"/>
        <v>74449</v>
      </c>
      <c r="AC42" s="81">
        <v>0.0</v>
      </c>
      <c r="AD42" s="63">
        <f t="shared" si="21"/>
        <v>0</v>
      </c>
      <c r="AE42" s="46"/>
      <c r="AF42" s="82">
        <v>0.0</v>
      </c>
      <c r="AG42" s="63">
        <f t="shared" si="22"/>
        <v>0</v>
      </c>
      <c r="AH42" s="63" t="str">
        <f t="shared" si="23"/>
        <v>#DIV/0!</v>
      </c>
      <c r="AK42" s="5"/>
    </row>
    <row r="43">
      <c r="A43" s="2"/>
      <c r="B43" s="2" t="s">
        <v>55</v>
      </c>
      <c r="C43" s="2"/>
      <c r="D43" s="30">
        <f>D34-D41</f>
        <v>10601145</v>
      </c>
      <c r="E43" s="2"/>
      <c r="F43" s="2" t="s">
        <v>55</v>
      </c>
      <c r="G43" s="2"/>
      <c r="H43" s="30">
        <f>H34-H41</f>
        <v>-13702468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5"/>
      <c r="AA43" s="22" t="s">
        <v>27</v>
      </c>
      <c r="AB43" s="23">
        <f t="shared" si="20"/>
        <v>710399</v>
      </c>
      <c r="AC43" s="81">
        <v>0.0</v>
      </c>
      <c r="AD43" s="63">
        <f t="shared" si="21"/>
        <v>0</v>
      </c>
      <c r="AE43" s="46"/>
      <c r="AF43" s="82">
        <v>0.0</v>
      </c>
      <c r="AG43" s="63">
        <f t="shared" si="22"/>
        <v>0</v>
      </c>
      <c r="AH43" s="63" t="str">
        <f t="shared" si="23"/>
        <v>#DIV/0!</v>
      </c>
      <c r="AK43" s="5"/>
    </row>
    <row r="44">
      <c r="A44" s="2"/>
      <c r="B44" s="2" t="s">
        <v>56</v>
      </c>
      <c r="C44" s="2"/>
      <c r="D44" s="30">
        <f>D34/$C$1*$G$1</f>
        <v>113971735</v>
      </c>
      <c r="E44" s="2"/>
      <c r="F44" s="2" t="s">
        <v>56</v>
      </c>
      <c r="G44" s="2"/>
      <c r="H44" s="30">
        <f>H34/$C$1*$G$1</f>
        <v>110544589</v>
      </c>
      <c r="I44" s="2"/>
      <c r="J44" s="2"/>
      <c r="K44" s="44" t="s">
        <v>70</v>
      </c>
      <c r="L44" s="45">
        <f>SUM(M44:X44)</f>
        <v>35383865.6</v>
      </c>
      <c r="M44" s="45">
        <f>C15</f>
        <v>12817443</v>
      </c>
      <c r="N44" s="45">
        <f>G15</f>
        <v>10958646</v>
      </c>
      <c r="O44" s="45">
        <f>C33</f>
        <v>5252795.6</v>
      </c>
      <c r="P44" s="45">
        <f>G33</f>
        <v>5082207</v>
      </c>
      <c r="Q44" s="45">
        <f>C72</f>
        <v>602712</v>
      </c>
      <c r="R44" s="45">
        <f>G72</f>
        <v>670062</v>
      </c>
      <c r="S44" s="45" t="str">
        <f>C88</f>
        <v/>
      </c>
      <c r="T44" s="45" t="str">
        <f>G88</f>
        <v/>
      </c>
      <c r="U44" s="81">
        <v>0.0</v>
      </c>
      <c r="V44" s="81">
        <v>0.0</v>
      </c>
      <c r="W44" s="81">
        <v>0.0</v>
      </c>
      <c r="X44" s="81">
        <v>0.0</v>
      </c>
      <c r="Y44" s="5"/>
      <c r="Z44" s="44" t="s">
        <v>8</v>
      </c>
      <c r="AA44" s="22" t="s">
        <v>19</v>
      </c>
      <c r="AB44" s="23">
        <f t="shared" si="20"/>
        <v>4715.92</v>
      </c>
      <c r="AC44" s="81">
        <v>0.0</v>
      </c>
      <c r="AD44" s="63">
        <f t="shared" si="21"/>
        <v>0</v>
      </c>
      <c r="AF44" s="82">
        <v>0.0</v>
      </c>
      <c r="AG44" s="63">
        <f t="shared" si="22"/>
        <v>0</v>
      </c>
      <c r="AH44" s="63" t="str">
        <f t="shared" si="23"/>
        <v>#DIV/0!</v>
      </c>
      <c r="AK44" s="5"/>
    </row>
    <row r="45">
      <c r="A45" s="2"/>
      <c r="B45" s="66" t="s">
        <v>57</v>
      </c>
      <c r="C45" s="66"/>
      <c r="D45" s="67">
        <f>D44/D39</f>
        <v>1.10255475</v>
      </c>
      <c r="E45" s="2"/>
      <c r="F45" s="66" t="s">
        <v>57</v>
      </c>
      <c r="G45" s="66"/>
      <c r="H45" s="67">
        <f>H44/H39</f>
        <v>0.8897159552</v>
      </c>
      <c r="I45" s="2"/>
      <c r="J45" s="2"/>
      <c r="K45" s="44" t="s">
        <v>72</v>
      </c>
      <c r="L45" s="82">
        <f>L44/L35</f>
        <v>0.08479453682</v>
      </c>
      <c r="M45" s="82">
        <f t="shared" ref="M45:X45" si="28">IFERROR(M44/M35, " ")</f>
        <v>0.1326861602</v>
      </c>
      <c r="N45" s="82">
        <f t="shared" si="28"/>
        <v>0.1269200749</v>
      </c>
      <c r="O45" s="82">
        <f t="shared" si="28"/>
        <v>0.04608858152</v>
      </c>
      <c r="P45" s="82">
        <f t="shared" si="28"/>
        <v>0.04597427197</v>
      </c>
      <c r="Q45" s="82">
        <f t="shared" si="28"/>
        <v>0.1611053849</v>
      </c>
      <c r="R45" s="82">
        <f t="shared" si="28"/>
        <v>0.1926211648</v>
      </c>
      <c r="S45" s="82">
        <f t="shared" si="28"/>
        <v>0</v>
      </c>
      <c r="T45" s="82">
        <f t="shared" si="28"/>
        <v>0</v>
      </c>
      <c r="U45" s="82">
        <f t="shared" si="28"/>
        <v>0</v>
      </c>
      <c r="V45" s="82">
        <f t="shared" si="28"/>
        <v>0</v>
      </c>
      <c r="W45" s="82">
        <f t="shared" si="28"/>
        <v>0</v>
      </c>
      <c r="X45" s="82">
        <f t="shared" si="28"/>
        <v>0</v>
      </c>
      <c r="Y45" s="5"/>
      <c r="AA45" s="22" t="s">
        <v>27</v>
      </c>
      <c r="AB45" s="23">
        <f t="shared" si="20"/>
        <v>36021.18</v>
      </c>
      <c r="AC45" s="81">
        <v>0.0</v>
      </c>
      <c r="AD45" s="63">
        <f t="shared" si="21"/>
        <v>0</v>
      </c>
      <c r="AF45" s="82">
        <v>0.0</v>
      </c>
      <c r="AG45" s="63">
        <f t="shared" si="22"/>
        <v>0</v>
      </c>
      <c r="AH45" s="63" t="str">
        <f t="shared" si="23"/>
        <v>#DIV/0!</v>
      </c>
      <c r="AK45" s="5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5"/>
      <c r="AB46" s="52">
        <f t="shared" ref="AB46:AC46" si="29">SUM(AB34:AB45)</f>
        <v>399643607.1</v>
      </c>
      <c r="AC46" s="52">
        <f t="shared" si="29"/>
        <v>31533050</v>
      </c>
      <c r="AD46" s="69">
        <f t="shared" si="21"/>
        <v>0.0789029261</v>
      </c>
      <c r="AE46" s="46"/>
      <c r="AF46" s="69">
        <f>F142</f>
        <v>0.1128412922</v>
      </c>
      <c r="AG46" s="69">
        <f t="shared" si="22"/>
        <v>0.0789029261</v>
      </c>
      <c r="AH46" s="69">
        <f t="shared" si="23"/>
        <v>-0.3007619414</v>
      </c>
      <c r="AK46" s="5"/>
    </row>
    <row r="47">
      <c r="A47" s="2"/>
      <c r="B47" s="68" t="s">
        <v>73</v>
      </c>
      <c r="C47" s="17"/>
      <c r="D47" s="17"/>
      <c r="E47" s="17"/>
      <c r="F47" s="17"/>
      <c r="G47" s="17"/>
      <c r="H47" s="18"/>
      <c r="I47" s="2"/>
      <c r="J47" s="2"/>
      <c r="K47" s="2" t="s">
        <v>74</v>
      </c>
      <c r="L47" s="35">
        <f t="shared" ref="L47:X47" si="30">L40/L42-1</f>
        <v>0.09988291349</v>
      </c>
      <c r="M47" s="86">
        <f t="shared" si="30"/>
        <v>0.4137442243</v>
      </c>
      <c r="N47" s="87">
        <f t="shared" si="30"/>
        <v>0.1673575128</v>
      </c>
      <c r="O47" s="86">
        <f t="shared" si="30"/>
        <v>0.1025547499</v>
      </c>
      <c r="P47" s="87">
        <f t="shared" si="30"/>
        <v>-0.1102840448</v>
      </c>
      <c r="Q47" s="86">
        <f t="shared" si="30"/>
        <v>0.5014245277</v>
      </c>
      <c r="R47" s="87">
        <f t="shared" si="30"/>
        <v>-0.219235789</v>
      </c>
      <c r="S47" s="86">
        <f t="shared" si="30"/>
        <v>-0.0443797246</v>
      </c>
      <c r="T47" s="87">
        <f t="shared" si="30"/>
        <v>0.2114644434</v>
      </c>
      <c r="U47" s="86" t="str">
        <f t="shared" si="30"/>
        <v>#DIV/0!</v>
      </c>
      <c r="V47" s="87">
        <f t="shared" si="30"/>
        <v>-0.2704871543</v>
      </c>
      <c r="W47" s="86">
        <f t="shared" si="30"/>
        <v>1.301571498</v>
      </c>
      <c r="X47" s="87">
        <f t="shared" si="30"/>
        <v>1.036798001</v>
      </c>
      <c r="Y47" s="5"/>
      <c r="AK47" s="5"/>
    </row>
    <row r="48">
      <c r="A48" s="2"/>
      <c r="B48" s="70" t="str">
        <f>B30</f>
        <v>Биг–Л / Ноябрь | до </v>
      </c>
      <c r="C48" s="17"/>
      <c r="D48" s="28">
        <f>$D$4</f>
        <v>46107</v>
      </c>
      <c r="E48" s="2"/>
      <c r="F48" s="70" t="str">
        <f>F30</f>
        <v>Смарт / Декабрь| до </v>
      </c>
      <c r="G48" s="17"/>
      <c r="H48" s="28">
        <f>$D$4</f>
        <v>46107</v>
      </c>
      <c r="I48" s="2"/>
      <c r="J48" s="2"/>
      <c r="K48" s="19" t="s">
        <v>75</v>
      </c>
      <c r="M48" s="89">
        <f>SUM(M40:N40)/SUM(M42:N42)-1</f>
        <v>0.2856718946</v>
      </c>
      <c r="N48" s="90"/>
      <c r="O48" s="89">
        <f>SUM(O40:P40)/SUM(O42:P42)-1</f>
        <v>-0.01362514305</v>
      </c>
      <c r="P48" s="90"/>
      <c r="Q48" s="89">
        <f>SUM(Q40:R40)/SUM(Q42:R42)-1</f>
        <v>0.03924027529</v>
      </c>
      <c r="R48" s="90"/>
      <c r="S48" s="89">
        <f>SUM(S40:T40)/SUM(S42:T42)-1</f>
        <v>0.1487090839</v>
      </c>
      <c r="T48" s="90"/>
      <c r="U48" s="89">
        <f>SUM(U40:V40)/SUM(U42:V42)-1</f>
        <v>-0.1695207415</v>
      </c>
      <c r="V48" s="90"/>
      <c r="W48" s="89">
        <f>SUM(W40:X40)/SUM(W42:X42)-1</f>
        <v>1.064289406</v>
      </c>
      <c r="X48" s="90"/>
      <c r="Y48" s="5"/>
      <c r="Z48" s="72" t="s">
        <v>71</v>
      </c>
      <c r="AB48" s="14" t="s">
        <v>17</v>
      </c>
      <c r="AC48" s="14" t="s">
        <v>61</v>
      </c>
      <c r="AD48" s="14" t="s">
        <v>62</v>
      </c>
      <c r="AE48" s="24"/>
      <c r="AF48" s="73" t="s">
        <v>63</v>
      </c>
      <c r="AG48" s="73" t="s">
        <v>64</v>
      </c>
      <c r="AH48" s="14" t="s">
        <v>48</v>
      </c>
      <c r="AK48" s="5"/>
    </row>
    <row r="49">
      <c r="A49" s="35">
        <f t="shared" ref="A49:A50" si="32">IFERROR(C49/$C$33, " ")</f>
        <v>0.4618590147</v>
      </c>
      <c r="B49" s="41" t="s">
        <v>59</v>
      </c>
      <c r="C49" s="31">
        <v>2426051.0</v>
      </c>
      <c r="D49" s="53"/>
      <c r="E49" s="2"/>
      <c r="F49" s="41" t="s">
        <v>59</v>
      </c>
      <c r="G49" s="31">
        <v>3895344.0</v>
      </c>
      <c r="H49" s="53"/>
      <c r="I49" s="35">
        <f t="shared" ref="I49:I50" si="33">IFERROR(G49/$G$33, " ")</f>
        <v>0.7664670093</v>
      </c>
      <c r="J49" s="2"/>
      <c r="K49" s="2" t="s">
        <v>76</v>
      </c>
      <c r="L49" s="30">
        <f t="shared" ref="L49:X49" si="31">L40-L42</f>
        <v>37895020.9</v>
      </c>
      <c r="M49" s="93">
        <f t="shared" si="31"/>
        <v>28270720</v>
      </c>
      <c r="N49" s="94">
        <f t="shared" si="31"/>
        <v>12378496.8</v>
      </c>
      <c r="O49" s="93">
        <f t="shared" si="31"/>
        <v>10601145</v>
      </c>
      <c r="P49" s="94">
        <f t="shared" si="31"/>
        <v>-13702468</v>
      </c>
      <c r="Q49" s="93">
        <f t="shared" si="31"/>
        <v>1249401</v>
      </c>
      <c r="R49" s="94">
        <f t="shared" si="31"/>
        <v>-976793</v>
      </c>
      <c r="S49" s="95">
        <f t="shared" si="31"/>
        <v>-15863</v>
      </c>
      <c r="T49" s="54">
        <f t="shared" si="31"/>
        <v>232565</v>
      </c>
      <c r="U49" s="95">
        <f t="shared" si="31"/>
        <v>108947</v>
      </c>
      <c r="V49" s="54">
        <f t="shared" si="31"/>
        <v>-291867</v>
      </c>
      <c r="W49" s="95">
        <f t="shared" si="31"/>
        <v>2666.92</v>
      </c>
      <c r="X49" s="54">
        <f t="shared" si="31"/>
        <v>18335.98</v>
      </c>
      <c r="Y49" s="5"/>
      <c r="Z49" s="21" t="s">
        <v>24</v>
      </c>
      <c r="AA49" s="22" t="s">
        <v>19</v>
      </c>
      <c r="AB49" s="23">
        <f t="shared" ref="AB49:AB60" si="34">AB34</f>
        <v>113706034</v>
      </c>
      <c r="AC49" s="23">
        <f>C33</f>
        <v>5252795.6</v>
      </c>
      <c r="AD49" s="63">
        <f t="shared" ref="AD49:AD61" si="35">AC49/AB49</f>
        <v>0.04619627838</v>
      </c>
      <c r="AE49" s="24"/>
      <c r="AF49" s="63">
        <f t="shared" ref="AF49:AF61" si="36">AF34</f>
        <v>0.07</v>
      </c>
      <c r="AG49" s="63">
        <f t="shared" ref="AG49:AG61" si="37">AD49</f>
        <v>0.04619627838</v>
      </c>
      <c r="AH49" s="63">
        <f t="shared" ref="AH49:AH61" si="38">AG49/AF49-1</f>
        <v>-0.340053166</v>
      </c>
      <c r="AK49" s="5"/>
    </row>
    <row r="50">
      <c r="A50" s="35">
        <f t="shared" si="32"/>
        <v>0.02312901724</v>
      </c>
      <c r="B50" s="41" t="s">
        <v>77</v>
      </c>
      <c r="C50" s="32">
        <v>121492.0</v>
      </c>
      <c r="D50" s="40"/>
      <c r="E50" s="2"/>
      <c r="F50" s="41" t="s">
        <v>77</v>
      </c>
      <c r="G50" s="32">
        <v>41300.0</v>
      </c>
      <c r="H50" s="53"/>
      <c r="I50" s="35">
        <f t="shared" si="33"/>
        <v>0.008126390759</v>
      </c>
      <c r="J50" s="2"/>
      <c r="K50" s="19" t="s">
        <v>78</v>
      </c>
      <c r="M50" s="97">
        <f>SUM(M40:N40)-SUM(M42:N42)</f>
        <v>40649216.8</v>
      </c>
      <c r="N50" s="90"/>
      <c r="O50" s="97">
        <f>SUM(O40:P40)-SUM(O42:P42)</f>
        <v>-3101323</v>
      </c>
      <c r="P50" s="90"/>
      <c r="Q50" s="97">
        <f>SUM(Q40:R40)-SUM(Q42:R42)</f>
        <v>272608</v>
      </c>
      <c r="R50" s="90"/>
      <c r="S50" s="97">
        <f>SUM(S40:T40)-SUM(S42:T42)</f>
        <v>216702</v>
      </c>
      <c r="T50" s="90"/>
      <c r="U50" s="97">
        <f>SUM(U40:V40)-SUM(U42:V42)</f>
        <v>-182920</v>
      </c>
      <c r="V50" s="90"/>
      <c r="W50" s="97">
        <f>SUM(W40:X40)-SUM(W42:X42)</f>
        <v>21002.9</v>
      </c>
      <c r="X50" s="90"/>
      <c r="Y50" s="5"/>
      <c r="AA50" s="22" t="s">
        <v>27</v>
      </c>
      <c r="AB50" s="23">
        <f t="shared" si="34"/>
        <v>109193402</v>
      </c>
      <c r="AC50" s="23">
        <f>G33</f>
        <v>5082207</v>
      </c>
      <c r="AD50" s="63">
        <f t="shared" si="35"/>
        <v>0.04654316934</v>
      </c>
      <c r="AE50" s="24"/>
      <c r="AF50" s="63">
        <f t="shared" si="36"/>
        <v>0.07</v>
      </c>
      <c r="AG50" s="63">
        <f t="shared" si="37"/>
        <v>0.04654316934</v>
      </c>
      <c r="AH50" s="63">
        <f t="shared" si="38"/>
        <v>-0.3350975809</v>
      </c>
      <c r="AK50" s="5"/>
    </row>
    <row r="51">
      <c r="A51" s="2"/>
      <c r="B51" s="41" t="s">
        <v>42</v>
      </c>
      <c r="C51" s="32">
        <f>SUM(C49:C50)</f>
        <v>2547543</v>
      </c>
      <c r="D51" s="40"/>
      <c r="E51" s="2"/>
      <c r="F51" s="41" t="s">
        <v>42</v>
      </c>
      <c r="G51" s="32">
        <f>SUM(G49:G50)</f>
        <v>3936644</v>
      </c>
      <c r="H51" s="40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5"/>
      <c r="Z51" s="21" t="s">
        <v>18</v>
      </c>
      <c r="AA51" s="22" t="s">
        <v>19</v>
      </c>
      <c r="AB51" s="23">
        <f t="shared" si="34"/>
        <v>87879382.57</v>
      </c>
      <c r="AC51" s="23">
        <f t="shared" ref="AC51:AC60" si="40">AC36</f>
        <v>12817443</v>
      </c>
      <c r="AD51" s="63">
        <f t="shared" si="35"/>
        <v>0.1458526747</v>
      </c>
      <c r="AE51" s="24"/>
      <c r="AF51" s="63">
        <f t="shared" si="36"/>
        <v>0.205</v>
      </c>
      <c r="AG51" s="63">
        <f t="shared" si="37"/>
        <v>0.1458526747</v>
      </c>
      <c r="AH51" s="63">
        <f t="shared" si="38"/>
        <v>-0.288523538</v>
      </c>
      <c r="AK51" s="5"/>
    </row>
    <row r="52">
      <c r="A52" s="2"/>
      <c r="B52" s="41" t="s">
        <v>43</v>
      </c>
      <c r="C52" s="4"/>
      <c r="D52" s="54">
        <f>O35</f>
        <v>113971735</v>
      </c>
      <c r="E52" s="2"/>
      <c r="F52" s="41" t="s">
        <v>43</v>
      </c>
      <c r="G52" s="4"/>
      <c r="H52" s="54">
        <f>P35</f>
        <v>110544589</v>
      </c>
      <c r="I52" s="2"/>
      <c r="J52" s="2"/>
      <c r="K52" s="2" t="s">
        <v>79</v>
      </c>
      <c r="L52" s="99">
        <v>5.0E8</v>
      </c>
      <c r="M52" s="30">
        <f t="shared" ref="M52:X52" si="39">$L$52*M36</f>
        <v>115746633.5</v>
      </c>
      <c r="N52" s="30">
        <f t="shared" si="39"/>
        <v>103456832.6</v>
      </c>
      <c r="O52" s="30">
        <f t="shared" si="39"/>
        <v>136561965.7</v>
      </c>
      <c r="P52" s="30">
        <f t="shared" si="39"/>
        <v>132455528.3</v>
      </c>
      <c r="Q52" s="30">
        <f t="shared" si="39"/>
        <v>4482624.715</v>
      </c>
      <c r="R52" s="30">
        <f t="shared" si="39"/>
        <v>4168152.35</v>
      </c>
      <c r="S52" s="30">
        <f t="shared" si="39"/>
        <v>409278.2604</v>
      </c>
      <c r="T52" s="30">
        <f t="shared" si="39"/>
        <v>1596431.447</v>
      </c>
      <c r="U52" s="30">
        <f t="shared" si="39"/>
        <v>130541.2827</v>
      </c>
      <c r="V52" s="30">
        <f t="shared" si="39"/>
        <v>943200.2184</v>
      </c>
      <c r="W52" s="30">
        <f t="shared" si="39"/>
        <v>5650.65808</v>
      </c>
      <c r="X52" s="30">
        <f t="shared" si="39"/>
        <v>43160.9043</v>
      </c>
      <c r="Y52" s="5"/>
      <c r="AA52" s="22" t="s">
        <v>27</v>
      </c>
      <c r="AB52" s="23">
        <f t="shared" si="34"/>
        <v>79878694.3</v>
      </c>
      <c r="AC52" s="23">
        <f t="shared" si="40"/>
        <v>10958646</v>
      </c>
      <c r="AD52" s="63">
        <f t="shared" si="35"/>
        <v>0.1371911008</v>
      </c>
      <c r="AE52" s="24"/>
      <c r="AF52" s="63">
        <f t="shared" si="36"/>
        <v>0.115</v>
      </c>
      <c r="AG52" s="63">
        <f t="shared" si="37"/>
        <v>0.1371911008</v>
      </c>
      <c r="AH52" s="63">
        <f t="shared" si="38"/>
        <v>0.1929660938</v>
      </c>
      <c r="AK52" s="5"/>
    </row>
    <row r="53">
      <c r="A53" s="2"/>
      <c r="B53" s="41" t="s">
        <v>44</v>
      </c>
      <c r="C53" s="2"/>
      <c r="D53" s="57">
        <f>C51/D52</f>
        <v>0.02235241045</v>
      </c>
      <c r="E53" s="2"/>
      <c r="F53" s="41" t="s">
        <v>44</v>
      </c>
      <c r="G53" s="2"/>
      <c r="H53" s="57">
        <f>G51/H52</f>
        <v>0.03561136764</v>
      </c>
      <c r="I53" s="2"/>
      <c r="J53" s="2"/>
      <c r="K53" s="2" t="s">
        <v>80</v>
      </c>
      <c r="L53" s="76">
        <f t="shared" ref="L53:X53" si="41">L52-L35</f>
        <v>82710550.4</v>
      </c>
      <c r="M53" s="30">
        <f t="shared" si="41"/>
        <v>19146935.53</v>
      </c>
      <c r="N53" s="30">
        <f t="shared" si="41"/>
        <v>17113943.14</v>
      </c>
      <c r="O53" s="30">
        <f t="shared" si="41"/>
        <v>22590230.69</v>
      </c>
      <c r="P53" s="30">
        <f t="shared" si="41"/>
        <v>21910939.3</v>
      </c>
      <c r="Q53" s="30">
        <f t="shared" si="41"/>
        <v>741520.7148</v>
      </c>
      <c r="R53" s="30">
        <f t="shared" si="41"/>
        <v>689500.35</v>
      </c>
      <c r="S53" s="30">
        <f t="shared" si="41"/>
        <v>67703.26036</v>
      </c>
      <c r="T53" s="30">
        <f t="shared" si="41"/>
        <v>264083.4474</v>
      </c>
      <c r="U53" s="30">
        <f t="shared" si="41"/>
        <v>21594.28268</v>
      </c>
      <c r="V53" s="30">
        <f t="shared" si="41"/>
        <v>156025.2184</v>
      </c>
      <c r="W53" s="30">
        <f t="shared" si="41"/>
        <v>934.7380798</v>
      </c>
      <c r="X53" s="30">
        <f t="shared" si="41"/>
        <v>7139.724301</v>
      </c>
      <c r="Y53" s="5"/>
      <c r="Z53" s="21" t="s">
        <v>31</v>
      </c>
      <c r="AA53" s="22" t="s">
        <v>19</v>
      </c>
      <c r="AB53" s="23">
        <f t="shared" si="34"/>
        <v>3359015.829</v>
      </c>
      <c r="AC53" s="23">
        <f t="shared" si="40"/>
        <v>602712</v>
      </c>
      <c r="AD53" s="63">
        <f t="shared" si="35"/>
        <v>0.1794311283</v>
      </c>
      <c r="AE53" s="24"/>
      <c r="AF53" s="63">
        <f t="shared" si="36"/>
        <v>0.18</v>
      </c>
      <c r="AG53" s="63">
        <f t="shared" si="37"/>
        <v>0.1794311283</v>
      </c>
      <c r="AH53" s="63">
        <f t="shared" si="38"/>
        <v>-0.003160398526</v>
      </c>
      <c r="AK53" s="5"/>
    </row>
    <row r="54">
      <c r="A54" s="35">
        <f>D53/C54</f>
        <v>0.3193201492</v>
      </c>
      <c r="B54" s="41" t="s">
        <v>47</v>
      </c>
      <c r="C54" s="59">
        <v>0.07</v>
      </c>
      <c r="D54" s="54">
        <f>D52*C54</f>
        <v>7978021.45</v>
      </c>
      <c r="E54" s="2"/>
      <c r="F54" s="41" t="s">
        <v>47</v>
      </c>
      <c r="G54" s="59">
        <v>0.07</v>
      </c>
      <c r="H54" s="57">
        <f>H52*G54</f>
        <v>7738121.23</v>
      </c>
      <c r="I54" s="35">
        <f>H53/G54</f>
        <v>0.5087338235</v>
      </c>
      <c r="J54" s="2"/>
      <c r="K54" s="2" t="s">
        <v>81</v>
      </c>
      <c r="L54" s="76" t="str">
        <f>SUM(M54:V54)</f>
        <v>#DIV/0!</v>
      </c>
      <c r="M54" s="30" t="str">
        <f t="shared" ref="M54:X54" si="42">M53/($G$1-$C$1)</f>
        <v>#DIV/0!</v>
      </c>
      <c r="N54" s="30" t="str">
        <f t="shared" si="42"/>
        <v>#DIV/0!</v>
      </c>
      <c r="O54" s="30" t="str">
        <f t="shared" si="42"/>
        <v>#DIV/0!</v>
      </c>
      <c r="P54" s="30" t="str">
        <f t="shared" si="42"/>
        <v>#DIV/0!</v>
      </c>
      <c r="Q54" s="30" t="str">
        <f t="shared" si="42"/>
        <v>#DIV/0!</v>
      </c>
      <c r="R54" s="30" t="str">
        <f t="shared" si="42"/>
        <v>#DIV/0!</v>
      </c>
      <c r="S54" s="30" t="str">
        <f t="shared" si="42"/>
        <v>#DIV/0!</v>
      </c>
      <c r="T54" s="30" t="str">
        <f t="shared" si="42"/>
        <v>#DIV/0!</v>
      </c>
      <c r="U54" s="30" t="str">
        <f t="shared" si="42"/>
        <v>#DIV/0!</v>
      </c>
      <c r="V54" s="30" t="str">
        <f t="shared" si="42"/>
        <v>#DIV/0!</v>
      </c>
      <c r="W54" s="30" t="str">
        <f t="shared" si="42"/>
        <v>#DIV/0!</v>
      </c>
      <c r="X54" s="30" t="str">
        <f t="shared" si="42"/>
        <v>#DIV/0!</v>
      </c>
      <c r="Y54" s="5"/>
      <c r="AA54" s="22" t="s">
        <v>27</v>
      </c>
      <c r="AB54" s="23">
        <f t="shared" si="34"/>
        <v>3190903.338</v>
      </c>
      <c r="AC54" s="23">
        <f t="shared" si="40"/>
        <v>670062</v>
      </c>
      <c r="AD54" s="63">
        <f t="shared" si="35"/>
        <v>0.2099913188</v>
      </c>
      <c r="AE54" s="24"/>
      <c r="AF54" s="63">
        <f t="shared" si="36"/>
        <v>0.175</v>
      </c>
      <c r="AG54" s="63">
        <f t="shared" si="37"/>
        <v>0.2099913188</v>
      </c>
      <c r="AH54" s="63">
        <f t="shared" si="38"/>
        <v>0.1999503931</v>
      </c>
      <c r="AK54" s="5"/>
    </row>
    <row r="55">
      <c r="A55" s="2"/>
      <c r="B55" s="77" t="s">
        <v>50</v>
      </c>
      <c r="C55" s="61"/>
      <c r="D55" s="62">
        <f>C51-D54</f>
        <v>-5430478.45</v>
      </c>
      <c r="E55" s="2"/>
      <c r="F55" s="77" t="s">
        <v>50</v>
      </c>
      <c r="G55" s="61"/>
      <c r="H55" s="62">
        <f>G51-H54</f>
        <v>-3801477.23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5"/>
      <c r="Z55" s="44" t="s">
        <v>34</v>
      </c>
      <c r="AA55" s="22" t="s">
        <v>19</v>
      </c>
      <c r="AB55" s="23">
        <f t="shared" si="34"/>
        <v>328073</v>
      </c>
      <c r="AC55" s="23">
        <f t="shared" si="40"/>
        <v>0</v>
      </c>
      <c r="AD55" s="63">
        <f t="shared" si="35"/>
        <v>0</v>
      </c>
      <c r="AE55" s="46"/>
      <c r="AF55" s="63">
        <f t="shared" si="36"/>
        <v>0.15</v>
      </c>
      <c r="AG55" s="63">
        <f t="shared" si="37"/>
        <v>0</v>
      </c>
      <c r="AH55" s="63">
        <f t="shared" si="38"/>
        <v>-1</v>
      </c>
      <c r="AK55" s="5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31">
        <v>2.5E8</v>
      </c>
      <c r="O56" s="100"/>
      <c r="P56" s="2"/>
      <c r="Q56" s="2"/>
      <c r="R56" s="2">
        <f>SUM(Q44:R44)/SUM(Q40:R40)</f>
        <v>0.1762904453</v>
      </c>
      <c r="S56" s="2"/>
      <c r="T56" s="2"/>
      <c r="U56" s="2"/>
      <c r="V56" s="2"/>
      <c r="W56" s="2"/>
      <c r="X56" s="2"/>
      <c r="Y56" s="5"/>
      <c r="AA56" s="22" t="s">
        <v>27</v>
      </c>
      <c r="AB56" s="23">
        <f t="shared" si="34"/>
        <v>1282517</v>
      </c>
      <c r="AC56" s="23">
        <f t="shared" si="40"/>
        <v>0</v>
      </c>
      <c r="AD56" s="63">
        <f t="shared" si="35"/>
        <v>0</v>
      </c>
      <c r="AE56" s="46"/>
      <c r="AF56" s="63">
        <f t="shared" si="36"/>
        <v>0.15</v>
      </c>
      <c r="AG56" s="63">
        <f t="shared" si="37"/>
        <v>0</v>
      </c>
      <c r="AH56" s="63">
        <f t="shared" si="38"/>
        <v>-1</v>
      </c>
      <c r="AK56" s="5"/>
    </row>
    <row r="57">
      <c r="A57" s="2"/>
      <c r="B57" s="58" t="s">
        <v>51</v>
      </c>
      <c r="C57" s="58"/>
      <c r="D57" s="64">
        <f>O42</f>
        <v>103370590</v>
      </c>
      <c r="E57" s="2"/>
      <c r="F57" s="58" t="s">
        <v>51</v>
      </c>
      <c r="G57" s="58"/>
      <c r="H57" s="64">
        <f>P42</f>
        <v>124247057</v>
      </c>
      <c r="I57" s="2"/>
      <c r="J57" s="2"/>
      <c r="K57" s="2"/>
      <c r="L57" s="2"/>
      <c r="M57" s="4"/>
      <c r="N57" s="58">
        <f>N56-SUM(M35:N35)</f>
        <v>67057412.5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5"/>
      <c r="Z57" s="44" t="s">
        <v>37</v>
      </c>
      <c r="AA57" s="22" t="s">
        <v>19</v>
      </c>
      <c r="AB57" s="23">
        <f t="shared" si="34"/>
        <v>74449</v>
      </c>
      <c r="AC57" s="23">
        <f t="shared" si="40"/>
        <v>0</v>
      </c>
      <c r="AD57" s="63">
        <f t="shared" si="35"/>
        <v>0</v>
      </c>
      <c r="AE57" s="46"/>
      <c r="AF57" s="63">
        <f t="shared" si="36"/>
        <v>0</v>
      </c>
      <c r="AG57" s="63">
        <f t="shared" si="37"/>
        <v>0</v>
      </c>
      <c r="AH57" s="63" t="str">
        <f t="shared" si="38"/>
        <v>#DIV/0!</v>
      </c>
      <c r="AK57" s="5"/>
    </row>
    <row r="58">
      <c r="A58" s="2"/>
      <c r="B58" s="2" t="s">
        <v>52</v>
      </c>
      <c r="C58" s="2"/>
      <c r="D58" s="30">
        <f>D52/$C$1</f>
        <v>3676507.581</v>
      </c>
      <c r="E58" s="2"/>
      <c r="F58" s="2" t="s">
        <v>52</v>
      </c>
      <c r="G58" s="2"/>
      <c r="H58" s="30">
        <f>H52/$C$1</f>
        <v>3565954.484</v>
      </c>
      <c r="I58" s="2"/>
      <c r="J58" s="2"/>
      <c r="K58" s="2"/>
      <c r="L58" s="2"/>
      <c r="M58" s="56">
        <f>M35/SUM(M35:N35)</f>
        <v>0.5280328617</v>
      </c>
      <c r="N58" s="56">
        <f>N35/SUM(M35:N35)</f>
        <v>0.4719671383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5"/>
      <c r="AA58" s="22" t="s">
        <v>27</v>
      </c>
      <c r="AB58" s="23">
        <f t="shared" si="34"/>
        <v>710399</v>
      </c>
      <c r="AC58" s="23">
        <f t="shared" si="40"/>
        <v>0</v>
      </c>
      <c r="AD58" s="63">
        <f t="shared" si="35"/>
        <v>0</v>
      </c>
      <c r="AE58" s="46"/>
      <c r="AF58" s="63">
        <f t="shared" si="36"/>
        <v>0</v>
      </c>
      <c r="AG58" s="63">
        <f t="shared" si="37"/>
        <v>0</v>
      </c>
      <c r="AH58" s="63" t="str">
        <f t="shared" si="38"/>
        <v>#DIV/0!</v>
      </c>
      <c r="AK58" s="5"/>
    </row>
    <row r="59">
      <c r="A59" s="2"/>
      <c r="B59" s="2" t="s">
        <v>53</v>
      </c>
      <c r="C59" s="2"/>
      <c r="D59" s="30">
        <f>D57/$G$1*$C$1</f>
        <v>103370590</v>
      </c>
      <c r="E59" s="2"/>
      <c r="F59" s="2" t="s">
        <v>53</v>
      </c>
      <c r="G59" s="2"/>
      <c r="H59" s="30">
        <f>H57/$G$1*$C$1</f>
        <v>124247057</v>
      </c>
      <c r="I59" s="2"/>
      <c r="J59" s="2"/>
      <c r="K59" s="2"/>
      <c r="L59" s="2"/>
      <c r="M59" s="58">
        <f>N57*M58</f>
        <v>35408517.42</v>
      </c>
      <c r="N59" s="58">
        <f>N57*N58</f>
        <v>31648895.08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5"/>
      <c r="Z59" s="44" t="s">
        <v>8</v>
      </c>
      <c r="AA59" s="22" t="s">
        <v>19</v>
      </c>
      <c r="AB59" s="23">
        <f t="shared" si="34"/>
        <v>4715.92</v>
      </c>
      <c r="AC59" s="23">
        <f t="shared" si="40"/>
        <v>0</v>
      </c>
      <c r="AD59" s="63">
        <f t="shared" si="35"/>
        <v>0</v>
      </c>
      <c r="AE59" s="46"/>
      <c r="AF59" s="63">
        <f t="shared" si="36"/>
        <v>0</v>
      </c>
      <c r="AG59" s="63">
        <f t="shared" si="37"/>
        <v>0</v>
      </c>
      <c r="AH59" s="63" t="str">
        <f t="shared" si="38"/>
        <v>#DIV/0!</v>
      </c>
      <c r="AK59" s="5"/>
    </row>
    <row r="60">
      <c r="A60" s="2"/>
      <c r="B60" s="2" t="s">
        <v>54</v>
      </c>
      <c r="C60" s="2"/>
      <c r="D60" s="30" t="str">
        <f>(D57-D52)/($G$1-$C$1)</f>
        <v>#DIV/0!</v>
      </c>
      <c r="E60" s="2"/>
      <c r="F60" s="2" t="s">
        <v>54</v>
      </c>
      <c r="G60" s="2"/>
      <c r="H60" s="30" t="str">
        <f>(H57-H52)/($G$1-$C$1)</f>
        <v>#DIV/0!</v>
      </c>
      <c r="I60" s="2"/>
      <c r="J60" s="2"/>
      <c r="K60" s="2"/>
      <c r="L60" s="2" t="str">
        <f>SUM(M60:N60)</f>
        <v>#DIV/0!</v>
      </c>
      <c r="M60" s="2" t="str">
        <f>M59/(G1-C1)</f>
        <v>#DIV/0!</v>
      </c>
      <c r="N60" s="2" t="str">
        <f>N59/(G1-C1)</f>
        <v>#DIV/0!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5"/>
      <c r="AA60" s="22" t="s">
        <v>27</v>
      </c>
      <c r="AB60" s="23">
        <f t="shared" si="34"/>
        <v>36021.18</v>
      </c>
      <c r="AC60" s="23">
        <f t="shared" si="40"/>
        <v>0</v>
      </c>
      <c r="AD60" s="63">
        <f t="shared" si="35"/>
        <v>0</v>
      </c>
      <c r="AE60" s="46"/>
      <c r="AF60" s="63">
        <f t="shared" si="36"/>
        <v>0</v>
      </c>
      <c r="AG60" s="63">
        <f t="shared" si="37"/>
        <v>0</v>
      </c>
      <c r="AH60" s="63" t="str">
        <f t="shared" si="38"/>
        <v>#DIV/0!</v>
      </c>
      <c r="AK60" s="46"/>
    </row>
    <row r="61">
      <c r="A61" s="2"/>
      <c r="B61" s="2" t="s">
        <v>55</v>
      </c>
      <c r="C61" s="2"/>
      <c r="D61" s="30">
        <f>D52-D59</f>
        <v>10601145</v>
      </c>
      <c r="E61" s="2"/>
      <c r="F61" s="2" t="s">
        <v>55</v>
      </c>
      <c r="G61" s="2"/>
      <c r="H61" s="30">
        <f>H52-H59</f>
        <v>-13702468</v>
      </c>
      <c r="I61" s="2"/>
      <c r="J61" s="2"/>
      <c r="K61" s="2"/>
      <c r="L61" s="2"/>
      <c r="M61" s="56"/>
      <c r="N61" s="56"/>
      <c r="O61" s="2"/>
      <c r="P61" s="2"/>
      <c r="Q61" s="2"/>
      <c r="R61" s="2"/>
      <c r="S61" s="2"/>
      <c r="T61" s="2"/>
      <c r="U61" s="2"/>
      <c r="V61" s="2"/>
      <c r="W61" s="2"/>
      <c r="X61" s="2"/>
      <c r="Y61" s="5"/>
      <c r="AB61" s="52">
        <f t="shared" ref="AB61:AC61" si="43">SUM(AB49:AB60)</f>
        <v>399643607.1</v>
      </c>
      <c r="AC61" s="52">
        <f t="shared" si="43"/>
        <v>35383865.6</v>
      </c>
      <c r="AD61" s="69">
        <f t="shared" si="35"/>
        <v>0.08853855027</v>
      </c>
      <c r="AE61" s="5"/>
      <c r="AF61" s="69">
        <f t="shared" si="36"/>
        <v>0.1128412922</v>
      </c>
      <c r="AG61" s="69">
        <f t="shared" si="37"/>
        <v>0.08853855027</v>
      </c>
      <c r="AH61" s="69">
        <f t="shared" si="38"/>
        <v>-0.2153710001</v>
      </c>
      <c r="AK61" s="46"/>
    </row>
    <row r="62">
      <c r="A62" s="2"/>
      <c r="B62" s="2" t="s">
        <v>56</v>
      </c>
      <c r="C62" s="2"/>
      <c r="D62" s="30">
        <f>D52/$C$1*$G$1</f>
        <v>113971735</v>
      </c>
      <c r="E62" s="2"/>
      <c r="F62" s="2" t="s">
        <v>56</v>
      </c>
      <c r="G62" s="2"/>
      <c r="H62" s="30">
        <f>H52/$C$1*$G$1</f>
        <v>110544589</v>
      </c>
      <c r="I62" s="2"/>
      <c r="J62" s="2"/>
      <c r="K62" s="2"/>
      <c r="L62" s="2"/>
      <c r="M62" s="56">
        <f t="shared" ref="M62:N62" si="44">M58</f>
        <v>0.5280328617</v>
      </c>
      <c r="N62" s="56">
        <f t="shared" si="44"/>
        <v>0.4719671383</v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5"/>
      <c r="AK62" s="46"/>
    </row>
    <row r="63">
      <c r="A63" s="2"/>
      <c r="B63" s="66" t="s">
        <v>57</v>
      </c>
      <c r="C63" s="66"/>
      <c r="D63" s="67">
        <f>D62/D57</f>
        <v>1.10255475</v>
      </c>
      <c r="E63" s="2"/>
      <c r="F63" s="66" t="s">
        <v>57</v>
      </c>
      <c r="G63" s="66"/>
      <c r="H63" s="67">
        <f>H62/H57</f>
        <v>0.8897159552</v>
      </c>
      <c r="I63" s="2"/>
      <c r="J63" s="2"/>
      <c r="K63" s="56"/>
      <c r="L63" s="2"/>
      <c r="M63" s="58">
        <f t="shared" ref="M63:N63" si="45">$N$56*M62</f>
        <v>132008215.4</v>
      </c>
      <c r="N63" s="58">
        <f t="shared" si="45"/>
        <v>117991784.6</v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5"/>
      <c r="Z63" s="5"/>
      <c r="AA63" s="5"/>
      <c r="AB63" s="14" t="s">
        <v>12</v>
      </c>
      <c r="AC63" s="14" t="s">
        <v>17</v>
      </c>
      <c r="AD63" s="101" t="s">
        <v>48</v>
      </c>
      <c r="AE63" s="5"/>
      <c r="AF63" s="14" t="s">
        <v>63</v>
      </c>
      <c r="AG63" s="14" t="s">
        <v>64</v>
      </c>
      <c r="AH63" s="101" t="s">
        <v>48</v>
      </c>
      <c r="AK63" s="46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56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5"/>
      <c r="Z64" s="21" t="s">
        <v>24</v>
      </c>
      <c r="AA64" s="22" t="s">
        <v>19</v>
      </c>
      <c r="AB64" s="23">
        <f t="shared" ref="AB64:AB76" si="48">AD3</f>
        <v>103370590</v>
      </c>
      <c r="AC64" s="23">
        <f t="shared" ref="AC64:AC76" si="49">AJ3</f>
        <v>113706034</v>
      </c>
      <c r="AD64" s="63">
        <f t="shared" ref="AD64:AD76" si="50">IFERROR(AC64/AB64, " ")</f>
        <v>1.099984377</v>
      </c>
      <c r="AE64" s="5"/>
      <c r="AF64" s="63">
        <f t="shared" ref="AF64:AG64" si="46">AF49</f>
        <v>0.07</v>
      </c>
      <c r="AG64" s="63">
        <f t="shared" si="46"/>
        <v>0.04619627838</v>
      </c>
      <c r="AH64" s="63">
        <f t="shared" ref="AH64:AH76" si="52">AG64/AF64-1</f>
        <v>-0.340053166</v>
      </c>
      <c r="AK64" s="46"/>
    </row>
    <row r="65">
      <c r="A65" s="2"/>
      <c r="B65" s="102" t="s">
        <v>31</v>
      </c>
      <c r="C65" s="17"/>
      <c r="D65" s="17"/>
      <c r="E65" s="17"/>
      <c r="F65" s="17"/>
      <c r="G65" s="17"/>
      <c r="H65" s="18"/>
      <c r="I65" s="2"/>
      <c r="J65" s="2"/>
      <c r="K65" s="56"/>
      <c r="L65" s="2">
        <f>G1-C1</f>
        <v>0</v>
      </c>
      <c r="M65" s="2" t="str">
        <f t="shared" ref="M65:N65" si="47">(M63-M35)/$L$65</f>
        <v>#DIV/0!</v>
      </c>
      <c r="N65" s="2" t="str">
        <f t="shared" si="47"/>
        <v>#DIV/0!</v>
      </c>
      <c r="O65" s="2"/>
      <c r="P65" s="2"/>
      <c r="Q65" s="2"/>
      <c r="R65" s="2"/>
      <c r="S65" s="2"/>
      <c r="T65" s="2"/>
      <c r="U65" s="2"/>
      <c r="V65" s="2"/>
      <c r="W65" s="2"/>
      <c r="X65" s="2"/>
      <c r="Y65" s="5"/>
      <c r="AA65" s="22" t="s">
        <v>27</v>
      </c>
      <c r="AB65" s="23">
        <f t="shared" si="48"/>
        <v>124247057</v>
      </c>
      <c r="AC65" s="23">
        <f t="shared" si="49"/>
        <v>109193402</v>
      </c>
      <c r="AD65" s="63">
        <f t="shared" si="50"/>
        <v>0.8788409532</v>
      </c>
      <c r="AE65" s="55"/>
      <c r="AF65" s="63">
        <f t="shared" ref="AF65:AG65" si="51">AF50</f>
        <v>0.07</v>
      </c>
      <c r="AG65" s="63">
        <f t="shared" si="51"/>
        <v>0.04654316934</v>
      </c>
      <c r="AH65" s="63">
        <f t="shared" si="52"/>
        <v>-0.3350975809</v>
      </c>
      <c r="AK65" s="46"/>
    </row>
    <row r="66">
      <c r="A66" s="2"/>
      <c r="B66" s="70" t="str">
        <f>B30</f>
        <v>Биг–Л / Ноябрь | до </v>
      </c>
      <c r="C66" s="17"/>
      <c r="D66" s="28">
        <f>$D$4</f>
        <v>46107</v>
      </c>
      <c r="E66" s="2"/>
      <c r="F66" s="70" t="str">
        <f>F30</f>
        <v>Смарт / Декабрь| до </v>
      </c>
      <c r="G66" s="17"/>
      <c r="H66" s="28">
        <f>$D$4</f>
        <v>46107</v>
      </c>
      <c r="I66" s="2"/>
      <c r="J66" s="2"/>
      <c r="Y66" s="5"/>
      <c r="Z66" s="21" t="s">
        <v>18</v>
      </c>
      <c r="AA66" s="22" t="s">
        <v>19</v>
      </c>
      <c r="AB66" s="23">
        <f t="shared" si="48"/>
        <v>68328978</v>
      </c>
      <c r="AC66" s="23">
        <f t="shared" si="49"/>
        <v>87879382.57</v>
      </c>
      <c r="AD66" s="63">
        <f t="shared" si="50"/>
        <v>1.286121718</v>
      </c>
      <c r="AE66" s="55"/>
      <c r="AF66" s="63">
        <f t="shared" ref="AF66:AG66" si="53">AF51</f>
        <v>0.205</v>
      </c>
      <c r="AG66" s="63">
        <f t="shared" si="53"/>
        <v>0.1458526747</v>
      </c>
      <c r="AH66" s="63">
        <f t="shared" si="52"/>
        <v>-0.288523538</v>
      </c>
      <c r="AK66" s="46"/>
    </row>
    <row r="67">
      <c r="A67" s="35">
        <f t="shared" ref="A67:A71" si="55">IFERROR(C67/$C$72, " ")</f>
        <v>0.9512038917</v>
      </c>
      <c r="B67" s="41" t="s">
        <v>82</v>
      </c>
      <c r="C67" s="31">
        <v>573302.0</v>
      </c>
      <c r="D67" s="53"/>
      <c r="E67" s="2"/>
      <c r="F67" s="41" t="s">
        <v>82</v>
      </c>
      <c r="G67" s="31">
        <v>632602.0</v>
      </c>
      <c r="H67" s="53"/>
      <c r="I67" s="35">
        <f t="shared" ref="I67:I71" si="56">IFERROR(G67/$G$72, " ")</f>
        <v>0.9440947256</v>
      </c>
      <c r="J67" s="2"/>
      <c r="N67" s="31">
        <v>5.0E8</v>
      </c>
      <c r="Y67" s="5"/>
      <c r="AA67" s="22" t="s">
        <v>27</v>
      </c>
      <c r="AB67" s="23">
        <f t="shared" si="48"/>
        <v>73964392.7</v>
      </c>
      <c r="AC67" s="23">
        <f t="shared" si="49"/>
        <v>79878694.3</v>
      </c>
      <c r="AD67" s="63">
        <f t="shared" si="50"/>
        <v>1.07996147</v>
      </c>
      <c r="AE67" s="55"/>
      <c r="AF67" s="63">
        <f t="shared" ref="AF67:AG67" si="54">AF52</f>
        <v>0.115</v>
      </c>
      <c r="AG67" s="63">
        <f t="shared" si="54"/>
        <v>0.1371911008</v>
      </c>
      <c r="AH67" s="63">
        <f t="shared" si="52"/>
        <v>0.1929660938</v>
      </c>
      <c r="AK67" s="46"/>
    </row>
    <row r="68">
      <c r="A68" s="35">
        <f t="shared" si="55"/>
        <v>0.04879610826</v>
      </c>
      <c r="B68" s="41" t="s">
        <v>83</v>
      </c>
      <c r="C68" s="32">
        <v>29410.0</v>
      </c>
      <c r="D68" s="74"/>
      <c r="E68" s="2"/>
      <c r="F68" s="41" t="s">
        <v>83</v>
      </c>
      <c r="G68" s="32">
        <v>37460.0</v>
      </c>
      <c r="H68" s="40"/>
      <c r="I68" s="35">
        <f t="shared" si="56"/>
        <v>0.05590527444</v>
      </c>
      <c r="J68" s="2"/>
      <c r="K68" s="56"/>
      <c r="L68" s="2"/>
      <c r="M68" s="56">
        <f t="shared" ref="M68:N68" si="57">M35/SUM($M$35:$N$35)</f>
        <v>0.5280328617</v>
      </c>
      <c r="N68" s="56">
        <f t="shared" si="57"/>
        <v>0.4719671383</v>
      </c>
      <c r="O68" s="2"/>
      <c r="P68" s="2"/>
      <c r="Q68" s="2"/>
      <c r="R68" s="2"/>
      <c r="S68" s="2"/>
      <c r="T68" s="2"/>
      <c r="U68" s="2"/>
      <c r="V68" s="2"/>
      <c r="W68" s="2"/>
      <c r="X68" s="2"/>
      <c r="Y68" s="5"/>
      <c r="Z68" s="21" t="s">
        <v>31</v>
      </c>
      <c r="AA68" s="22" t="s">
        <v>19</v>
      </c>
      <c r="AB68" s="23">
        <f t="shared" si="48"/>
        <v>2491703</v>
      </c>
      <c r="AC68" s="23">
        <f t="shared" si="49"/>
        <v>3359015.829</v>
      </c>
      <c r="AD68" s="63">
        <f t="shared" si="50"/>
        <v>1.348080341</v>
      </c>
      <c r="AE68" s="55"/>
      <c r="AF68" s="63">
        <f t="shared" ref="AF68:AG68" si="58">AF53</f>
        <v>0.18</v>
      </c>
      <c r="AG68" s="63">
        <f t="shared" si="58"/>
        <v>0.1794311283</v>
      </c>
      <c r="AH68" s="63">
        <f t="shared" si="52"/>
        <v>-0.003160398526</v>
      </c>
      <c r="AK68" s="46"/>
    </row>
    <row r="69">
      <c r="A69" s="35">
        <f t="shared" si="55"/>
        <v>0</v>
      </c>
      <c r="B69" s="41" t="s">
        <v>84</v>
      </c>
      <c r="C69" s="32"/>
      <c r="D69" s="53"/>
      <c r="E69" s="2"/>
      <c r="F69" s="41" t="s">
        <v>84</v>
      </c>
      <c r="G69" s="32"/>
      <c r="H69" s="53"/>
      <c r="I69" s="35">
        <f t="shared" si="56"/>
        <v>0</v>
      </c>
      <c r="J69" s="2"/>
      <c r="K69" s="56"/>
      <c r="L69" s="2"/>
      <c r="M69" s="58">
        <f t="shared" ref="M69:N69" si="59">$N$67*M68</f>
        <v>264016430.8</v>
      </c>
      <c r="N69" s="58">
        <f t="shared" si="59"/>
        <v>235983569.2</v>
      </c>
      <c r="O69" s="2"/>
      <c r="P69" s="2"/>
      <c r="Q69" s="2"/>
      <c r="R69" s="2"/>
      <c r="S69" s="2"/>
      <c r="T69" s="2"/>
      <c r="U69" s="2"/>
      <c r="V69" s="2"/>
      <c r="W69" s="2"/>
      <c r="X69" s="2"/>
      <c r="Y69" s="5"/>
      <c r="AA69" s="22" t="s">
        <v>27</v>
      </c>
      <c r="AB69" s="23">
        <f t="shared" si="48"/>
        <v>4455445</v>
      </c>
      <c r="AC69" s="23">
        <f t="shared" si="49"/>
        <v>3190903.338</v>
      </c>
      <c r="AD69" s="63">
        <f t="shared" si="50"/>
        <v>0.7161806144</v>
      </c>
      <c r="AE69" s="55"/>
      <c r="AF69" s="63">
        <f t="shared" ref="AF69:AG69" si="60">AF54</f>
        <v>0.175</v>
      </c>
      <c r="AG69" s="63">
        <f t="shared" si="60"/>
        <v>0.2099913188</v>
      </c>
      <c r="AH69" s="63">
        <f t="shared" si="52"/>
        <v>0.1999503931</v>
      </c>
      <c r="AK69" s="5"/>
    </row>
    <row r="70">
      <c r="A70" s="35">
        <f t="shared" si="55"/>
        <v>0</v>
      </c>
      <c r="B70" s="41" t="s">
        <v>85</v>
      </c>
      <c r="C70" s="32"/>
      <c r="D70" s="53"/>
      <c r="E70" s="2"/>
      <c r="F70" s="41" t="s">
        <v>85</v>
      </c>
      <c r="G70" s="32"/>
      <c r="H70" s="53"/>
      <c r="I70" s="35">
        <f t="shared" si="56"/>
        <v>0</v>
      </c>
      <c r="J70" s="2"/>
      <c r="K70" s="56"/>
      <c r="L70" s="4">
        <v>30.0</v>
      </c>
      <c r="M70" s="58">
        <f t="shared" ref="M70:N70" si="61">M69/$L$70</f>
        <v>8800547.695</v>
      </c>
      <c r="N70" s="58">
        <f t="shared" si="61"/>
        <v>7866118.972</v>
      </c>
      <c r="O70" s="2"/>
      <c r="P70" s="2"/>
      <c r="Q70" s="2"/>
      <c r="R70" s="2"/>
      <c r="S70" s="2"/>
      <c r="T70" s="2"/>
      <c r="U70" s="2"/>
      <c r="V70" s="2"/>
      <c r="W70" s="2"/>
      <c r="X70" s="2"/>
      <c r="Y70" s="5"/>
      <c r="Z70" s="44" t="s">
        <v>34</v>
      </c>
      <c r="AA70" s="22" t="s">
        <v>19</v>
      </c>
      <c r="AB70" s="23">
        <f t="shared" si="48"/>
        <v>357438</v>
      </c>
      <c r="AC70" s="23">
        <f t="shared" si="49"/>
        <v>328073</v>
      </c>
      <c r="AD70" s="63">
        <f t="shared" si="50"/>
        <v>0.9178458922</v>
      </c>
      <c r="AE70" s="46"/>
      <c r="AF70" s="63">
        <f t="shared" ref="AF70:AG70" si="62">AF55</f>
        <v>0.15</v>
      </c>
      <c r="AG70" s="63">
        <f t="shared" si="62"/>
        <v>0</v>
      </c>
      <c r="AH70" s="63">
        <f t="shared" si="52"/>
        <v>-1</v>
      </c>
      <c r="AK70" s="5"/>
    </row>
    <row r="71">
      <c r="A71" s="35">
        <f t="shared" si="55"/>
        <v>0</v>
      </c>
      <c r="B71" s="41" t="s">
        <v>88</v>
      </c>
      <c r="C71" s="58"/>
      <c r="D71" s="53"/>
      <c r="E71" s="2"/>
      <c r="F71" s="41" t="s">
        <v>88</v>
      </c>
      <c r="G71" s="58"/>
      <c r="H71" s="53"/>
      <c r="I71" s="35">
        <f t="shared" si="56"/>
        <v>0</v>
      </c>
      <c r="J71" s="2"/>
      <c r="K71" s="56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5"/>
      <c r="AA71" s="22" t="s">
        <v>27</v>
      </c>
      <c r="AB71" s="23">
        <f t="shared" si="48"/>
        <v>1099783</v>
      </c>
      <c r="AC71" s="23">
        <f t="shared" si="49"/>
        <v>1282517</v>
      </c>
      <c r="AD71" s="63">
        <f t="shared" si="50"/>
        <v>1.166154596</v>
      </c>
      <c r="AE71" s="46"/>
      <c r="AF71" s="63">
        <f t="shared" ref="AF71:AG71" si="63">AF56</f>
        <v>0.15</v>
      </c>
      <c r="AG71" s="63">
        <f t="shared" si="63"/>
        <v>0</v>
      </c>
      <c r="AH71" s="63">
        <f t="shared" si="52"/>
        <v>-1</v>
      </c>
      <c r="AK71" s="5"/>
    </row>
    <row r="72">
      <c r="A72" s="2"/>
      <c r="B72" s="41" t="s">
        <v>42</v>
      </c>
      <c r="C72" s="30">
        <f>SUM(C67:C71)</f>
        <v>602712</v>
      </c>
      <c r="D72" s="53"/>
      <c r="E72" s="2"/>
      <c r="F72" s="41" t="s">
        <v>42</v>
      </c>
      <c r="G72" s="30">
        <f>SUM(G67:G71)</f>
        <v>670062</v>
      </c>
      <c r="H72" s="53"/>
      <c r="I72" s="2"/>
      <c r="J72" s="2"/>
      <c r="K72" s="56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5"/>
      <c r="Z72" s="44" t="s">
        <v>37</v>
      </c>
      <c r="AA72" s="22" t="s">
        <v>19</v>
      </c>
      <c r="AB72" s="23">
        <f t="shared" si="48"/>
        <v>0</v>
      </c>
      <c r="AC72" s="23">
        <f t="shared" si="49"/>
        <v>74449</v>
      </c>
      <c r="AD72" s="63" t="str">
        <f t="shared" si="50"/>
        <v> </v>
      </c>
      <c r="AE72" s="46"/>
      <c r="AF72" s="63">
        <f t="shared" ref="AF72:AG72" si="64">AF57</f>
        <v>0</v>
      </c>
      <c r="AG72" s="63">
        <f t="shared" si="64"/>
        <v>0</v>
      </c>
      <c r="AH72" s="63" t="str">
        <f t="shared" si="52"/>
        <v>#DIV/0!</v>
      </c>
      <c r="AK72" s="5"/>
    </row>
    <row r="73">
      <c r="A73" s="2"/>
      <c r="B73" s="41" t="s">
        <v>43</v>
      </c>
      <c r="C73" s="58"/>
      <c r="D73" s="54">
        <f>Q35</f>
        <v>3741104</v>
      </c>
      <c r="E73" s="2"/>
      <c r="F73" s="41" t="s">
        <v>43</v>
      </c>
      <c r="G73" s="58"/>
      <c r="H73" s="54">
        <f>R35</f>
        <v>3478652</v>
      </c>
      <c r="I73" s="2"/>
      <c r="J73" s="2"/>
      <c r="K73" s="56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5"/>
      <c r="AA73" s="22" t="s">
        <v>27</v>
      </c>
      <c r="AB73" s="23">
        <f t="shared" si="48"/>
        <v>1079042</v>
      </c>
      <c r="AC73" s="23">
        <f t="shared" si="49"/>
        <v>710399</v>
      </c>
      <c r="AD73" s="63">
        <f t="shared" si="50"/>
        <v>0.6583608423</v>
      </c>
      <c r="AE73" s="46"/>
      <c r="AF73" s="63">
        <f t="shared" ref="AF73:AG73" si="65">AF58</f>
        <v>0</v>
      </c>
      <c r="AG73" s="63">
        <f t="shared" si="65"/>
        <v>0</v>
      </c>
      <c r="AH73" s="63" t="str">
        <f t="shared" si="52"/>
        <v>#DIV/0!</v>
      </c>
      <c r="AK73" s="5"/>
    </row>
    <row r="74">
      <c r="A74" s="2"/>
      <c r="B74" s="41" t="s">
        <v>44</v>
      </c>
      <c r="C74" s="2"/>
      <c r="D74" s="57">
        <f>C72/D73</f>
        <v>0.1611053849</v>
      </c>
      <c r="E74" s="2"/>
      <c r="F74" s="41" t="s">
        <v>44</v>
      </c>
      <c r="G74" s="2"/>
      <c r="H74" s="57">
        <f>G72/H73</f>
        <v>0.1926211648</v>
      </c>
      <c r="I74" s="2"/>
      <c r="J74" s="2"/>
      <c r="K74" s="56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5"/>
      <c r="Z74" s="44" t="s">
        <v>8</v>
      </c>
      <c r="AA74" s="22" t="s">
        <v>19</v>
      </c>
      <c r="AB74" s="23">
        <f t="shared" si="48"/>
        <v>2049</v>
      </c>
      <c r="AC74" s="23">
        <f t="shared" si="49"/>
        <v>4715.92</v>
      </c>
      <c r="AD74" s="63">
        <f t="shared" si="50"/>
        <v>2.301571498</v>
      </c>
      <c r="AE74" s="46"/>
      <c r="AF74" s="63">
        <f t="shared" ref="AF74:AG74" si="66">AF59</f>
        <v>0</v>
      </c>
      <c r="AG74" s="63">
        <f t="shared" si="66"/>
        <v>0</v>
      </c>
      <c r="AH74" s="63" t="str">
        <f t="shared" si="52"/>
        <v>#DIV/0!</v>
      </c>
      <c r="AK74" s="5"/>
    </row>
    <row r="75">
      <c r="A75" s="35">
        <f>D74/C75</f>
        <v>0.8950299163</v>
      </c>
      <c r="B75" s="41" t="s">
        <v>47</v>
      </c>
      <c r="C75" s="35">
        <v>0.18</v>
      </c>
      <c r="D75" s="54">
        <f>D73*C75</f>
        <v>673398.72</v>
      </c>
      <c r="E75" s="2"/>
      <c r="F75" s="41" t="s">
        <v>47</v>
      </c>
      <c r="G75" s="35">
        <v>0.175</v>
      </c>
      <c r="H75" s="54">
        <f>H73*G75</f>
        <v>608764.1</v>
      </c>
      <c r="I75" s="35">
        <f>H74/G75</f>
        <v>1.10069237</v>
      </c>
      <c r="J75" s="2"/>
      <c r="K75" s="56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5"/>
      <c r="AA75" s="22" t="s">
        <v>27</v>
      </c>
      <c r="AB75" s="23">
        <f t="shared" si="48"/>
        <v>17685.2</v>
      </c>
      <c r="AC75" s="23">
        <f t="shared" si="49"/>
        <v>36021.18</v>
      </c>
      <c r="AD75" s="63">
        <f t="shared" si="50"/>
        <v>2.036798001</v>
      </c>
      <c r="AE75" s="46"/>
      <c r="AF75" s="63">
        <f t="shared" ref="AF75:AG75" si="67">AF60</f>
        <v>0</v>
      </c>
      <c r="AG75" s="63">
        <f t="shared" si="67"/>
        <v>0</v>
      </c>
      <c r="AH75" s="63" t="str">
        <f t="shared" si="52"/>
        <v>#DIV/0!</v>
      </c>
      <c r="AK75" s="5"/>
    </row>
    <row r="76">
      <c r="A76" s="2"/>
      <c r="B76" s="77" t="s">
        <v>50</v>
      </c>
      <c r="C76" s="61"/>
      <c r="D76" s="62">
        <f>C72-D75</f>
        <v>-70686.72</v>
      </c>
      <c r="E76" s="2"/>
      <c r="F76" s="77" t="s">
        <v>50</v>
      </c>
      <c r="G76" s="61"/>
      <c r="H76" s="62">
        <f>G72-H75</f>
        <v>61297.9</v>
      </c>
      <c r="I76" s="2"/>
      <c r="J76" s="2"/>
      <c r="K76" s="56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5"/>
      <c r="AB76" s="103">
        <f t="shared" si="48"/>
        <v>379414162.9</v>
      </c>
      <c r="AC76" s="103">
        <f t="shared" si="49"/>
        <v>399643607.1</v>
      </c>
      <c r="AD76" s="104">
        <f t="shared" si="50"/>
        <v>1.053317578</v>
      </c>
      <c r="AE76" s="55"/>
      <c r="AF76" s="69">
        <f t="shared" ref="AF76:AG76" si="68">AF61</f>
        <v>0.1128412922</v>
      </c>
      <c r="AG76" s="69">
        <f t="shared" si="68"/>
        <v>0.08853855027</v>
      </c>
      <c r="AH76" s="69">
        <f t="shared" si="52"/>
        <v>-0.2153710001</v>
      </c>
      <c r="AK76" s="5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56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5"/>
      <c r="AK77" s="5"/>
    </row>
    <row r="78">
      <c r="A78" s="2"/>
      <c r="B78" s="58" t="s">
        <v>51</v>
      </c>
      <c r="C78" s="58"/>
      <c r="D78" s="64">
        <f>Q42</f>
        <v>2491703</v>
      </c>
      <c r="E78" s="2"/>
      <c r="F78" s="58" t="s">
        <v>51</v>
      </c>
      <c r="G78" s="58"/>
      <c r="H78" s="64">
        <f>R42</f>
        <v>4455445</v>
      </c>
      <c r="I78" s="2"/>
      <c r="J78" s="2"/>
      <c r="K78" s="56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5"/>
      <c r="Z78" s="5"/>
      <c r="AA78" s="5"/>
      <c r="AB78" s="105" t="s">
        <v>132</v>
      </c>
      <c r="AC78" s="105" t="s">
        <v>128</v>
      </c>
      <c r="AD78" s="51"/>
      <c r="AE78" s="51"/>
      <c r="AF78" s="51"/>
      <c r="AG78" s="51"/>
      <c r="AH78" s="51" t="str">
        <f t="shared" ref="AH78:AI78" si="69">AB78</f>
        <v>Ноябрь</v>
      </c>
      <c r="AI78" s="51" t="str">
        <f t="shared" si="69"/>
        <v>Декабрь</v>
      </c>
      <c r="AJ78" s="5"/>
      <c r="AK78" s="5"/>
    </row>
    <row r="79">
      <c r="A79" s="2"/>
      <c r="B79" s="2" t="s">
        <v>52</v>
      </c>
      <c r="C79" s="2"/>
      <c r="D79" s="30">
        <f>D73/$C$1</f>
        <v>120680.7742</v>
      </c>
      <c r="E79" s="2"/>
      <c r="F79" s="2" t="s">
        <v>52</v>
      </c>
      <c r="G79" s="2"/>
      <c r="H79" s="30">
        <f>H73/$C$1</f>
        <v>112214.5806</v>
      </c>
      <c r="I79" s="2"/>
      <c r="J79" s="2"/>
      <c r="K79" s="56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5"/>
      <c r="Z79" s="5"/>
      <c r="AA79" s="5"/>
      <c r="AB79" s="14" t="s">
        <v>17</v>
      </c>
      <c r="AC79" s="14" t="s">
        <v>17</v>
      </c>
      <c r="AD79" s="14" t="s">
        <v>48</v>
      </c>
      <c r="AE79" s="5"/>
      <c r="AF79" s="72" t="s">
        <v>71</v>
      </c>
      <c r="AH79" s="14" t="s">
        <v>64</v>
      </c>
      <c r="AI79" s="14" t="s">
        <v>64</v>
      </c>
      <c r="AJ79" s="14" t="s">
        <v>48</v>
      </c>
      <c r="AK79" s="5"/>
    </row>
    <row r="80">
      <c r="A80" s="2"/>
      <c r="B80" s="2" t="s">
        <v>53</v>
      </c>
      <c r="C80" s="2"/>
      <c r="D80" s="30">
        <f>D78/$G$1*$C$1</f>
        <v>2491703</v>
      </c>
      <c r="E80" s="2"/>
      <c r="F80" s="2" t="s">
        <v>53</v>
      </c>
      <c r="G80" s="2"/>
      <c r="H80" s="30">
        <f>H78/$G$1*$C$1</f>
        <v>4455445</v>
      </c>
      <c r="I80" s="2"/>
      <c r="J80" s="2"/>
      <c r="K80" s="56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5"/>
      <c r="Z80" s="21" t="s">
        <v>24</v>
      </c>
      <c r="AA80" s="22" t="s">
        <v>19</v>
      </c>
      <c r="AB80" s="23">
        <f>'Ноябрь 25'!AJ3</f>
        <v>103176599</v>
      </c>
      <c r="AC80" s="23">
        <f t="shared" ref="AC80:AC91" si="70">AJ3</f>
        <v>113706034</v>
      </c>
      <c r="AD80" s="63">
        <f t="shared" ref="AD80:AD89" si="71">AC80/AB80-1</f>
        <v>0.1020525497</v>
      </c>
      <c r="AE80" s="5"/>
      <c r="AF80" s="21" t="s">
        <v>24</v>
      </c>
      <c r="AG80" s="22" t="s">
        <v>19</v>
      </c>
      <c r="AH80" s="63">
        <f>'Ноябрь 25'!AG51</f>
        <v>0.0442982037</v>
      </c>
      <c r="AI80" s="63">
        <f t="shared" ref="AI80:AI92" si="72">AG49</f>
        <v>0.04619627838</v>
      </c>
      <c r="AJ80" s="63">
        <f t="shared" ref="AJ80:AJ92" si="73">AI80/AH80-1</f>
        <v>0.04284766685</v>
      </c>
      <c r="AK80" s="5"/>
    </row>
    <row r="81">
      <c r="A81" s="2"/>
      <c r="B81" s="2" t="s">
        <v>54</v>
      </c>
      <c r="C81" s="2"/>
      <c r="D81" s="30" t="str">
        <f>(D78-D73)/($G$1-$C$1)</f>
        <v>#DIV/0!</v>
      </c>
      <c r="E81" s="2"/>
      <c r="F81" s="2" t="s">
        <v>54</v>
      </c>
      <c r="G81" s="2"/>
      <c r="H81" s="30" t="str">
        <f>(H78-H73)/($G$1-$C$1)</f>
        <v>#DIV/0!</v>
      </c>
      <c r="I81" s="2"/>
      <c r="J81" s="2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5"/>
      <c r="AA81" s="22" t="s">
        <v>27</v>
      </c>
      <c r="AB81" s="23">
        <f>'Ноябрь 25'!AJ4</f>
        <v>123878665</v>
      </c>
      <c r="AC81" s="23">
        <f t="shared" si="70"/>
        <v>109193402</v>
      </c>
      <c r="AD81" s="63">
        <f t="shared" si="71"/>
        <v>-0.1185455381</v>
      </c>
      <c r="AE81" s="5"/>
      <c r="AG81" s="22" t="s">
        <v>27</v>
      </c>
      <c r="AH81" s="63">
        <f>'Ноябрь 25'!AG52</f>
        <v>0.05379573634</v>
      </c>
      <c r="AI81" s="63">
        <f t="shared" si="72"/>
        <v>0.04654316934</v>
      </c>
      <c r="AJ81" s="63">
        <f t="shared" si="73"/>
        <v>-0.1348167623</v>
      </c>
      <c r="AK81" s="55"/>
    </row>
    <row r="82">
      <c r="A82" s="2"/>
      <c r="B82" s="2" t="s">
        <v>89</v>
      </c>
      <c r="C82" s="2"/>
      <c r="D82" s="30">
        <f>D73-D80</f>
        <v>1249401</v>
      </c>
      <c r="E82" s="2"/>
      <c r="F82" s="2" t="s">
        <v>89</v>
      </c>
      <c r="G82" s="2"/>
      <c r="H82" s="30">
        <f>H73-H80</f>
        <v>-976793</v>
      </c>
      <c r="I82" s="2"/>
      <c r="J82" s="2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5"/>
      <c r="Z82" s="21" t="s">
        <v>18</v>
      </c>
      <c r="AA82" s="22" t="s">
        <v>19</v>
      </c>
      <c r="AB82" s="23">
        <f>'Ноябрь 25'!AJ5</f>
        <v>64355951.38</v>
      </c>
      <c r="AC82" s="23">
        <f t="shared" si="70"/>
        <v>87879382.57</v>
      </c>
      <c r="AD82" s="63">
        <f t="shared" si="71"/>
        <v>0.3655206813</v>
      </c>
      <c r="AE82" s="5"/>
      <c r="AF82" s="21" t="s">
        <v>18</v>
      </c>
      <c r="AG82" s="22" t="s">
        <v>19</v>
      </c>
      <c r="AH82" s="63">
        <f>'Ноябрь 25'!AG53</f>
        <v>0.168824635</v>
      </c>
      <c r="AI82" s="63">
        <f t="shared" si="72"/>
        <v>0.1458526747</v>
      </c>
      <c r="AJ82" s="63">
        <f t="shared" si="73"/>
        <v>-0.1360699537</v>
      </c>
      <c r="AK82" s="55"/>
    </row>
    <row r="83">
      <c r="A83" s="2"/>
      <c r="B83" s="2" t="s">
        <v>56</v>
      </c>
      <c r="C83" s="2"/>
      <c r="D83" s="30">
        <f>D73/$C$1*$G$1</f>
        <v>3741104</v>
      </c>
      <c r="E83" s="2"/>
      <c r="F83" s="2" t="s">
        <v>56</v>
      </c>
      <c r="G83" s="2"/>
      <c r="H83" s="30">
        <f>H73/$C$1*$G$1</f>
        <v>3478652</v>
      </c>
      <c r="I83" s="2"/>
      <c r="J83" s="2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5"/>
      <c r="AA83" s="22" t="s">
        <v>27</v>
      </c>
      <c r="AB83" s="23">
        <f>'Ноябрь 25'!AJ6</f>
        <v>70026828.19</v>
      </c>
      <c r="AC83" s="23">
        <f t="shared" si="70"/>
        <v>79878694.3</v>
      </c>
      <c r="AD83" s="63">
        <f t="shared" si="71"/>
        <v>0.1406870247</v>
      </c>
      <c r="AE83" s="5"/>
      <c r="AG83" s="22" t="s">
        <v>27</v>
      </c>
      <c r="AH83" s="63">
        <f>'Ноябрь 25'!AG54</f>
        <v>0.1259714773</v>
      </c>
      <c r="AI83" s="63">
        <f t="shared" si="72"/>
        <v>0.1371911008</v>
      </c>
      <c r="AJ83" s="63">
        <f t="shared" si="73"/>
        <v>0.0890647922</v>
      </c>
      <c r="AK83" s="55"/>
    </row>
    <row r="84">
      <c r="A84" s="2"/>
      <c r="B84" s="66" t="s">
        <v>57</v>
      </c>
      <c r="C84" s="66"/>
      <c r="D84" s="67">
        <f>D83/D78</f>
        <v>1.501424528</v>
      </c>
      <c r="E84" s="2"/>
      <c r="F84" s="66" t="s">
        <v>57</v>
      </c>
      <c r="G84" s="66"/>
      <c r="H84" s="67">
        <f>H83/H78</f>
        <v>0.780764211</v>
      </c>
      <c r="I84" s="2"/>
      <c r="J84" s="2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21" t="s">
        <v>31</v>
      </c>
      <c r="AA84" s="22" t="s">
        <v>19</v>
      </c>
      <c r="AB84" s="23">
        <f>'Ноябрь 25'!AJ7</f>
        <v>2174848.722</v>
      </c>
      <c r="AC84" s="23">
        <f t="shared" si="70"/>
        <v>3359015.829</v>
      </c>
      <c r="AD84" s="63">
        <f t="shared" si="71"/>
        <v>0.5444825171</v>
      </c>
      <c r="AE84" s="5"/>
      <c r="AF84" s="21" t="s">
        <v>31</v>
      </c>
      <c r="AG84" s="22" t="s">
        <v>19</v>
      </c>
      <c r="AH84" s="63">
        <f>'Ноябрь 25'!AG55</f>
        <v>0.2053443973</v>
      </c>
      <c r="AI84" s="63">
        <f t="shared" si="72"/>
        <v>0.1794311283</v>
      </c>
      <c r="AJ84" s="63">
        <f t="shared" si="73"/>
        <v>-0.1261941857</v>
      </c>
      <c r="AK84" s="56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AA85" s="22" t="s">
        <v>27</v>
      </c>
      <c r="AB85" s="23">
        <f>'Ноябрь 25'!AJ8</f>
        <v>3962550.079</v>
      </c>
      <c r="AC85" s="23">
        <f t="shared" si="70"/>
        <v>3190903.338</v>
      </c>
      <c r="AD85" s="63">
        <f t="shared" si="71"/>
        <v>-0.1947348869</v>
      </c>
      <c r="AE85" s="5"/>
      <c r="AG85" s="22" t="s">
        <v>27</v>
      </c>
      <c r="AH85" s="63">
        <f>'Ноябрь 25'!AG56</f>
        <v>0.2039509871</v>
      </c>
      <c r="AI85" s="63">
        <f t="shared" si="72"/>
        <v>0.2099913188</v>
      </c>
      <c r="AJ85" s="63">
        <f t="shared" si="73"/>
        <v>0.02961658483</v>
      </c>
      <c r="AK85" s="56"/>
    </row>
    <row r="86">
      <c r="A86" s="2"/>
      <c r="B86" s="70" t="s">
        <v>34</v>
      </c>
      <c r="C86" s="17"/>
      <c r="D86" s="17"/>
      <c r="E86" s="17"/>
      <c r="F86" s="17"/>
      <c r="G86" s="17"/>
      <c r="H86" s="18"/>
      <c r="I86" s="2"/>
      <c r="J86" s="2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44" t="s">
        <v>34</v>
      </c>
      <c r="AA86" s="22" t="s">
        <v>19</v>
      </c>
      <c r="AB86" s="23">
        <f>'Ноябрь 25'!AJ9</f>
        <v>354043</v>
      </c>
      <c r="AC86" s="23">
        <f t="shared" si="70"/>
        <v>328073</v>
      </c>
      <c r="AD86" s="63">
        <f t="shared" si="71"/>
        <v>-0.07335267185</v>
      </c>
      <c r="AE86" s="5"/>
      <c r="AF86" s="44" t="s">
        <v>34</v>
      </c>
      <c r="AG86" s="22" t="s">
        <v>19</v>
      </c>
      <c r="AH86" s="63">
        <f>'Ноябрь 25'!AG57</f>
        <v>0</v>
      </c>
      <c r="AI86" s="63">
        <f t="shared" si="72"/>
        <v>0</v>
      </c>
      <c r="AJ86" s="63" t="str">
        <f t="shared" si="73"/>
        <v>#DIV/0!</v>
      </c>
      <c r="AK86" s="56"/>
    </row>
    <row r="87">
      <c r="A87" s="2"/>
      <c r="B87" s="70" t="str">
        <f>B66</f>
        <v>Биг–Л / Ноябрь | до </v>
      </c>
      <c r="C87" s="17"/>
      <c r="D87" s="28">
        <f>$D$4</f>
        <v>46107</v>
      </c>
      <c r="E87" s="2"/>
      <c r="F87" s="70" t="str">
        <f>F66</f>
        <v>Смарт / Декабрь| до </v>
      </c>
      <c r="G87" s="17"/>
      <c r="H87" s="28">
        <f>$D$4</f>
        <v>46107</v>
      </c>
      <c r="I87" s="2"/>
      <c r="J87" s="2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AA87" s="22" t="s">
        <v>27</v>
      </c>
      <c r="AB87" s="23">
        <f>'Ноябрь 25'!AJ10</f>
        <v>1090118</v>
      </c>
      <c r="AC87" s="23">
        <f t="shared" si="70"/>
        <v>1282517</v>
      </c>
      <c r="AD87" s="63">
        <f t="shared" si="71"/>
        <v>0.1764937374</v>
      </c>
      <c r="AE87" s="5"/>
      <c r="AG87" s="22" t="s">
        <v>27</v>
      </c>
      <c r="AH87" s="63">
        <f>'Ноябрь 25'!AG58</f>
        <v>0</v>
      </c>
      <c r="AI87" s="63">
        <f t="shared" si="72"/>
        <v>0</v>
      </c>
      <c r="AJ87" s="63" t="str">
        <f t="shared" si="73"/>
        <v>#DIV/0!</v>
      </c>
      <c r="AK87" s="56"/>
    </row>
    <row r="88">
      <c r="A88" s="2"/>
      <c r="B88" s="106" t="s">
        <v>90</v>
      </c>
      <c r="C88" s="107"/>
      <c r="D88" s="108">
        <v>12358.77</v>
      </c>
      <c r="E88" s="2"/>
      <c r="F88" s="106" t="s">
        <v>90</v>
      </c>
      <c r="G88" s="107"/>
      <c r="H88" s="108">
        <v>39638.09</v>
      </c>
      <c r="I88" s="2"/>
      <c r="J88" s="2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44" t="s">
        <v>37</v>
      </c>
      <c r="AA88" s="22" t="s">
        <v>19</v>
      </c>
      <c r="AB88" s="23">
        <f>'Ноябрь 25'!AJ11</f>
        <v>0</v>
      </c>
      <c r="AC88" s="23">
        <f t="shared" si="70"/>
        <v>74449</v>
      </c>
      <c r="AD88" s="63" t="str">
        <f t="shared" si="71"/>
        <v>#DIV/0!</v>
      </c>
      <c r="AE88" s="5"/>
      <c r="AF88" s="44" t="s">
        <v>37</v>
      </c>
      <c r="AG88" s="22" t="s">
        <v>19</v>
      </c>
      <c r="AH88" s="63" t="str">
        <f>'Ноябрь 25'!AG59</f>
        <v>#DIV/0!</v>
      </c>
      <c r="AI88" s="63">
        <f t="shared" si="72"/>
        <v>0</v>
      </c>
      <c r="AJ88" s="63" t="str">
        <f t="shared" si="73"/>
        <v>#DIV/0!</v>
      </c>
      <c r="AK88" s="56"/>
    </row>
    <row r="89">
      <c r="A89" s="2"/>
      <c r="B89" s="41" t="s">
        <v>43</v>
      </c>
      <c r="C89" s="2"/>
      <c r="D89" s="54">
        <f>S35</f>
        <v>341575</v>
      </c>
      <c r="E89" s="2"/>
      <c r="F89" s="41" t="s">
        <v>43</v>
      </c>
      <c r="G89" s="2"/>
      <c r="H89" s="54">
        <f>T35</f>
        <v>1332348</v>
      </c>
      <c r="I89" s="2"/>
      <c r="J89" s="2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AA89" s="22" t="s">
        <v>27</v>
      </c>
      <c r="AB89" s="23">
        <f>'Ноябрь 25'!AJ12</f>
        <v>1079042</v>
      </c>
      <c r="AC89" s="23">
        <f t="shared" si="70"/>
        <v>710399</v>
      </c>
      <c r="AD89" s="63">
        <f t="shared" si="71"/>
        <v>-0.3416391577</v>
      </c>
      <c r="AE89" s="55"/>
      <c r="AG89" s="22" t="s">
        <v>27</v>
      </c>
      <c r="AH89" s="63">
        <f>'Ноябрь 25'!AG60</f>
        <v>0</v>
      </c>
      <c r="AI89" s="63">
        <f t="shared" si="72"/>
        <v>0</v>
      </c>
      <c r="AJ89" s="63" t="str">
        <f t="shared" si="73"/>
        <v>#DIV/0!</v>
      </c>
      <c r="AK89" s="56"/>
    </row>
    <row r="90">
      <c r="A90" s="2"/>
      <c r="B90" s="41" t="s">
        <v>44</v>
      </c>
      <c r="C90" s="2"/>
      <c r="D90" s="57">
        <f>C88/D89</f>
        <v>0</v>
      </c>
      <c r="E90" s="2"/>
      <c r="F90" s="41" t="s">
        <v>44</v>
      </c>
      <c r="G90" s="2"/>
      <c r="H90" s="57">
        <f>G88/H89</f>
        <v>0</v>
      </c>
      <c r="I90" s="2"/>
      <c r="J90" s="2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44" t="s">
        <v>8</v>
      </c>
      <c r="AA90" s="22" t="s">
        <v>19</v>
      </c>
      <c r="AB90" s="23">
        <f>'Ноябрь 25'!AJ13</f>
        <v>1391</v>
      </c>
      <c r="AC90" s="23">
        <f t="shared" si="70"/>
        <v>4715.92</v>
      </c>
      <c r="AF90" s="44" t="s">
        <v>8</v>
      </c>
      <c r="AG90" s="22" t="s">
        <v>19</v>
      </c>
      <c r="AH90" s="63">
        <f>'Ноябрь 25'!AG61</f>
        <v>0</v>
      </c>
      <c r="AI90" s="63">
        <f t="shared" si="72"/>
        <v>0</v>
      </c>
      <c r="AJ90" s="63" t="str">
        <f t="shared" si="73"/>
        <v>#DIV/0!</v>
      </c>
      <c r="AK90" s="56"/>
    </row>
    <row r="91">
      <c r="A91" s="2"/>
      <c r="B91" s="41" t="s">
        <v>47</v>
      </c>
      <c r="C91" s="35">
        <v>0.15</v>
      </c>
      <c r="D91" s="54">
        <f>D89*C91</f>
        <v>51236.25</v>
      </c>
      <c r="E91" s="2"/>
      <c r="F91" s="41" t="s">
        <v>47</v>
      </c>
      <c r="G91" s="35">
        <v>0.15</v>
      </c>
      <c r="H91" s="54">
        <f>H89*G91</f>
        <v>199852.2</v>
      </c>
      <c r="I91" s="2"/>
      <c r="J91" s="2"/>
      <c r="K91" s="56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AA91" s="22" t="s">
        <v>27</v>
      </c>
      <c r="AB91" s="23">
        <f>'Ноябрь 25'!AJ14</f>
        <v>14588.2</v>
      </c>
      <c r="AC91" s="23">
        <f t="shared" si="70"/>
        <v>36021.18</v>
      </c>
      <c r="AG91" s="22" t="s">
        <v>27</v>
      </c>
      <c r="AH91" s="63">
        <f>'Ноябрь 25'!AG62</f>
        <v>0</v>
      </c>
      <c r="AI91" s="63">
        <f t="shared" si="72"/>
        <v>0</v>
      </c>
      <c r="AJ91" s="63" t="str">
        <f t="shared" si="73"/>
        <v>#DIV/0!</v>
      </c>
      <c r="AK91" s="2"/>
    </row>
    <row r="92">
      <c r="A92" s="2"/>
      <c r="B92" s="77" t="s">
        <v>50</v>
      </c>
      <c r="C92" s="61"/>
      <c r="D92" s="62">
        <f>C88-D91</f>
        <v>-51236.25</v>
      </c>
      <c r="E92" s="2"/>
      <c r="F92" s="77" t="s">
        <v>50</v>
      </c>
      <c r="G92" s="61"/>
      <c r="H92" s="62">
        <f>G88-H91</f>
        <v>-199852.2</v>
      </c>
      <c r="I92" s="2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AB92" s="52">
        <f t="shared" ref="AB92:AC92" si="74">SUM(AB80:AB91)</f>
        <v>370114624.6</v>
      </c>
      <c r="AC92" s="52">
        <f t="shared" si="74"/>
        <v>399643607.1</v>
      </c>
      <c r="AD92" s="69">
        <f>AC92/AB92-1</f>
        <v>0.07978334443</v>
      </c>
      <c r="AE92" s="55"/>
      <c r="AF92" s="55"/>
      <c r="AG92" s="55"/>
      <c r="AH92" s="69">
        <f>'Ноябрь 25'!AG63</f>
        <v>0.08693440319</v>
      </c>
      <c r="AI92" s="69">
        <f t="shared" si="72"/>
        <v>0.08853855027</v>
      </c>
      <c r="AJ92" s="69">
        <f t="shared" si="73"/>
        <v>0.01845238497</v>
      </c>
      <c r="AK92" s="56"/>
    </row>
    <row r="93">
      <c r="A93" s="2"/>
      <c r="B93" s="2"/>
      <c r="C93" s="2"/>
      <c r="D93" s="2"/>
      <c r="E93" s="2"/>
      <c r="F93" s="2"/>
      <c r="G93" s="2"/>
      <c r="H93" s="2"/>
      <c r="I93" s="2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AB93" s="55"/>
      <c r="AC93" s="55"/>
      <c r="AD93" s="52">
        <f>AC92-AB92</f>
        <v>29528982.57</v>
      </c>
      <c r="AE93" s="55"/>
      <c r="AF93" s="55"/>
      <c r="AG93" s="55"/>
      <c r="AH93" s="55"/>
      <c r="AI93" s="55"/>
      <c r="AJ93" s="55"/>
      <c r="AK93" s="56"/>
    </row>
    <row r="94">
      <c r="A94" s="2"/>
      <c r="B94" s="58" t="s">
        <v>51</v>
      </c>
      <c r="C94" s="2"/>
      <c r="D94" s="64">
        <f>S42</f>
        <v>357438</v>
      </c>
      <c r="E94" s="2"/>
      <c r="F94" s="58" t="s">
        <v>51</v>
      </c>
      <c r="G94" s="2"/>
      <c r="H94" s="64">
        <f>T42</f>
        <v>1099783</v>
      </c>
      <c r="I94" s="2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AK94" s="56"/>
    </row>
    <row r="95">
      <c r="A95" s="2"/>
      <c r="B95" s="2" t="s">
        <v>52</v>
      </c>
      <c r="C95" s="2"/>
      <c r="D95" s="30">
        <f>D89/$C$1</f>
        <v>11018.54839</v>
      </c>
      <c r="E95" s="2"/>
      <c r="F95" s="2" t="s">
        <v>52</v>
      </c>
      <c r="G95" s="2"/>
      <c r="H95" s="30">
        <f>H89/$C$1</f>
        <v>42978.96774</v>
      </c>
      <c r="I95" s="2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AK95" s="56"/>
    </row>
    <row r="96">
      <c r="A96" s="2"/>
      <c r="B96" s="2" t="s">
        <v>53</v>
      </c>
      <c r="C96" s="2"/>
      <c r="D96" s="30">
        <f>D94/$G$1*$C$1</f>
        <v>357438</v>
      </c>
      <c r="E96" s="2"/>
      <c r="F96" s="2" t="s">
        <v>53</v>
      </c>
      <c r="G96" s="2"/>
      <c r="H96" s="30">
        <f>H94/$G$1*$C$1</f>
        <v>1099783</v>
      </c>
      <c r="I96" s="2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AK96" s="56"/>
    </row>
    <row r="97">
      <c r="A97" s="2"/>
      <c r="B97" s="2" t="s">
        <v>54</v>
      </c>
      <c r="C97" s="2"/>
      <c r="D97" s="30" t="str">
        <f>(D94-D89)/($G$1-$C$1)</f>
        <v>#DIV/0!</v>
      </c>
      <c r="E97" s="2"/>
      <c r="F97" s="2" t="s">
        <v>54</v>
      </c>
      <c r="G97" s="2"/>
      <c r="H97" s="30" t="str">
        <f>(H94-H89)/($G$1-$C$1)</f>
        <v>#DIV/0!</v>
      </c>
      <c r="I97" s="2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AK97" s="56"/>
    </row>
    <row r="98">
      <c r="A98" s="2"/>
      <c r="B98" s="2" t="s">
        <v>89</v>
      </c>
      <c r="C98" s="2"/>
      <c r="D98" s="30">
        <f>D89-D96</f>
        <v>-15863</v>
      </c>
      <c r="E98" s="2"/>
      <c r="F98" s="2" t="s">
        <v>89</v>
      </c>
      <c r="G98" s="2"/>
      <c r="H98" s="30">
        <f>H89-H96</f>
        <v>232565</v>
      </c>
      <c r="I98" s="2"/>
      <c r="J98" s="2"/>
      <c r="K98" s="56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AK98" s="2"/>
    </row>
    <row r="99">
      <c r="A99" s="2"/>
      <c r="B99" s="2" t="s">
        <v>56</v>
      </c>
      <c r="C99" s="2"/>
      <c r="D99" s="30">
        <f>D89/$C$1*$G$1</f>
        <v>341575</v>
      </c>
      <c r="E99" s="2"/>
      <c r="F99" s="2" t="s">
        <v>56</v>
      </c>
      <c r="G99" s="2"/>
      <c r="H99" s="30">
        <f>H89/$C$1*$G$1</f>
        <v>1332348</v>
      </c>
      <c r="I99" s="2"/>
      <c r="J99" s="2"/>
      <c r="K99" s="56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AK99" s="2"/>
    </row>
    <row r="100">
      <c r="A100" s="2"/>
      <c r="B100" s="66" t="s">
        <v>57</v>
      </c>
      <c r="C100" s="66"/>
      <c r="D100" s="67">
        <f>D99/D94</f>
        <v>0.9556202754</v>
      </c>
      <c r="E100" s="2"/>
      <c r="F100" s="66" t="s">
        <v>57</v>
      </c>
      <c r="G100" s="66"/>
      <c r="H100" s="67">
        <f>H99/H94</f>
        <v>1.211464443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AK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AK101" s="2"/>
    </row>
    <row r="102">
      <c r="A102" s="2"/>
      <c r="B102" s="26" t="s">
        <v>91</v>
      </c>
      <c r="C102" s="17"/>
      <c r="D102" s="17"/>
      <c r="E102" s="17"/>
      <c r="F102" s="17"/>
      <c r="G102" s="17"/>
      <c r="H102" s="18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AK102" s="2"/>
    </row>
    <row r="103">
      <c r="A103" s="2"/>
      <c r="B103" s="70" t="str">
        <f>B82</f>
        <v>Разница от плана</v>
      </c>
      <c r="C103" s="17"/>
      <c r="D103" s="28">
        <f>$D$4</f>
        <v>46107</v>
      </c>
      <c r="E103" s="2"/>
      <c r="F103" s="70" t="str">
        <f>F82</f>
        <v>Разница от плана</v>
      </c>
      <c r="G103" s="17"/>
      <c r="H103" s="28">
        <f>$D$4</f>
        <v>46107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"/>
    </row>
    <row r="104">
      <c r="A104" s="2"/>
      <c r="B104" s="106" t="s">
        <v>90</v>
      </c>
      <c r="C104" s="109"/>
      <c r="D104" s="111"/>
      <c r="E104" s="2"/>
      <c r="F104" s="106" t="s">
        <v>90</v>
      </c>
      <c r="G104" s="109"/>
      <c r="H104" s="111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AI104" s="24"/>
      <c r="AJ104" s="24"/>
      <c r="AK104" s="2"/>
    </row>
    <row r="105">
      <c r="A105" s="2"/>
      <c r="B105" s="41" t="s">
        <v>43</v>
      </c>
      <c r="C105" s="2"/>
      <c r="D105" s="54">
        <f>W35</f>
        <v>4715.92</v>
      </c>
      <c r="E105" s="2"/>
      <c r="F105" s="41" t="s">
        <v>43</v>
      </c>
      <c r="G105" s="2"/>
      <c r="H105" s="54">
        <f>X35</f>
        <v>36021.18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AI105" s="24"/>
      <c r="AJ105" s="24"/>
      <c r="AK105" s="2"/>
    </row>
    <row r="106">
      <c r="A106" s="2"/>
      <c r="B106" s="41" t="s">
        <v>44</v>
      </c>
      <c r="C106" s="2"/>
      <c r="D106" s="57">
        <f>C104/D105</f>
        <v>0</v>
      </c>
      <c r="E106" s="2"/>
      <c r="F106" s="41" t="s">
        <v>44</v>
      </c>
      <c r="G106" s="2"/>
      <c r="H106" s="57">
        <f>G104/H105</f>
        <v>0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AI106" s="5"/>
      <c r="AJ106" s="24"/>
      <c r="AK106" s="2"/>
    </row>
    <row r="107">
      <c r="A107" s="2"/>
      <c r="B107" s="41" t="s">
        <v>47</v>
      </c>
      <c r="C107" s="35">
        <v>0.15</v>
      </c>
      <c r="D107" s="54">
        <f>D105*C107</f>
        <v>707.388</v>
      </c>
      <c r="E107" s="2"/>
      <c r="F107" s="41" t="s">
        <v>47</v>
      </c>
      <c r="G107" s="35">
        <v>0.15</v>
      </c>
      <c r="H107" s="54">
        <f>H105*G107</f>
        <v>5403.177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AI107" s="5"/>
      <c r="AJ107" s="24"/>
      <c r="AK107" s="2"/>
    </row>
    <row r="108">
      <c r="A108" s="2"/>
      <c r="B108" s="77" t="s">
        <v>50</v>
      </c>
      <c r="C108" s="61"/>
      <c r="D108" s="62">
        <f>C104-D107</f>
        <v>-707.388</v>
      </c>
      <c r="E108" s="2"/>
      <c r="F108" s="77" t="s">
        <v>50</v>
      </c>
      <c r="G108" s="61"/>
      <c r="H108" s="62">
        <f>G104-H107</f>
        <v>-5403.177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AI108" s="5"/>
      <c r="AJ108" s="24"/>
      <c r="AK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AI109" s="5"/>
      <c r="AJ109" s="24"/>
      <c r="AK109" s="2"/>
    </row>
    <row r="110">
      <c r="A110" s="2"/>
      <c r="B110" s="58" t="s">
        <v>51</v>
      </c>
      <c r="C110" s="2"/>
      <c r="D110" s="65">
        <v>0.0</v>
      </c>
      <c r="E110" s="2"/>
      <c r="F110" s="58" t="s">
        <v>51</v>
      </c>
      <c r="G110" s="2"/>
      <c r="H110" s="65">
        <v>0.0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AI110" s="5"/>
      <c r="AJ110" s="24"/>
      <c r="AK110" s="2"/>
    </row>
    <row r="111">
      <c r="A111" s="2"/>
      <c r="B111" s="2" t="s">
        <v>52</v>
      </c>
      <c r="C111" s="2"/>
      <c r="D111" s="30">
        <f>D105/$C$1</f>
        <v>152.1264516</v>
      </c>
      <c r="E111" s="2"/>
      <c r="F111" s="2" t="s">
        <v>52</v>
      </c>
      <c r="G111" s="2"/>
      <c r="H111" s="30">
        <f>H105/$C$1</f>
        <v>1161.973548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AI111" s="46"/>
      <c r="AJ111" s="46"/>
      <c r="AK111" s="2"/>
    </row>
    <row r="112">
      <c r="A112" s="2"/>
      <c r="B112" s="2" t="s">
        <v>53</v>
      </c>
      <c r="C112" s="2"/>
      <c r="D112" s="30">
        <f>D110/$G$1*$C$1</f>
        <v>0</v>
      </c>
      <c r="E112" s="2"/>
      <c r="F112" s="2" t="s">
        <v>53</v>
      </c>
      <c r="G112" s="2"/>
      <c r="H112" s="30">
        <f>H110/$G$1*$C$1</f>
        <v>0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AI112" s="46"/>
      <c r="AJ112" s="46"/>
      <c r="AK112" s="2"/>
    </row>
    <row r="113">
      <c r="A113" s="2"/>
      <c r="B113" s="2" t="s">
        <v>54</v>
      </c>
      <c r="C113" s="2"/>
      <c r="D113" s="30" t="str">
        <f>(D110-D105)/($G$1-$C$1)</f>
        <v>#DIV/0!</v>
      </c>
      <c r="E113" s="2"/>
      <c r="F113" s="2" t="s">
        <v>54</v>
      </c>
      <c r="G113" s="2"/>
      <c r="H113" s="30" t="str">
        <f>(H110-H105)/($G$1-$C$1)</f>
        <v>#DIV/0!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AI113" s="46"/>
      <c r="AJ113" s="46"/>
      <c r="AK113" s="2"/>
    </row>
    <row r="114">
      <c r="A114" s="2"/>
      <c r="B114" s="2" t="s">
        <v>89</v>
      </c>
      <c r="C114" s="2"/>
      <c r="D114" s="30">
        <f>D105-D112</f>
        <v>4715.92</v>
      </c>
      <c r="E114" s="2"/>
      <c r="F114" s="2" t="s">
        <v>89</v>
      </c>
      <c r="G114" s="2"/>
      <c r="H114" s="30">
        <f>H105-H112</f>
        <v>36021.18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AI114" s="46"/>
      <c r="AJ114" s="46"/>
      <c r="AK114" s="2"/>
    </row>
    <row r="115">
      <c r="A115" s="2"/>
      <c r="B115" s="2" t="s">
        <v>56</v>
      </c>
      <c r="C115" s="2"/>
      <c r="D115" s="30">
        <f>D105/$C$1*$G$1</f>
        <v>4715.92</v>
      </c>
      <c r="E115" s="2"/>
      <c r="F115" s="2" t="s">
        <v>56</v>
      </c>
      <c r="G115" s="2"/>
      <c r="H115" s="30">
        <f>H105/$C$1*$G$1</f>
        <v>36021.18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AI115" s="5"/>
      <c r="AJ115" s="5"/>
      <c r="AK115" s="2"/>
    </row>
    <row r="116">
      <c r="A116" s="2"/>
      <c r="B116" s="66" t="s">
        <v>57</v>
      </c>
      <c r="C116" s="66"/>
      <c r="D116" s="67" t="str">
        <f>D115/D110</f>
        <v>#DIV/0!</v>
      </c>
      <c r="E116" s="2"/>
      <c r="F116" s="66" t="s">
        <v>57</v>
      </c>
      <c r="G116" s="66"/>
      <c r="H116" s="67" t="str">
        <f>H115/H110</f>
        <v>#DIV/0!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46"/>
      <c r="AA116" s="46"/>
      <c r="AB116" s="46"/>
      <c r="AC116" s="46"/>
      <c r="AD116" s="46"/>
      <c r="AE116" s="46"/>
      <c r="AF116" s="46"/>
      <c r="AG116" s="46"/>
      <c r="AH116" s="46"/>
      <c r="AI116" s="55"/>
      <c r="AJ116" s="55"/>
      <c r="AK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AI117" s="5"/>
      <c r="AJ117" s="5"/>
      <c r="AK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AI118" s="5"/>
      <c r="AJ118" s="5"/>
      <c r="AK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AI119" s="55"/>
      <c r="AJ119" s="55"/>
      <c r="AK119" s="2"/>
    </row>
    <row r="120">
      <c r="A120" s="2"/>
      <c r="B120" s="26" t="s">
        <v>92</v>
      </c>
      <c r="C120" s="18"/>
      <c r="D120" s="2"/>
      <c r="E120" s="26" t="s">
        <v>51</v>
      </c>
      <c r="F120" s="18"/>
      <c r="G120" s="2"/>
      <c r="H120" s="112" t="s">
        <v>93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AI120" s="55"/>
      <c r="AJ120" s="55"/>
      <c r="AK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AI121" s="55"/>
      <c r="AJ121" s="55"/>
      <c r="AK121" s="2"/>
    </row>
    <row r="122">
      <c r="A122" s="2"/>
      <c r="B122" s="26" t="s">
        <v>94</v>
      </c>
      <c r="C122" s="18"/>
      <c r="D122" s="2"/>
      <c r="E122" s="70" t="str">
        <f>B122</f>
        <v>Выручка по маркетплейсам</v>
      </c>
      <c r="F122" s="18"/>
      <c r="G122" s="2"/>
      <c r="H122" s="112" t="s">
        <v>93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AI122" s="55"/>
      <c r="AJ122" s="55"/>
      <c r="AK122" s="2"/>
    </row>
    <row r="123">
      <c r="A123" s="2"/>
      <c r="B123" s="2" t="s">
        <v>95</v>
      </c>
      <c r="C123" s="30">
        <f>SUM(D16, H16)</f>
        <v>182942587.5</v>
      </c>
      <c r="D123" s="2"/>
      <c r="E123" s="2" t="s">
        <v>96</v>
      </c>
      <c r="F123" s="30">
        <f>SUM(D23, H23)</f>
        <v>142293370.7</v>
      </c>
      <c r="G123" s="2"/>
      <c r="H123" s="113">
        <f t="shared" ref="H123:H126" si="75">C123/F123</f>
        <v>1.285671895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AI123" s="55"/>
      <c r="AJ123" s="55"/>
      <c r="AK123" s="2"/>
    </row>
    <row r="124">
      <c r="A124" s="2"/>
      <c r="B124" s="2" t="s">
        <v>97</v>
      </c>
      <c r="C124" s="30">
        <f>SUM(D34, H34)</f>
        <v>224516324</v>
      </c>
      <c r="D124" s="2"/>
      <c r="E124" s="2" t="s">
        <v>98</v>
      </c>
      <c r="F124" s="30">
        <f>SUM(D41, H41)</f>
        <v>227617647</v>
      </c>
      <c r="G124" s="2"/>
      <c r="H124" s="113">
        <f t="shared" si="75"/>
        <v>0.986374857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AI124" s="46"/>
      <c r="AJ124" s="46"/>
      <c r="AK124" s="2"/>
    </row>
    <row r="125">
      <c r="A125" s="2"/>
      <c r="B125" s="2" t="s">
        <v>99</v>
      </c>
      <c r="C125" s="30">
        <f>SUM(D73, H73)</f>
        <v>7219756</v>
      </c>
      <c r="D125" s="2"/>
      <c r="E125" s="2" t="s">
        <v>100</v>
      </c>
      <c r="F125" s="30">
        <f>SUM(D80,H80)</f>
        <v>6947148</v>
      </c>
      <c r="G125" s="2"/>
      <c r="H125" s="113">
        <f t="shared" si="75"/>
        <v>1.039240275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AI125" s="46"/>
      <c r="AJ125" s="46"/>
      <c r="AK125" s="2"/>
    </row>
    <row r="126">
      <c r="A126" s="2"/>
      <c r="B126" s="2" t="s">
        <v>101</v>
      </c>
      <c r="C126" s="30">
        <f>SUM(D89,H89)</f>
        <v>1673923</v>
      </c>
      <c r="D126" s="2"/>
      <c r="E126" s="2" t="s">
        <v>102</v>
      </c>
      <c r="F126" s="30">
        <f>SUM(H96,D96)</f>
        <v>1457221</v>
      </c>
      <c r="G126" s="2"/>
      <c r="H126" s="113">
        <f t="shared" si="75"/>
        <v>1.148709084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AI126" s="46"/>
      <c r="AJ126" s="46"/>
      <c r="AK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AI127" s="46"/>
      <c r="AJ127" s="46"/>
      <c r="AK127" s="2"/>
    </row>
    <row r="128">
      <c r="A128" s="2"/>
      <c r="B128" s="26" t="s">
        <v>103</v>
      </c>
      <c r="C128" s="18"/>
      <c r="D128" s="2"/>
      <c r="E128" s="70" t="str">
        <f>B128</f>
        <v>Выручка по направлениям</v>
      </c>
      <c r="F128" s="18"/>
      <c r="G128" s="2"/>
      <c r="H128" s="112" t="s">
        <v>93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AI128" s="55"/>
      <c r="AJ128" s="24"/>
      <c r="AK128" s="2"/>
    </row>
    <row r="129">
      <c r="A129" s="2"/>
      <c r="B129" s="4" t="s">
        <v>104</v>
      </c>
      <c r="C129" s="30">
        <f>SUM(D16, D34, D73)</f>
        <v>214312537</v>
      </c>
      <c r="D129" s="2"/>
      <c r="E129" s="2" t="s">
        <v>105</v>
      </c>
      <c r="F129" s="30">
        <f>SUM(D23, D41, D80)</f>
        <v>174191271</v>
      </c>
      <c r="G129" s="2"/>
      <c r="H129" s="113">
        <f t="shared" ref="H129:H130" si="76">C129/F129</f>
        <v>1.230328798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55"/>
      <c r="AA129" s="55"/>
      <c r="AB129" s="55"/>
      <c r="AC129" s="55"/>
      <c r="AD129" s="55"/>
      <c r="AE129" s="55"/>
      <c r="AF129" s="55"/>
      <c r="AG129" s="55"/>
      <c r="AH129" s="55"/>
      <c r="AI129" s="5"/>
      <c r="AJ129" s="5"/>
      <c r="AK129" s="2"/>
    </row>
    <row r="130">
      <c r="A130" s="2"/>
      <c r="B130" s="4" t="s">
        <v>106</v>
      </c>
      <c r="C130" s="30">
        <f>SUM(H16, H34, H73, H89)</f>
        <v>201698478.5</v>
      </c>
      <c r="D130" s="2"/>
      <c r="E130" s="2" t="s">
        <v>107</v>
      </c>
      <c r="F130" s="30">
        <f>SUM(H23, H41, H80, H96)</f>
        <v>203766677.7</v>
      </c>
      <c r="G130" s="2"/>
      <c r="H130" s="113">
        <f t="shared" si="76"/>
        <v>0.9898501599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AI130" s="5"/>
      <c r="AJ130" s="5"/>
      <c r="AK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AI131" s="5"/>
      <c r="AJ131" s="5"/>
      <c r="AK131" s="2"/>
    </row>
    <row r="132">
      <c r="A132" s="2"/>
      <c r="B132" s="26" t="s">
        <v>108</v>
      </c>
      <c r="C132" s="18"/>
      <c r="D132" s="2"/>
      <c r="E132" s="70" t="str">
        <f>B132</f>
        <v>Суммарная выручка</v>
      </c>
      <c r="F132" s="18"/>
      <c r="G132" s="2"/>
      <c r="H132" s="112" t="s">
        <v>93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AI132" s="5"/>
      <c r="AJ132" s="5"/>
      <c r="AK132" s="2"/>
    </row>
    <row r="133">
      <c r="A133" s="2"/>
      <c r="B133" s="2" t="s">
        <v>109</v>
      </c>
      <c r="C133" s="30">
        <f>SUM(C123:C126)</f>
        <v>416352590.5</v>
      </c>
      <c r="D133" s="2"/>
      <c r="E133" s="2" t="s">
        <v>110</v>
      </c>
      <c r="F133" s="30">
        <f>SUM(F123:F126)</f>
        <v>378315386.7</v>
      </c>
      <c r="G133" s="2"/>
      <c r="H133" s="113">
        <f t="shared" ref="H133:H134" si="77">C133/F133</f>
        <v>1.100543634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AI133" s="5"/>
      <c r="AJ133" s="5"/>
      <c r="AK133" s="2"/>
    </row>
    <row r="134">
      <c r="A134" s="2"/>
      <c r="B134" s="2" t="s">
        <v>111</v>
      </c>
      <c r="C134" s="30">
        <f>C133/$C$1*G1</f>
        <v>416352590.5</v>
      </c>
      <c r="D134" s="2"/>
      <c r="E134" s="2" t="s">
        <v>112</v>
      </c>
      <c r="F134" s="30">
        <f>SUM(D21, H21, D39, H39, D78, H78, D94, H94)</f>
        <v>378315386.7</v>
      </c>
      <c r="G134" s="2"/>
      <c r="H134" s="113">
        <f t="shared" si="77"/>
        <v>1.100543634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AI134" s="5"/>
      <c r="AJ134" s="5"/>
      <c r="AK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AI135" s="5"/>
      <c r="AJ135" s="5"/>
      <c r="AK135" s="2"/>
    </row>
    <row r="136">
      <c r="A136" s="2"/>
      <c r="B136" s="26" t="s">
        <v>113</v>
      </c>
      <c r="C136" s="17"/>
      <c r="D136" s="17"/>
      <c r="E136" s="17"/>
      <c r="F136" s="18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AI136" s="5"/>
      <c r="AJ136" s="5"/>
      <c r="AK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AI137" s="46"/>
      <c r="AJ137" s="46"/>
      <c r="AK137" s="2"/>
    </row>
    <row r="138">
      <c r="A138" s="2"/>
      <c r="B138" s="26" t="s">
        <v>114</v>
      </c>
      <c r="C138" s="18"/>
      <c r="D138" s="2"/>
      <c r="E138" s="70" t="str">
        <f>B138</f>
        <v>Доля Рекламных Расходов</v>
      </c>
      <c r="F138" s="18"/>
      <c r="G138" s="2"/>
      <c r="H138" s="112" t="s">
        <v>93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AI138" s="46"/>
      <c r="AJ138" s="46"/>
      <c r="AK138" s="2"/>
    </row>
    <row r="139">
      <c r="A139" s="2"/>
      <c r="B139" s="2" t="s">
        <v>18</v>
      </c>
      <c r="C139" s="35">
        <f>SUM(C15,G15)/SUM(D16,H16)</f>
        <v>0.1299647574</v>
      </c>
      <c r="D139" s="2"/>
      <c r="E139" s="2" t="s">
        <v>18</v>
      </c>
      <c r="F139" s="35">
        <f>(D21*C18+H21*G18)/SUM(D21, H21)</f>
        <v>0.1582178111</v>
      </c>
      <c r="G139" s="2"/>
      <c r="H139" s="35">
        <f t="shared" ref="H139:H142" si="78">C139/F139-1</f>
        <v>-0.1785706271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AI139" s="46"/>
      <c r="AJ139" s="46"/>
      <c r="AK139" s="2"/>
    </row>
    <row r="140">
      <c r="A140" s="2"/>
      <c r="B140" s="2" t="s">
        <v>115</v>
      </c>
      <c r="C140" s="35">
        <f>SUM(C33,G33)/SUM(D34,H34)</f>
        <v>0.04603229919</v>
      </c>
      <c r="D140" s="2"/>
      <c r="E140" s="2" t="s">
        <v>115</v>
      </c>
      <c r="F140" s="35">
        <f>(D39*C36+H39*G36)/SUM(D39, H39)</f>
        <v>0.07</v>
      </c>
      <c r="G140" s="2"/>
      <c r="H140" s="35">
        <f t="shared" si="78"/>
        <v>-0.3423957258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AI140" s="46"/>
      <c r="AJ140" s="46"/>
      <c r="AK140" s="2"/>
    </row>
    <row r="141">
      <c r="A141" s="2"/>
      <c r="B141" s="2" t="s">
        <v>31</v>
      </c>
      <c r="C141" s="35">
        <f>SUM(C72,G72)/SUM(D73,H73)</f>
        <v>0.1762904453</v>
      </c>
      <c r="D141" s="2"/>
      <c r="E141" s="2" t="s">
        <v>31</v>
      </c>
      <c r="F141" s="35">
        <f>(D78*C75+H78*G75)/SUM(D78, H78)</f>
        <v>0.176793328</v>
      </c>
      <c r="G141" s="2"/>
      <c r="H141" s="35">
        <f t="shared" si="78"/>
        <v>-0.002844466638</v>
      </c>
      <c r="I141" s="2"/>
      <c r="J141" s="2"/>
      <c r="K141" s="2"/>
      <c r="L141" s="2"/>
      <c r="M141" s="31"/>
      <c r="N141" s="31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AI141" s="5"/>
      <c r="AJ141" s="5"/>
      <c r="AK141" s="2"/>
    </row>
    <row r="142">
      <c r="A142" s="2"/>
      <c r="B142" s="2" t="s">
        <v>116</v>
      </c>
      <c r="C142" s="35">
        <f>SUM(C15, G15, C33, G33, C72, G72, C88, G88)/C133</f>
        <v>0.08498533793</v>
      </c>
      <c r="D142" s="2"/>
      <c r="E142" s="2" t="s">
        <v>116</v>
      </c>
      <c r="F142" s="35">
        <f>SUM(D16*C18, H16*G18, D34*C36, H34*G36, D73*C75, H73*G75, H89*G91, D89*C91)/C133</f>
        <v>0.1128412922</v>
      </c>
      <c r="G142" s="2"/>
      <c r="H142" s="35">
        <f t="shared" si="78"/>
        <v>-0.2468595826</v>
      </c>
      <c r="I142" s="67">
        <f>1+H142</f>
        <v>0.7531404174</v>
      </c>
      <c r="J142" s="2"/>
      <c r="K142" s="4"/>
      <c r="L142" s="2"/>
      <c r="M142" s="114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AK143" s="2"/>
    </row>
    <row r="144">
      <c r="A144" s="2"/>
      <c r="B144" s="26" t="s">
        <v>117</v>
      </c>
      <c r="C144" s="17"/>
      <c r="D144" s="17"/>
      <c r="E144" s="17"/>
      <c r="F144" s="18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AK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AK145" s="2"/>
    </row>
    <row r="146">
      <c r="A146" s="2"/>
      <c r="B146" s="26" t="s">
        <v>114</v>
      </c>
      <c r="C146" s="18"/>
      <c r="D146" s="2"/>
      <c r="E146" s="70" t="str">
        <f>B146</f>
        <v>Доля Рекламных Расходов</v>
      </c>
      <c r="F146" s="18"/>
      <c r="G146" s="2"/>
      <c r="H146" s="112" t="s">
        <v>93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AK146" s="2"/>
    </row>
    <row r="147">
      <c r="A147" s="2"/>
      <c r="B147" s="2" t="s">
        <v>18</v>
      </c>
      <c r="C147" s="35">
        <f>C139</f>
        <v>0.1299647574</v>
      </c>
      <c r="D147" s="2"/>
      <c r="E147" s="2" t="s">
        <v>18</v>
      </c>
      <c r="F147" s="35">
        <f t="shared" ref="F147:F150" si="79">F139</f>
        <v>0.1582178111</v>
      </c>
      <c r="G147" s="2"/>
      <c r="H147" s="35">
        <f t="shared" ref="H147:H150" si="80">C147/F147-1</f>
        <v>-0.1785706271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AK147" s="2"/>
    </row>
    <row r="148">
      <c r="A148" s="2"/>
      <c r="B148" s="2" t="s">
        <v>115</v>
      </c>
      <c r="C148" s="35">
        <f>SUM(C51,G51)/SUM(D52,H52)</f>
        <v>0.02888069288</v>
      </c>
      <c r="D148" s="2"/>
      <c r="E148" s="2" t="s">
        <v>115</v>
      </c>
      <c r="F148" s="35">
        <f t="shared" si="79"/>
        <v>0.07</v>
      </c>
      <c r="G148" s="2"/>
      <c r="H148" s="35">
        <f t="shared" si="80"/>
        <v>-0.5874186731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AK148" s="2"/>
    </row>
    <row r="149">
      <c r="A149" s="2"/>
      <c r="B149" s="2" t="s">
        <v>31</v>
      </c>
      <c r="C149" s="35">
        <f>C141</f>
        <v>0.1762904453</v>
      </c>
      <c r="D149" s="2"/>
      <c r="E149" s="2" t="s">
        <v>31</v>
      </c>
      <c r="F149" s="35">
        <f t="shared" si="79"/>
        <v>0.176793328</v>
      </c>
      <c r="G149" s="2"/>
      <c r="H149" s="35">
        <f t="shared" si="80"/>
        <v>-0.002844466638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AK149" s="2"/>
    </row>
    <row r="150">
      <c r="A150" s="2"/>
      <c r="B150" s="2" t="s">
        <v>116</v>
      </c>
      <c r="C150" s="35">
        <f>SUM(C15, G15, C51, G51, C72, G72, C88, G88)/C133</f>
        <v>0.0757364088</v>
      </c>
      <c r="D150" s="2"/>
      <c r="E150" s="2" t="s">
        <v>116</v>
      </c>
      <c r="F150" s="35">
        <f t="shared" si="79"/>
        <v>0.1128412922</v>
      </c>
      <c r="G150" s="2"/>
      <c r="H150" s="35">
        <f t="shared" si="80"/>
        <v>-0.3288236309</v>
      </c>
      <c r="I150" s="67">
        <f>1+H150</f>
        <v>0.6711763691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AK150" s="2"/>
    </row>
    <row r="151">
      <c r="A151" s="2"/>
      <c r="B151" s="2"/>
      <c r="C151" s="35"/>
      <c r="D151" s="2"/>
      <c r="E151" s="2"/>
      <c r="F151" s="35"/>
      <c r="G151" s="2"/>
      <c r="H151" s="35"/>
      <c r="I151" s="19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AK151" s="2"/>
    </row>
    <row r="152">
      <c r="A152" s="2"/>
      <c r="B152" s="26" t="s">
        <v>118</v>
      </c>
      <c r="C152" s="17"/>
      <c r="D152" s="17"/>
      <c r="E152" s="17"/>
      <c r="F152" s="18"/>
      <c r="G152" s="2"/>
      <c r="H152" s="35"/>
      <c r="I152" s="19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AK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AK153" s="2"/>
    </row>
    <row r="154">
      <c r="A154" s="2"/>
      <c r="B154" s="115" t="s">
        <v>119</v>
      </c>
      <c r="C154" s="18"/>
      <c r="D154" s="2"/>
      <c r="E154" s="26" t="s">
        <v>60</v>
      </c>
      <c r="F154" s="18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AK154" s="2"/>
    </row>
    <row r="155">
      <c r="A155" s="56">
        <f t="shared" ref="A155:A158" si="81">C155/$C$159</f>
        <v>0.6719471883</v>
      </c>
      <c r="B155" s="4" t="s">
        <v>18</v>
      </c>
      <c r="C155" s="58">
        <f>SUM(C15,G15)</f>
        <v>23776089</v>
      </c>
      <c r="D155" s="2"/>
      <c r="E155" s="4" t="s">
        <v>18</v>
      </c>
      <c r="F155" s="58">
        <f>SUM(C15,G15)</f>
        <v>23776089</v>
      </c>
      <c r="G155" s="56">
        <f t="shared" ref="G155:G158" si="82">F155/$F$159</f>
        <v>0.754005369</v>
      </c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AK155" s="2"/>
    </row>
    <row r="156">
      <c r="A156" s="56">
        <f t="shared" si="81"/>
        <v>0.2920823495</v>
      </c>
      <c r="B156" s="4" t="s">
        <v>115</v>
      </c>
      <c r="C156" s="58">
        <f>SUM(C33,G33)</f>
        <v>10335002.6</v>
      </c>
      <c r="D156" s="2"/>
      <c r="E156" s="4" t="s">
        <v>115</v>
      </c>
      <c r="F156" s="58">
        <f>SUM(C51,G51)</f>
        <v>6484187</v>
      </c>
      <c r="G156" s="56">
        <f t="shared" si="82"/>
        <v>0.2056314565</v>
      </c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AK156" s="2"/>
    </row>
    <row r="157">
      <c r="A157" s="56">
        <f t="shared" si="81"/>
        <v>0.0359704622</v>
      </c>
      <c r="B157" s="4" t="s">
        <v>31</v>
      </c>
      <c r="C157" s="58">
        <f>SUM(C72,G72)</f>
        <v>1272774</v>
      </c>
      <c r="D157" s="2"/>
      <c r="E157" s="4" t="s">
        <v>31</v>
      </c>
      <c r="F157" s="58">
        <f>SUM(C72,G72)</f>
        <v>1272774</v>
      </c>
      <c r="G157" s="56">
        <f t="shared" si="82"/>
        <v>0.04036317451</v>
      </c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56"/>
      <c r="AA157" s="56"/>
      <c r="AB157" s="56"/>
      <c r="AC157" s="56"/>
      <c r="AD157" s="56"/>
      <c r="AE157" s="56"/>
      <c r="AF157" s="56"/>
      <c r="AG157" s="56"/>
      <c r="AH157" s="56"/>
      <c r="AI157" s="56"/>
      <c r="AJ157" s="56"/>
      <c r="AK157" s="2"/>
    </row>
    <row r="158">
      <c r="A158" s="56">
        <f t="shared" si="81"/>
        <v>0</v>
      </c>
      <c r="B158" s="4" t="s">
        <v>34</v>
      </c>
      <c r="C158" s="58">
        <f>SUM(C88,G88)</f>
        <v>0</v>
      </c>
      <c r="D158" s="2"/>
      <c r="E158" s="4" t="s">
        <v>34</v>
      </c>
      <c r="F158" s="58">
        <f>SUM(C88,G88)</f>
        <v>0</v>
      </c>
      <c r="G158" s="56">
        <f t="shared" si="82"/>
        <v>0</v>
      </c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56"/>
      <c r="AA158" s="56"/>
      <c r="AB158" s="56"/>
      <c r="AC158" s="56"/>
      <c r="AD158" s="56"/>
      <c r="AE158" s="56"/>
      <c r="AF158" s="56"/>
      <c r="AG158" s="56"/>
      <c r="AH158" s="56"/>
      <c r="AI158" s="56"/>
      <c r="AJ158" s="56"/>
      <c r="AK158" s="2"/>
    </row>
    <row r="159">
      <c r="A159" s="2"/>
      <c r="B159" s="20" t="s">
        <v>120</v>
      </c>
      <c r="C159" s="75">
        <f>SUM(C155:C158)</f>
        <v>35383865.6</v>
      </c>
      <c r="D159" s="2"/>
      <c r="E159" s="20" t="s">
        <v>120</v>
      </c>
      <c r="F159" s="75">
        <f>SUM(F155:F158)</f>
        <v>31533050</v>
      </c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</row>
    <row r="161">
      <c r="A161" s="2"/>
      <c r="B161" s="26" t="s">
        <v>121</v>
      </c>
      <c r="C161" s="17"/>
      <c r="D161" s="17"/>
      <c r="E161" s="17"/>
      <c r="F161" s="18"/>
      <c r="G161" s="2"/>
      <c r="H161" s="35"/>
      <c r="I161" s="19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</row>
    <row r="163">
      <c r="A163" s="2"/>
      <c r="B163" s="115" t="s">
        <v>119</v>
      </c>
      <c r="C163" s="18"/>
      <c r="D163" s="2"/>
      <c r="E163" s="26" t="s">
        <v>60</v>
      </c>
      <c r="F163" s="18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</row>
    <row r="164">
      <c r="A164" s="56">
        <f t="shared" ref="A164:A165" si="83">C164/$C$166</f>
        <v>0.5277250036</v>
      </c>
      <c r="B164" s="4" t="s">
        <v>19</v>
      </c>
      <c r="C164" s="58">
        <f>SUM(C15,C33,C72,C88)</f>
        <v>18672950.6</v>
      </c>
      <c r="D164" s="2"/>
      <c r="E164" s="4" t="s">
        <v>19</v>
      </c>
      <c r="F164" s="58">
        <f>SUM(C15,C51,C72,C88)</f>
        <v>15967698</v>
      </c>
      <c r="G164" s="56">
        <f t="shared" ref="G164:G165" si="84">F164/$F$166</f>
        <v>0.5063797508</v>
      </c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</row>
    <row r="165">
      <c r="A165" s="56">
        <f t="shared" si="83"/>
        <v>0.4722749964</v>
      </c>
      <c r="B165" s="4" t="s">
        <v>122</v>
      </c>
      <c r="C165" s="58">
        <f>SUM(G15,G33,G72,G88)</f>
        <v>16710915</v>
      </c>
      <c r="D165" s="2"/>
      <c r="E165" s="4" t="s">
        <v>122</v>
      </c>
      <c r="F165" s="58">
        <f>SUM(G15,G51,G72,G88)</f>
        <v>15565352</v>
      </c>
      <c r="G165" s="56">
        <f t="shared" si="84"/>
        <v>0.4936202492</v>
      </c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</row>
    <row r="166">
      <c r="A166" s="2"/>
      <c r="B166" s="20" t="s">
        <v>120</v>
      </c>
      <c r="C166" s="75">
        <f>SUM(C164:C165)</f>
        <v>35383865.6</v>
      </c>
      <c r="D166" s="2"/>
      <c r="E166" s="20" t="s">
        <v>120</v>
      </c>
      <c r="F166" s="75">
        <f>SUM(F164:F165)</f>
        <v>31533050</v>
      </c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</row>
    <row r="169">
      <c r="A169" s="46"/>
      <c r="B169" s="46"/>
      <c r="C169" s="46"/>
      <c r="D169" s="46"/>
      <c r="E169" s="46"/>
      <c r="F169" s="46"/>
      <c r="G169" s="46"/>
      <c r="H169" s="46"/>
      <c r="I169" s="46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</row>
  </sheetData>
  <mergeCells count="112">
    <mergeCell ref="M2:N2"/>
    <mergeCell ref="O2:P2"/>
    <mergeCell ref="Q2:R2"/>
    <mergeCell ref="S2:T2"/>
    <mergeCell ref="U2:V2"/>
    <mergeCell ref="W2:X2"/>
    <mergeCell ref="Z3:Z4"/>
    <mergeCell ref="Z5:Z6"/>
    <mergeCell ref="Z7:Z8"/>
    <mergeCell ref="Z9:Z10"/>
    <mergeCell ref="Z11:Z12"/>
    <mergeCell ref="Z13:Z14"/>
    <mergeCell ref="AB17:AD17"/>
    <mergeCell ref="AF17:AH17"/>
    <mergeCell ref="Z19:Z20"/>
    <mergeCell ref="Z21:Z22"/>
    <mergeCell ref="Z23:Z24"/>
    <mergeCell ref="Z25:Z26"/>
    <mergeCell ref="Z27:Z28"/>
    <mergeCell ref="Z29:Z30"/>
    <mergeCell ref="Z33:AA33"/>
    <mergeCell ref="U38:V38"/>
    <mergeCell ref="W38:X38"/>
    <mergeCell ref="Z38:Z39"/>
    <mergeCell ref="Z40:Z41"/>
    <mergeCell ref="Z42:Z43"/>
    <mergeCell ref="Z44:Z45"/>
    <mergeCell ref="Z34:Z35"/>
    <mergeCell ref="Z36:Z37"/>
    <mergeCell ref="K38:L38"/>
    <mergeCell ref="M38:N38"/>
    <mergeCell ref="O38:P38"/>
    <mergeCell ref="Q38:R38"/>
    <mergeCell ref="S38:T38"/>
    <mergeCell ref="B3:H3"/>
    <mergeCell ref="B4:C4"/>
    <mergeCell ref="F4:G4"/>
    <mergeCell ref="B29:H29"/>
    <mergeCell ref="B30:C30"/>
    <mergeCell ref="F30:G30"/>
    <mergeCell ref="B47:H47"/>
    <mergeCell ref="B48:C48"/>
    <mergeCell ref="F48:G48"/>
    <mergeCell ref="K48:L48"/>
    <mergeCell ref="M48:N48"/>
    <mergeCell ref="O48:P48"/>
    <mergeCell ref="Q48:R48"/>
    <mergeCell ref="S48:T48"/>
    <mergeCell ref="B103:C103"/>
    <mergeCell ref="B120:C120"/>
    <mergeCell ref="E120:F120"/>
    <mergeCell ref="B122:C122"/>
    <mergeCell ref="E122:F122"/>
    <mergeCell ref="B128:C128"/>
    <mergeCell ref="E128:F128"/>
    <mergeCell ref="E146:F146"/>
    <mergeCell ref="B152:F152"/>
    <mergeCell ref="B154:C154"/>
    <mergeCell ref="E154:F154"/>
    <mergeCell ref="B161:F161"/>
    <mergeCell ref="B163:C163"/>
    <mergeCell ref="E163:F163"/>
    <mergeCell ref="B132:C132"/>
    <mergeCell ref="E132:F132"/>
    <mergeCell ref="B136:F136"/>
    <mergeCell ref="B138:C138"/>
    <mergeCell ref="E138:F138"/>
    <mergeCell ref="B144:F144"/>
    <mergeCell ref="B146:C146"/>
    <mergeCell ref="Q50:R50"/>
    <mergeCell ref="S50:T50"/>
    <mergeCell ref="B65:H65"/>
    <mergeCell ref="B66:C66"/>
    <mergeCell ref="F66:G66"/>
    <mergeCell ref="U48:V48"/>
    <mergeCell ref="W48:X48"/>
    <mergeCell ref="Z48:AA48"/>
    <mergeCell ref="Z49:Z50"/>
    <mergeCell ref="K50:L50"/>
    <mergeCell ref="M50:N50"/>
    <mergeCell ref="O50:P50"/>
    <mergeCell ref="U50:V50"/>
    <mergeCell ref="W50:X50"/>
    <mergeCell ref="Z51:Z52"/>
    <mergeCell ref="Z53:Z54"/>
    <mergeCell ref="Z55:Z56"/>
    <mergeCell ref="Z57:Z58"/>
    <mergeCell ref="Z59:Z60"/>
    <mergeCell ref="AF79:AG79"/>
    <mergeCell ref="AF80:AF81"/>
    <mergeCell ref="AF82:AF83"/>
    <mergeCell ref="AF84:AF85"/>
    <mergeCell ref="AF86:AF87"/>
    <mergeCell ref="AF88:AF89"/>
    <mergeCell ref="AF90:AF91"/>
    <mergeCell ref="Z86:Z87"/>
    <mergeCell ref="Z88:Z89"/>
    <mergeCell ref="Z90:Z91"/>
    <mergeCell ref="Z64:Z65"/>
    <mergeCell ref="Z66:Z67"/>
    <mergeCell ref="Z68:Z69"/>
    <mergeCell ref="Z70:Z71"/>
    <mergeCell ref="Z72:Z73"/>
    <mergeCell ref="Z74:Z75"/>
    <mergeCell ref="Z80:Z81"/>
    <mergeCell ref="Z82:Z83"/>
    <mergeCell ref="Z84:Z85"/>
    <mergeCell ref="B86:H86"/>
    <mergeCell ref="B87:C87"/>
    <mergeCell ref="F87:G87"/>
    <mergeCell ref="B102:H102"/>
    <mergeCell ref="F103:G103"/>
  </mergeCells>
  <conditionalFormatting sqref="D19 H19 AH34:AH78 D37 H37 D55 H55 D76 H76 AJ80:AJ92 D92 H92 AJ94 D108 H108">
    <cfRule type="cellIs" dxfId="0" priority="1" operator="lessThan">
      <formula>0</formula>
    </cfRule>
  </conditionalFormatting>
  <conditionalFormatting sqref="D19 H19 AH34:AH78 D37 H37 D55 H55 D76 H76 AJ80:AJ92 D92 H92 AJ94 D108 H108">
    <cfRule type="cellIs" dxfId="1" priority="2" operator="greaterThan">
      <formula>0</formula>
    </cfRule>
  </conditionalFormatting>
  <conditionalFormatting sqref="D25 H25 D43 H43 D61 H61 AD80:AD92 D82 H82 AD94 D98 H98 D114 H114">
    <cfRule type="cellIs" dxfId="0" priority="3" operator="greaterThan">
      <formula>0</formula>
    </cfRule>
  </conditionalFormatting>
  <conditionalFormatting sqref="D25 H25 D43 H43 D61 H61 AD80:AD92 D82 H82 AD94 D98 H98 D114 H114">
    <cfRule type="cellIs" dxfId="1" priority="4" operator="lessThan">
      <formula>0</formula>
    </cfRule>
  </conditionalFormatting>
  <conditionalFormatting sqref="AD19:AD33 AH19:AH33 D27 H27 D45 H45 D63 H63 D84 H84 D100 H100 D116 H116">
    <cfRule type="cellIs" dxfId="0" priority="5" operator="greaterThan">
      <formula>1</formula>
    </cfRule>
  </conditionalFormatting>
  <conditionalFormatting sqref="AD19:AD33 AH19:AH33 D27 H27 D45 H45 D63 H63 D84 H84 D100 H100 D116 H116">
    <cfRule type="cellIs" dxfId="1" priority="6" operator="lessThan">
      <formula>1</formula>
    </cfRule>
  </conditionalFormatting>
  <conditionalFormatting sqref="H101 H104:H128">
    <cfRule type="cellIs" dxfId="0" priority="7" operator="greaterThan">
      <formula>1</formula>
    </cfRule>
  </conditionalFormatting>
  <conditionalFormatting sqref="H101 H104:H128">
    <cfRule type="cellIs" dxfId="1" priority="8" operator="lessThan">
      <formula>1</formula>
    </cfRule>
  </conditionalFormatting>
  <conditionalFormatting sqref="H125:H136">
    <cfRule type="cellIs" dxfId="0" priority="9" operator="greaterThan">
      <formula>1</formula>
    </cfRule>
  </conditionalFormatting>
  <conditionalFormatting sqref="H125:H136">
    <cfRule type="cellIs" dxfId="1" priority="10" operator="lessThan">
      <formula>1</formula>
    </cfRule>
  </conditionalFormatting>
  <conditionalFormatting sqref="H135:H154 H157:H159 H161:H163">
    <cfRule type="cellIs" dxfId="0" priority="11" operator="lessThan">
      <formula>1</formula>
    </cfRule>
  </conditionalFormatting>
  <conditionalFormatting sqref="H135:H154 H157:H159 H161:H163">
    <cfRule type="cellIs" dxfId="1" priority="12" operator="greaterThan">
      <formula>1</formula>
    </cfRule>
  </conditionalFormatting>
  <conditionalFormatting sqref="L47 M47:X51 L49">
    <cfRule type="cellIs" dxfId="0" priority="13" operator="greaterThan">
      <formula>0</formula>
    </cfRule>
  </conditionalFormatting>
  <conditionalFormatting sqref="L47 M47:X51 L49">
    <cfRule type="cellIs" dxfId="1" priority="14" operator="lessThan">
      <formula>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5"/>
    <col customWidth="1" min="3" max="4" width="15.63"/>
    <col customWidth="1" min="5" max="5" width="23.0"/>
    <col customWidth="1" min="6" max="6" width="23.5"/>
    <col customWidth="1" min="7" max="8" width="15.63"/>
    <col customWidth="1" min="11" max="11" width="28.88"/>
    <col customWidth="1" min="12" max="12" width="16.38"/>
    <col customWidth="1" min="13" max="24" width="16.25"/>
    <col customWidth="1" min="26" max="26" width="14.88"/>
    <col customWidth="1" min="27" max="27" width="12.13"/>
    <col customWidth="1" min="28" max="29" width="16.5"/>
    <col customWidth="1" min="30" max="30" width="15.38"/>
    <col customWidth="1" min="32" max="32" width="17.13"/>
    <col customWidth="1" min="36" max="36" width="15.25"/>
  </cols>
  <sheetData>
    <row r="1">
      <c r="A1" s="1">
        <v>3.0</v>
      </c>
      <c r="B1" s="2" t="s">
        <v>0</v>
      </c>
      <c r="C1" s="3">
        <v>30.0</v>
      </c>
      <c r="D1" s="2"/>
      <c r="E1" s="2"/>
      <c r="F1" s="2" t="s">
        <v>1</v>
      </c>
      <c r="G1" s="3">
        <v>30.0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4"/>
      <c r="T1" s="4"/>
      <c r="U1" s="2"/>
      <c r="V1" s="2"/>
      <c r="W1" s="2"/>
      <c r="X1" s="2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</row>
    <row r="2">
      <c r="A2" s="2" t="s">
        <v>2</v>
      </c>
      <c r="B2" s="6">
        <v>45991.0</v>
      </c>
      <c r="C2" s="2"/>
      <c r="D2" s="2"/>
      <c r="E2" s="2"/>
      <c r="F2" s="2"/>
      <c r="G2" s="2"/>
      <c r="H2" s="2"/>
      <c r="I2" s="2"/>
      <c r="J2" s="2"/>
      <c r="K2" s="2"/>
      <c r="L2" s="2"/>
      <c r="M2" s="7" t="s">
        <v>3</v>
      </c>
      <c r="O2" s="8" t="s">
        <v>4</v>
      </c>
      <c r="Q2" s="9" t="s">
        <v>5</v>
      </c>
      <c r="S2" s="10" t="s">
        <v>6</v>
      </c>
      <c r="U2" s="11" t="s">
        <v>7</v>
      </c>
      <c r="W2" s="12" t="s">
        <v>8</v>
      </c>
      <c r="Y2" s="5"/>
      <c r="Z2" s="5"/>
      <c r="AA2" s="5"/>
      <c r="AB2" s="123" t="s">
        <v>133</v>
      </c>
      <c r="AC2" s="15" t="s">
        <v>11</v>
      </c>
      <c r="AD2" s="14" t="s">
        <v>12</v>
      </c>
      <c r="AE2" s="5"/>
      <c r="AF2" s="14" t="s">
        <v>13</v>
      </c>
      <c r="AG2" s="14" t="s">
        <v>14</v>
      </c>
      <c r="AH2" s="14" t="s">
        <v>15</v>
      </c>
      <c r="AI2" s="14" t="s">
        <v>16</v>
      </c>
      <c r="AJ2" s="14" t="s">
        <v>17</v>
      </c>
      <c r="AK2" s="5"/>
    </row>
    <row r="3">
      <c r="A3" s="2"/>
      <c r="B3" s="16" t="s">
        <v>18</v>
      </c>
      <c r="C3" s="17"/>
      <c r="D3" s="17"/>
      <c r="E3" s="17"/>
      <c r="F3" s="17"/>
      <c r="G3" s="17"/>
      <c r="H3" s="18"/>
      <c r="I3" s="2"/>
      <c r="J3" s="2"/>
      <c r="K3" s="2"/>
      <c r="L3" s="2"/>
      <c r="M3" s="19" t="s">
        <v>19</v>
      </c>
      <c r="N3" s="19" t="s">
        <v>20</v>
      </c>
      <c r="O3" s="19" t="s">
        <v>19</v>
      </c>
      <c r="P3" s="19" t="s">
        <v>20</v>
      </c>
      <c r="Q3" s="19" t="s">
        <v>19</v>
      </c>
      <c r="R3" s="19" t="s">
        <v>20</v>
      </c>
      <c r="S3" s="19" t="s">
        <v>19</v>
      </c>
      <c r="T3" s="19" t="s">
        <v>20</v>
      </c>
      <c r="U3" s="19" t="s">
        <v>19</v>
      </c>
      <c r="V3" s="19" t="s">
        <v>20</v>
      </c>
      <c r="W3" s="19" t="s">
        <v>19</v>
      </c>
      <c r="X3" s="19" t="s">
        <v>20</v>
      </c>
      <c r="Y3" s="5"/>
      <c r="Z3" s="21" t="s">
        <v>24</v>
      </c>
      <c r="AA3" s="22" t="s">
        <v>19</v>
      </c>
      <c r="AB3" s="23">
        <f>D39</f>
        <v>73239180</v>
      </c>
      <c r="AC3" s="24"/>
      <c r="AD3" s="25">
        <f t="shared" ref="AD3:AD14" si="1">AB3-AC3</f>
        <v>73239180</v>
      </c>
      <c r="AE3" s="24"/>
      <c r="AF3" s="23">
        <f>O35</f>
        <v>103370590</v>
      </c>
      <c r="AG3" s="24"/>
      <c r="AH3" s="23">
        <f>6763+187228</f>
        <v>193991</v>
      </c>
      <c r="AI3" s="24"/>
      <c r="AJ3" s="23">
        <f t="shared" ref="AJ3:AJ14" si="2">AF3-SUM(AG3:AI3)</f>
        <v>103176599</v>
      </c>
      <c r="AK3" s="5"/>
    </row>
    <row r="4">
      <c r="A4" s="2"/>
      <c r="B4" s="26" t="s">
        <v>130</v>
      </c>
      <c r="C4" s="17"/>
      <c r="D4" s="27">
        <v>45991.0</v>
      </c>
      <c r="E4" s="2"/>
      <c r="F4" s="26" t="s">
        <v>134</v>
      </c>
      <c r="G4" s="17"/>
      <c r="H4" s="28">
        <f>$D$4</f>
        <v>45991</v>
      </c>
      <c r="I4" s="2"/>
      <c r="J4" s="47"/>
      <c r="K4" s="29">
        <v>45962.0</v>
      </c>
      <c r="L4" s="30">
        <f t="shared" ref="L4:L33" si="3">SUM(M4:X4)</f>
        <v>11629847</v>
      </c>
      <c r="M4" s="31">
        <v>1731918.0</v>
      </c>
      <c r="N4" s="31">
        <v>2260251.0</v>
      </c>
      <c r="O4" s="31">
        <v>2963798.0</v>
      </c>
      <c r="P4" s="31">
        <v>4455715.0</v>
      </c>
      <c r="Q4" s="32">
        <v>25725.0</v>
      </c>
      <c r="R4" s="32">
        <v>108694.0</v>
      </c>
      <c r="S4" s="32">
        <v>6251.0</v>
      </c>
      <c r="T4" s="32">
        <v>23333.0</v>
      </c>
      <c r="U4" s="124"/>
      <c r="V4" s="31">
        <v>54162.0</v>
      </c>
      <c r="W4" s="124"/>
      <c r="X4" s="124"/>
      <c r="Y4" s="5"/>
      <c r="AA4" s="22" t="s">
        <v>27</v>
      </c>
      <c r="AB4" s="23">
        <f>H39</f>
        <v>126203637</v>
      </c>
      <c r="AC4" s="24"/>
      <c r="AD4" s="25">
        <f t="shared" si="1"/>
        <v>126203637</v>
      </c>
      <c r="AE4" s="24"/>
      <c r="AF4" s="23">
        <f>P35</f>
        <v>124247057</v>
      </c>
      <c r="AG4" s="24"/>
      <c r="AH4" s="23">
        <f>11852+356540</f>
        <v>368392</v>
      </c>
      <c r="AI4" s="24"/>
      <c r="AJ4" s="23">
        <f t="shared" si="2"/>
        <v>123878665</v>
      </c>
      <c r="AK4" s="5"/>
    </row>
    <row r="5">
      <c r="A5" s="35">
        <f t="shared" ref="A5:A11" si="4">IFERROR(C5/$C$15, " ")</f>
        <v>0.8737717985</v>
      </c>
      <c r="B5" s="36" t="s">
        <v>28</v>
      </c>
      <c r="C5" s="37">
        <v>9493417.0</v>
      </c>
      <c r="D5" s="38"/>
      <c r="E5" s="2"/>
      <c r="F5" s="36" t="s">
        <v>28</v>
      </c>
      <c r="G5" s="37">
        <v>7530357.0</v>
      </c>
      <c r="H5" s="71">
        <v>3459260.0</v>
      </c>
      <c r="I5" s="35">
        <f t="shared" ref="I5:I7" si="5">IFERROR(G5/$G$15, " ")</f>
        <v>0.8536481184</v>
      </c>
      <c r="J5" s="47"/>
      <c r="K5" s="29">
        <v>45963.0</v>
      </c>
      <c r="L5" s="30">
        <f t="shared" si="3"/>
        <v>11803036</v>
      </c>
      <c r="M5" s="32">
        <v>1821579.0</v>
      </c>
      <c r="N5" s="32">
        <v>2209959.0</v>
      </c>
      <c r="O5" s="31">
        <v>3175791.0</v>
      </c>
      <c r="P5" s="31">
        <v>4370161.0</v>
      </c>
      <c r="Q5" s="32">
        <v>32801.0</v>
      </c>
      <c r="R5" s="32">
        <v>115688.0</v>
      </c>
      <c r="S5" s="32">
        <v>6731.0</v>
      </c>
      <c r="T5" s="32">
        <v>13534.0</v>
      </c>
      <c r="U5" s="124"/>
      <c r="V5" s="31">
        <v>56792.0</v>
      </c>
      <c r="W5" s="124"/>
      <c r="X5" s="124"/>
      <c r="Y5" s="5"/>
      <c r="Z5" s="21" t="s">
        <v>18</v>
      </c>
      <c r="AA5" s="22" t="s">
        <v>19</v>
      </c>
      <c r="AB5" s="23">
        <f>D21</f>
        <v>45495371</v>
      </c>
      <c r="AC5" s="24"/>
      <c r="AD5" s="25">
        <f t="shared" si="1"/>
        <v>45495371</v>
      </c>
      <c r="AE5" s="24"/>
      <c r="AF5" s="23">
        <f>M35</f>
        <v>68328978</v>
      </c>
      <c r="AG5" s="23">
        <f>AF5/66378*(3513+81)</f>
        <v>3699634.622</v>
      </c>
      <c r="AH5" s="23">
        <f>9444+263948</f>
        <v>273392</v>
      </c>
      <c r="AI5" s="24"/>
      <c r="AJ5" s="23">
        <f t="shared" si="2"/>
        <v>64355951.38</v>
      </c>
      <c r="AK5" s="5"/>
    </row>
    <row r="6">
      <c r="A6" s="35">
        <f t="shared" si="4"/>
        <v>0.1153283933</v>
      </c>
      <c r="B6" s="39" t="s">
        <v>29</v>
      </c>
      <c r="C6" s="32">
        <v>1253028.0</v>
      </c>
      <c r="D6" s="40"/>
      <c r="E6" s="2"/>
      <c r="F6" s="39" t="s">
        <v>29</v>
      </c>
      <c r="G6" s="31">
        <v>750101.0</v>
      </c>
      <c r="H6" s="71">
        <v>563877.0</v>
      </c>
      <c r="I6" s="35">
        <f t="shared" si="5"/>
        <v>0.08503213158</v>
      </c>
      <c r="J6" s="47"/>
      <c r="K6" s="29">
        <v>45964.0</v>
      </c>
      <c r="L6" s="30">
        <f t="shared" si="3"/>
        <v>11743838</v>
      </c>
      <c r="M6" s="32">
        <v>1806600.0</v>
      </c>
      <c r="N6" s="31">
        <v>2128041.0</v>
      </c>
      <c r="O6" s="32">
        <v>3412318.0</v>
      </c>
      <c r="P6" s="32">
        <v>4162343.0</v>
      </c>
      <c r="Q6" s="32">
        <v>25677.0</v>
      </c>
      <c r="R6" s="32">
        <v>130908.0</v>
      </c>
      <c r="S6" s="32">
        <v>4252.0</v>
      </c>
      <c r="T6" s="32">
        <v>20123.0</v>
      </c>
      <c r="U6" s="124"/>
      <c r="V6" s="31">
        <v>53576.0</v>
      </c>
      <c r="W6" s="124"/>
      <c r="X6" s="124"/>
      <c r="Y6" s="5"/>
      <c r="AA6" s="22" t="s">
        <v>27</v>
      </c>
      <c r="AB6" s="23">
        <f>H21</f>
        <v>74046375.3</v>
      </c>
      <c r="AC6" s="24"/>
      <c r="AD6" s="25">
        <f t="shared" si="1"/>
        <v>74046375.3</v>
      </c>
      <c r="AE6" s="24"/>
      <c r="AF6" s="23">
        <f>N35</f>
        <v>73964392.7</v>
      </c>
      <c r="AG6" s="23">
        <f>AF6/81964*(3746+101)</f>
        <v>3471536.513</v>
      </c>
      <c r="AH6" s="23">
        <f>4839+461189</f>
        <v>466028</v>
      </c>
      <c r="AI6" s="23"/>
      <c r="AJ6" s="23">
        <f t="shared" si="2"/>
        <v>70026828.19</v>
      </c>
      <c r="AK6" s="5"/>
    </row>
    <row r="7">
      <c r="A7" s="35">
        <f t="shared" si="4"/>
        <v>0</v>
      </c>
      <c r="B7" s="41" t="s">
        <v>30</v>
      </c>
      <c r="C7" s="32">
        <v>0.0</v>
      </c>
      <c r="D7" s="40"/>
      <c r="E7" s="2"/>
      <c r="F7" s="41" t="s">
        <v>30</v>
      </c>
      <c r="G7" s="32">
        <v>156736.0</v>
      </c>
      <c r="H7" s="53"/>
      <c r="I7" s="35">
        <f t="shared" si="5"/>
        <v>0.01776773551</v>
      </c>
      <c r="J7" s="29"/>
      <c r="K7" s="29">
        <v>45965.0</v>
      </c>
      <c r="L7" s="30">
        <f t="shared" si="3"/>
        <v>11432053.1</v>
      </c>
      <c r="M7" s="32">
        <v>1702647.0</v>
      </c>
      <c r="N7" s="32">
        <v>2080610.1</v>
      </c>
      <c r="O7" s="32">
        <v>3337075.0</v>
      </c>
      <c r="P7" s="32">
        <v>4102142.0</v>
      </c>
      <c r="Q7" s="32">
        <v>34865.0</v>
      </c>
      <c r="R7" s="32">
        <v>119677.0</v>
      </c>
      <c r="S7" s="32">
        <v>7710.0</v>
      </c>
      <c r="T7" s="32">
        <v>15867.0</v>
      </c>
      <c r="U7" s="124"/>
      <c r="V7" s="31">
        <v>31460.0</v>
      </c>
      <c r="W7" s="124"/>
      <c r="X7" s="124"/>
      <c r="Y7" s="5"/>
      <c r="Z7" s="21" t="s">
        <v>31</v>
      </c>
      <c r="AA7" s="22" t="s">
        <v>19</v>
      </c>
      <c r="AB7" s="23">
        <f>D78</f>
        <v>1604498</v>
      </c>
      <c r="AC7" s="24"/>
      <c r="AD7" s="25">
        <f t="shared" si="1"/>
        <v>1604498</v>
      </c>
      <c r="AE7" s="24"/>
      <c r="AF7" s="23">
        <f>Q35</f>
        <v>2491703</v>
      </c>
      <c r="AG7" s="23">
        <f>AF7/2732*(211+2)</f>
        <v>194265.2778</v>
      </c>
      <c r="AH7" s="23">
        <f>4251+118338</f>
        <v>122589</v>
      </c>
      <c r="AI7" s="24"/>
      <c r="AJ7" s="23">
        <f t="shared" si="2"/>
        <v>2174848.722</v>
      </c>
      <c r="AK7" s="5"/>
    </row>
    <row r="8">
      <c r="A8" s="35">
        <f t="shared" si="4"/>
        <v>0.0002253133263</v>
      </c>
      <c r="B8" s="39" t="s">
        <v>32</v>
      </c>
      <c r="C8" s="32">
        <v>2448.0</v>
      </c>
      <c r="D8" s="42"/>
      <c r="E8" s="2"/>
      <c r="F8" s="39" t="s">
        <v>32</v>
      </c>
      <c r="G8" s="32">
        <v>10529.0</v>
      </c>
      <c r="H8" s="71">
        <v>8078.0</v>
      </c>
      <c r="I8" s="35"/>
      <c r="J8" s="29"/>
      <c r="K8" s="29">
        <v>45966.0</v>
      </c>
      <c r="L8" s="30">
        <f t="shared" si="3"/>
        <v>12273335.1</v>
      </c>
      <c r="M8" s="32">
        <v>1857111.0</v>
      </c>
      <c r="N8" s="31">
        <v>2230079.1</v>
      </c>
      <c r="O8" s="32">
        <v>3669615.0</v>
      </c>
      <c r="P8" s="32">
        <v>4149454.0</v>
      </c>
      <c r="Q8" s="32">
        <v>121151.0</v>
      </c>
      <c r="R8" s="32">
        <v>172346.0</v>
      </c>
      <c r="S8" s="32">
        <v>7218.0</v>
      </c>
      <c r="T8" s="32">
        <v>22465.0</v>
      </c>
      <c r="U8" s="124"/>
      <c r="V8" s="31">
        <v>43896.0</v>
      </c>
      <c r="W8" s="124"/>
      <c r="X8" s="124"/>
      <c r="Y8" s="5"/>
      <c r="AA8" s="22" t="s">
        <v>27</v>
      </c>
      <c r="AB8" s="23">
        <f>H78</f>
        <v>4572310</v>
      </c>
      <c r="AC8" s="24"/>
      <c r="AD8" s="25">
        <f t="shared" si="1"/>
        <v>4572310</v>
      </c>
      <c r="AE8" s="24"/>
      <c r="AF8" s="23">
        <f>R35</f>
        <v>4455445</v>
      </c>
      <c r="AG8" s="23">
        <f>AF8/6338*(450+3)</f>
        <v>318446.921</v>
      </c>
      <c r="AH8" s="23">
        <f>3018+171430</f>
        <v>174448</v>
      </c>
      <c r="AI8" s="24"/>
      <c r="AJ8" s="23">
        <f t="shared" si="2"/>
        <v>3962550.079</v>
      </c>
      <c r="AK8" s="5"/>
    </row>
    <row r="9">
      <c r="A9" s="35">
        <f t="shared" si="4"/>
        <v>0.01055613183</v>
      </c>
      <c r="B9" s="41" t="s">
        <v>33</v>
      </c>
      <c r="C9" s="32">
        <v>114691.0</v>
      </c>
      <c r="D9" s="40"/>
      <c r="E9" s="2"/>
      <c r="F9" s="41" t="s">
        <v>33</v>
      </c>
      <c r="G9" s="32">
        <v>138767.0</v>
      </c>
      <c r="H9" s="71">
        <v>81614.0</v>
      </c>
      <c r="I9" s="35">
        <f t="shared" ref="I9:I13" si="6">IFERROR(G9/$G$15, " ")</f>
        <v>0.01573075333</v>
      </c>
      <c r="J9" s="47"/>
      <c r="K9" s="29">
        <v>45967.0</v>
      </c>
      <c r="L9" s="30">
        <f t="shared" si="3"/>
        <v>12195122</v>
      </c>
      <c r="M9" s="32">
        <v>1806029.0</v>
      </c>
      <c r="N9" s="31">
        <v>2247173.0</v>
      </c>
      <c r="O9" s="32">
        <v>3801850.0</v>
      </c>
      <c r="P9" s="32">
        <v>4082080.0</v>
      </c>
      <c r="Q9" s="31">
        <v>52381.0</v>
      </c>
      <c r="R9" s="31">
        <v>138947.0</v>
      </c>
      <c r="S9" s="31">
        <v>4413.0</v>
      </c>
      <c r="T9" s="31">
        <v>18321.0</v>
      </c>
      <c r="U9" s="124"/>
      <c r="V9" s="31">
        <v>43928.0</v>
      </c>
      <c r="W9" s="124"/>
      <c r="X9" s="124"/>
      <c r="Y9" s="5"/>
      <c r="Z9" s="44" t="s">
        <v>34</v>
      </c>
      <c r="AA9" s="22" t="s">
        <v>19</v>
      </c>
      <c r="AB9" s="45">
        <f>S42</f>
        <v>262675</v>
      </c>
      <c r="AC9" s="46"/>
      <c r="AD9" s="25">
        <f t="shared" si="1"/>
        <v>262675</v>
      </c>
      <c r="AE9" s="46"/>
      <c r="AF9" s="23">
        <f>S35</f>
        <v>357438</v>
      </c>
      <c r="AG9" s="23"/>
      <c r="AH9" s="23">
        <f>3395</f>
        <v>3395</v>
      </c>
      <c r="AI9" s="24"/>
      <c r="AJ9" s="23">
        <f t="shared" si="2"/>
        <v>354043</v>
      </c>
      <c r="AK9" s="5"/>
    </row>
    <row r="10">
      <c r="A10" s="35">
        <f t="shared" si="4"/>
        <v>0</v>
      </c>
      <c r="B10" s="41" t="s">
        <v>35</v>
      </c>
      <c r="C10" s="31">
        <v>0.0</v>
      </c>
      <c r="D10" s="40"/>
      <c r="E10" s="2"/>
      <c r="F10" s="41" t="s">
        <v>35</v>
      </c>
      <c r="G10" s="31">
        <v>6091.0</v>
      </c>
      <c r="H10" s="53"/>
      <c r="I10" s="35">
        <f t="shared" si="6"/>
        <v>0.0006904812998</v>
      </c>
      <c r="J10" s="47"/>
      <c r="K10" s="29">
        <v>45968.0</v>
      </c>
      <c r="L10" s="30">
        <f t="shared" si="3"/>
        <v>11891247</v>
      </c>
      <c r="M10" s="32">
        <v>1861690.0</v>
      </c>
      <c r="N10" s="31">
        <v>2259995.0</v>
      </c>
      <c r="O10" s="32">
        <v>3723488.0</v>
      </c>
      <c r="P10" s="32">
        <v>3764924.0</v>
      </c>
      <c r="Q10" s="31">
        <v>62234.0</v>
      </c>
      <c r="R10" s="31">
        <v>129672.0</v>
      </c>
      <c r="S10" s="31">
        <v>8091.0</v>
      </c>
      <c r="T10" s="31">
        <v>44771.0</v>
      </c>
      <c r="U10" s="124"/>
      <c r="V10" s="31">
        <v>36382.0</v>
      </c>
      <c r="W10" s="124"/>
      <c r="X10" s="124"/>
      <c r="Y10" s="5"/>
      <c r="AA10" s="22" t="s">
        <v>27</v>
      </c>
      <c r="AB10" s="45">
        <f>T42</f>
        <v>827330</v>
      </c>
      <c r="AC10" s="46"/>
      <c r="AD10" s="25">
        <f t="shared" si="1"/>
        <v>827330</v>
      </c>
      <c r="AE10" s="46"/>
      <c r="AF10" s="23">
        <f>T35</f>
        <v>1099783</v>
      </c>
      <c r="AG10" s="23"/>
      <c r="AH10" s="23">
        <f>9665</f>
        <v>9665</v>
      </c>
      <c r="AI10" s="24"/>
      <c r="AJ10" s="23">
        <f t="shared" si="2"/>
        <v>1090118</v>
      </c>
      <c r="AK10" s="5"/>
    </row>
    <row r="11">
      <c r="A11" s="35">
        <f t="shared" si="4"/>
        <v>0.00002300993937</v>
      </c>
      <c r="B11" s="39" t="s">
        <v>36</v>
      </c>
      <c r="C11" s="32">
        <v>250.0</v>
      </c>
      <c r="D11" s="42"/>
      <c r="E11" s="2"/>
      <c r="F11" s="39" t="s">
        <v>36</v>
      </c>
      <c r="G11" s="32"/>
      <c r="H11" s="71"/>
      <c r="I11" s="35">
        <f t="shared" si="6"/>
        <v>0</v>
      </c>
      <c r="J11" s="47"/>
      <c r="K11" s="29">
        <v>45969.0</v>
      </c>
      <c r="L11" s="30">
        <f t="shared" si="3"/>
        <v>11578045</v>
      </c>
      <c r="M11" s="32">
        <v>1685928.0</v>
      </c>
      <c r="N11" s="31">
        <v>2339557.0</v>
      </c>
      <c r="O11" s="32">
        <v>3283345.0</v>
      </c>
      <c r="P11" s="32">
        <v>4016122.0</v>
      </c>
      <c r="Q11" s="31">
        <v>68518.0</v>
      </c>
      <c r="R11" s="31">
        <v>122283.0</v>
      </c>
      <c r="S11" s="31">
        <v>6237.0</v>
      </c>
      <c r="T11" s="31">
        <v>19645.0</v>
      </c>
      <c r="U11" s="124"/>
      <c r="V11" s="31">
        <v>36410.0</v>
      </c>
      <c r="W11" s="124"/>
      <c r="X11" s="124"/>
      <c r="Y11" s="5"/>
      <c r="Z11" s="44" t="s">
        <v>37</v>
      </c>
      <c r="AA11" s="22" t="s">
        <v>19</v>
      </c>
      <c r="AB11" s="45">
        <f>U42</f>
        <v>0</v>
      </c>
      <c r="AC11" s="46"/>
      <c r="AD11" s="25">
        <f t="shared" si="1"/>
        <v>0</v>
      </c>
      <c r="AE11" s="46"/>
      <c r="AF11" s="23">
        <f>U35</f>
        <v>0</v>
      </c>
      <c r="AG11" s="23"/>
      <c r="AH11" s="23"/>
      <c r="AI11" s="24"/>
      <c r="AJ11" s="23">
        <f t="shared" si="2"/>
        <v>0</v>
      </c>
      <c r="AK11" s="5"/>
    </row>
    <row r="12">
      <c r="A12" s="46"/>
      <c r="B12" s="48" t="s">
        <v>38</v>
      </c>
      <c r="C12" s="32">
        <v>0.0</v>
      </c>
      <c r="D12" s="49"/>
      <c r="E12" s="46"/>
      <c r="F12" s="48" t="s">
        <v>38</v>
      </c>
      <c r="G12" s="32">
        <v>165599.0</v>
      </c>
      <c r="H12" s="125">
        <v>113751.0</v>
      </c>
      <c r="I12" s="35">
        <f t="shared" si="6"/>
        <v>0.01877245325</v>
      </c>
      <c r="J12" s="47"/>
      <c r="K12" s="29">
        <v>45970.0</v>
      </c>
      <c r="L12" s="30">
        <f t="shared" si="3"/>
        <v>13204877</v>
      </c>
      <c r="M12" s="32">
        <v>1954127.0</v>
      </c>
      <c r="N12" s="31">
        <v>2401329.0</v>
      </c>
      <c r="O12" s="32">
        <v>3969205.0</v>
      </c>
      <c r="P12" s="32">
        <v>4608078.0</v>
      </c>
      <c r="Q12" s="31">
        <v>71058.0</v>
      </c>
      <c r="R12" s="31">
        <v>133819.0</v>
      </c>
      <c r="S12" s="31">
        <v>7080.0</v>
      </c>
      <c r="T12" s="31">
        <v>24443.0</v>
      </c>
      <c r="U12" s="124"/>
      <c r="V12" s="31">
        <v>35738.0</v>
      </c>
      <c r="W12" s="124"/>
      <c r="X12" s="124"/>
      <c r="Y12" s="5"/>
      <c r="AA12" s="22" t="s">
        <v>27</v>
      </c>
      <c r="AB12" s="45">
        <f>V42</f>
        <v>1794605</v>
      </c>
      <c r="AC12" s="46"/>
      <c r="AD12" s="25">
        <f t="shared" si="1"/>
        <v>1794605</v>
      </c>
      <c r="AE12" s="46"/>
      <c r="AF12" s="23">
        <f>V35</f>
        <v>1079042</v>
      </c>
      <c r="AG12" s="23"/>
      <c r="AH12" s="23"/>
      <c r="AI12" s="24"/>
      <c r="AJ12" s="23">
        <f t="shared" si="2"/>
        <v>1079042</v>
      </c>
      <c r="AK12" s="5"/>
    </row>
    <row r="13">
      <c r="A13" s="46"/>
      <c r="B13" s="48" t="s">
        <v>39</v>
      </c>
      <c r="C13" s="32">
        <v>0.0</v>
      </c>
      <c r="D13" s="49"/>
      <c r="E13" s="46"/>
      <c r="F13" s="48" t="s">
        <v>39</v>
      </c>
      <c r="G13" s="32">
        <v>63203.0</v>
      </c>
      <c r="H13" s="126">
        <f>SUM(H5:H12)</f>
        <v>4226580</v>
      </c>
      <c r="I13" s="35">
        <f t="shared" si="6"/>
        <v>0.007164749564</v>
      </c>
      <c r="J13" s="47"/>
      <c r="K13" s="29">
        <v>45971.0</v>
      </c>
      <c r="L13" s="30">
        <f t="shared" si="3"/>
        <v>13480671.1</v>
      </c>
      <c r="M13" s="32">
        <v>2474505.0</v>
      </c>
      <c r="N13" s="31">
        <v>2553944.1</v>
      </c>
      <c r="O13" s="31">
        <v>3886555.0</v>
      </c>
      <c r="P13" s="32">
        <v>4166475.0</v>
      </c>
      <c r="Q13" s="31">
        <v>112809.0</v>
      </c>
      <c r="R13" s="31">
        <v>198757.0</v>
      </c>
      <c r="S13" s="31">
        <v>8819.0</v>
      </c>
      <c r="T13" s="31">
        <v>28023.0</v>
      </c>
      <c r="U13" s="124"/>
      <c r="V13" s="43">
        <v>50242.0</v>
      </c>
      <c r="W13" s="124"/>
      <c r="X13" s="43">
        <v>542.0</v>
      </c>
      <c r="Y13" s="5"/>
      <c r="Z13" s="44" t="s">
        <v>8</v>
      </c>
      <c r="AA13" s="22" t="s">
        <v>19</v>
      </c>
      <c r="AB13" s="127">
        <v>0.0</v>
      </c>
      <c r="AD13" s="25">
        <f t="shared" si="1"/>
        <v>0</v>
      </c>
      <c r="AF13" s="121">
        <f>W35</f>
        <v>2049</v>
      </c>
      <c r="AG13" s="23"/>
      <c r="AH13" s="23">
        <f>658</f>
        <v>658</v>
      </c>
      <c r="AI13" s="24"/>
      <c r="AJ13" s="23">
        <f t="shared" si="2"/>
        <v>1391</v>
      </c>
      <c r="AK13" s="5"/>
    </row>
    <row r="14">
      <c r="A14" s="46"/>
      <c r="B14" s="48" t="s">
        <v>41</v>
      </c>
      <c r="C14" s="32">
        <v>1036.0</v>
      </c>
      <c r="D14" s="49"/>
      <c r="E14" s="46"/>
      <c r="F14" s="48" t="s">
        <v>41</v>
      </c>
      <c r="G14" s="32"/>
      <c r="H14" s="49"/>
      <c r="I14" s="46"/>
      <c r="J14" s="47"/>
      <c r="K14" s="29">
        <v>45972.0</v>
      </c>
      <c r="L14" s="30">
        <f t="shared" si="3"/>
        <v>15626272.8</v>
      </c>
      <c r="M14" s="32">
        <v>3045200.0</v>
      </c>
      <c r="N14" s="31">
        <v>3020427.8</v>
      </c>
      <c r="O14" s="31">
        <v>4336280.0</v>
      </c>
      <c r="P14" s="32">
        <v>4692022.0</v>
      </c>
      <c r="Q14" s="31">
        <v>148468.0</v>
      </c>
      <c r="R14" s="31">
        <v>265371.0</v>
      </c>
      <c r="S14" s="31">
        <v>11423.0</v>
      </c>
      <c r="T14" s="31">
        <v>31073.0</v>
      </c>
      <c r="U14" s="124"/>
      <c r="V14" s="31">
        <v>76008.0</v>
      </c>
      <c r="W14" s="31">
        <v>0.0</v>
      </c>
      <c r="X14" s="31">
        <v>0.0</v>
      </c>
      <c r="Y14" s="5"/>
      <c r="AA14" s="22" t="s">
        <v>27</v>
      </c>
      <c r="AB14" s="127">
        <v>0.0</v>
      </c>
      <c r="AD14" s="25">
        <f t="shared" si="1"/>
        <v>0</v>
      </c>
      <c r="AF14" s="121">
        <f>X35</f>
        <v>17685.2</v>
      </c>
      <c r="AG14" s="23"/>
      <c r="AH14" s="50">
        <f>3097</f>
        <v>3097</v>
      </c>
      <c r="AI14" s="24"/>
      <c r="AJ14" s="23">
        <f t="shared" si="2"/>
        <v>14588.2</v>
      </c>
      <c r="AK14" s="5"/>
    </row>
    <row r="15">
      <c r="A15" s="2"/>
      <c r="B15" s="41" t="s">
        <v>42</v>
      </c>
      <c r="C15" s="30">
        <f>SUM(C5:C14)</f>
        <v>10864870</v>
      </c>
      <c r="D15" s="40"/>
      <c r="E15" s="2"/>
      <c r="F15" s="41" t="s">
        <v>42</v>
      </c>
      <c r="G15" s="30">
        <f>SUM(G5:G14)</f>
        <v>8821383</v>
      </c>
      <c r="H15" s="53">
        <f>SUM(H5)</f>
        <v>3459260</v>
      </c>
      <c r="I15" s="2"/>
      <c r="J15" s="47"/>
      <c r="K15" s="29">
        <v>45973.0</v>
      </c>
      <c r="L15" s="30">
        <f t="shared" si="3"/>
        <v>14571767.1</v>
      </c>
      <c r="M15" s="32">
        <v>2808715.0</v>
      </c>
      <c r="N15" s="31">
        <v>2510006.1</v>
      </c>
      <c r="O15" s="31">
        <v>3951887.0</v>
      </c>
      <c r="P15" s="32">
        <v>4865096.0</v>
      </c>
      <c r="Q15" s="31">
        <v>111215.0</v>
      </c>
      <c r="R15" s="31">
        <v>236626.0</v>
      </c>
      <c r="S15" s="31">
        <v>13124.0</v>
      </c>
      <c r="T15" s="31">
        <v>34607.0</v>
      </c>
      <c r="U15" s="124"/>
      <c r="V15" s="43">
        <v>40491.0</v>
      </c>
      <c r="W15" s="31">
        <v>0.0</v>
      </c>
      <c r="X15" s="31">
        <v>0.0</v>
      </c>
      <c r="Y15" s="5"/>
      <c r="Z15" s="46"/>
      <c r="AA15" s="51" t="s">
        <v>40</v>
      </c>
      <c r="AB15" s="52">
        <f t="shared" ref="AB15:AD15" si="7">SUM(AB3:AB14)</f>
        <v>328045981.3</v>
      </c>
      <c r="AC15" s="52">
        <f t="shared" si="7"/>
        <v>0</v>
      </c>
      <c r="AD15" s="52">
        <f t="shared" si="7"/>
        <v>328045981.3</v>
      </c>
      <c r="AE15" s="5"/>
      <c r="AF15" s="52">
        <f t="shared" ref="AF15:AJ15" si="8">SUM(AF3:AF14)</f>
        <v>379414162.9</v>
      </c>
      <c r="AG15" s="52">
        <f t="shared" si="8"/>
        <v>7683883.333</v>
      </c>
      <c r="AH15" s="52">
        <f t="shared" si="8"/>
        <v>1615655</v>
      </c>
      <c r="AI15" s="52">
        <f t="shared" si="8"/>
        <v>0</v>
      </c>
      <c r="AJ15" s="52">
        <f t="shared" si="8"/>
        <v>370114624.6</v>
      </c>
      <c r="AK15" s="5"/>
    </row>
    <row r="16">
      <c r="A16" s="2"/>
      <c r="B16" s="41" t="s">
        <v>43</v>
      </c>
      <c r="C16" s="2"/>
      <c r="D16" s="54">
        <f>M35</f>
        <v>68328978</v>
      </c>
      <c r="E16" s="2"/>
      <c r="F16" s="41" t="s">
        <v>43</v>
      </c>
      <c r="G16" s="2"/>
      <c r="H16" s="54">
        <f>N35</f>
        <v>73964392.7</v>
      </c>
      <c r="I16" s="2"/>
      <c r="J16" s="47"/>
      <c r="K16" s="29">
        <v>45974.0</v>
      </c>
      <c r="L16" s="30">
        <f t="shared" si="3"/>
        <v>15623833</v>
      </c>
      <c r="M16" s="32">
        <v>2749995.0</v>
      </c>
      <c r="N16" s="31">
        <v>2554313.0</v>
      </c>
      <c r="O16" s="31">
        <v>3886298.0</v>
      </c>
      <c r="P16" s="32">
        <v>6044334.0</v>
      </c>
      <c r="Q16" s="31">
        <v>124510.0</v>
      </c>
      <c r="R16" s="31">
        <v>197290.0</v>
      </c>
      <c r="S16" s="31">
        <v>9462.0</v>
      </c>
      <c r="T16" s="31">
        <v>21351.0</v>
      </c>
      <c r="U16" s="124"/>
      <c r="V16" s="43">
        <v>34889.0</v>
      </c>
      <c r="W16" s="31">
        <v>1391.0</v>
      </c>
      <c r="X16" s="43">
        <v>0.0</v>
      </c>
      <c r="Y16" s="5"/>
      <c r="Z16" s="46"/>
      <c r="AA16" s="46"/>
      <c r="AB16" s="46"/>
      <c r="AC16" s="46"/>
      <c r="AD16" s="46"/>
      <c r="AE16" s="46"/>
      <c r="AF16" s="46"/>
      <c r="AG16" s="46"/>
      <c r="AH16" s="82">
        <f>AH15/AF15</f>
        <v>0.004258288588</v>
      </c>
      <c r="AI16" s="46"/>
      <c r="AJ16" s="46"/>
      <c r="AK16" s="5"/>
    </row>
    <row r="17">
      <c r="A17" s="2"/>
      <c r="B17" s="41" t="s">
        <v>44</v>
      </c>
      <c r="C17" s="56"/>
      <c r="D17" s="57">
        <f>C15/D16</f>
        <v>0.1590082322</v>
      </c>
      <c r="E17" s="58"/>
      <c r="F17" s="41" t="s">
        <v>44</v>
      </c>
      <c r="G17" s="56"/>
      <c r="H17" s="57">
        <f>G15/H16</f>
        <v>0.1192652664</v>
      </c>
      <c r="I17" s="2"/>
      <c r="J17" s="47"/>
      <c r="K17" s="29">
        <v>45975.0</v>
      </c>
      <c r="L17" s="30">
        <f t="shared" si="3"/>
        <v>13587990.4</v>
      </c>
      <c r="M17" s="32">
        <v>2554697.0</v>
      </c>
      <c r="N17" s="31">
        <v>2478850.0</v>
      </c>
      <c r="O17" s="31">
        <v>3333302.0</v>
      </c>
      <c r="P17" s="32">
        <v>4832612.0</v>
      </c>
      <c r="Q17" s="31">
        <v>98006.0</v>
      </c>
      <c r="R17" s="31">
        <v>187620.0</v>
      </c>
      <c r="S17" s="31">
        <v>16980.0</v>
      </c>
      <c r="T17" s="31">
        <v>39389.0</v>
      </c>
      <c r="U17" s="124"/>
      <c r="V17" s="31">
        <v>45720.0</v>
      </c>
      <c r="W17" s="31">
        <v>0.0</v>
      </c>
      <c r="X17" s="31">
        <v>814.4</v>
      </c>
      <c r="Y17" s="5"/>
      <c r="Z17" s="5"/>
      <c r="AA17" s="46"/>
      <c r="AB17" s="46"/>
      <c r="AC17" s="46"/>
      <c r="AD17" s="46"/>
      <c r="AE17" s="46"/>
      <c r="AF17" s="46"/>
      <c r="AG17" s="46"/>
      <c r="AH17" s="46"/>
      <c r="AI17" s="46"/>
      <c r="AJ17" s="24"/>
      <c r="AK17" s="5"/>
    </row>
    <row r="18">
      <c r="A18" s="35">
        <f>D17/C18</f>
        <v>0.7756499132</v>
      </c>
      <c r="B18" s="41" t="s">
        <v>47</v>
      </c>
      <c r="C18" s="59">
        <v>0.205</v>
      </c>
      <c r="D18" s="54">
        <f>D16*C18</f>
        <v>14007440.49</v>
      </c>
      <c r="E18" s="2"/>
      <c r="F18" s="41" t="s">
        <v>47</v>
      </c>
      <c r="G18" s="59">
        <v>0.115</v>
      </c>
      <c r="H18" s="54">
        <f>H16*G18</f>
        <v>8505905.161</v>
      </c>
      <c r="I18" s="35">
        <f>H17/G18</f>
        <v>1.037089273</v>
      </c>
      <c r="J18" s="47"/>
      <c r="K18" s="29">
        <v>45976.0</v>
      </c>
      <c r="L18" s="30">
        <f t="shared" si="3"/>
        <v>12643412.4</v>
      </c>
      <c r="M18" s="31">
        <v>2637349.0</v>
      </c>
      <c r="N18" s="31">
        <v>2233887.0</v>
      </c>
      <c r="O18" s="31">
        <v>3044860.0</v>
      </c>
      <c r="P18" s="32">
        <v>4431701.0</v>
      </c>
      <c r="Q18" s="31">
        <v>83652.0</v>
      </c>
      <c r="R18" s="31">
        <v>147073.0</v>
      </c>
      <c r="S18" s="31">
        <v>13654.0</v>
      </c>
      <c r="T18" s="31">
        <v>20823.0</v>
      </c>
      <c r="U18" s="124"/>
      <c r="V18" s="31">
        <v>29599.0</v>
      </c>
      <c r="W18" s="31">
        <v>0.0</v>
      </c>
      <c r="X18" s="31">
        <v>814.4</v>
      </c>
      <c r="Y18" s="5"/>
      <c r="Z18" s="5"/>
      <c r="AA18" s="5"/>
      <c r="AB18" s="5"/>
      <c r="AC18" s="5"/>
      <c r="AD18" s="5"/>
      <c r="AE18" s="55"/>
      <c r="AF18" s="55"/>
      <c r="AG18" s="5"/>
      <c r="AH18" s="5"/>
      <c r="AI18" s="5"/>
      <c r="AJ18" s="5"/>
      <c r="AK18" s="5"/>
    </row>
    <row r="19">
      <c r="A19" s="2"/>
      <c r="B19" s="60" t="s">
        <v>49</v>
      </c>
      <c r="C19" s="61"/>
      <c r="D19" s="62">
        <f>C15-D18</f>
        <v>-3142570.49</v>
      </c>
      <c r="E19" s="58"/>
      <c r="F19" s="77" t="s">
        <v>50</v>
      </c>
      <c r="G19" s="61"/>
      <c r="H19" s="62">
        <f>G15-H18</f>
        <v>315477.8395</v>
      </c>
      <c r="I19" s="2"/>
      <c r="J19" s="2"/>
      <c r="K19" s="29">
        <v>45977.0</v>
      </c>
      <c r="L19" s="30">
        <f t="shared" si="3"/>
        <v>14333940.1</v>
      </c>
      <c r="M19" s="31">
        <v>2950217.0</v>
      </c>
      <c r="N19" s="31">
        <v>2443626.1</v>
      </c>
      <c r="O19" s="31">
        <v>3710586.0</v>
      </c>
      <c r="P19" s="32">
        <v>4885653.0</v>
      </c>
      <c r="Q19" s="31">
        <v>94182.0</v>
      </c>
      <c r="R19" s="31">
        <v>172419.0</v>
      </c>
      <c r="S19" s="31">
        <v>13719.0</v>
      </c>
      <c r="T19" s="31">
        <v>28056.0</v>
      </c>
      <c r="U19" s="124"/>
      <c r="V19" s="31">
        <v>34982.0</v>
      </c>
      <c r="W19" s="31">
        <v>0.0</v>
      </c>
      <c r="X19" s="31">
        <v>500.0</v>
      </c>
      <c r="Y19" s="5"/>
      <c r="Z19" s="5"/>
      <c r="AA19" s="5"/>
      <c r="AB19" s="14" t="s">
        <v>45</v>
      </c>
      <c r="AE19" s="55"/>
      <c r="AF19" s="14" t="s">
        <v>46</v>
      </c>
      <c r="AI19" s="55"/>
      <c r="AJ19" s="24"/>
      <c r="AK19" s="5"/>
    </row>
    <row r="20">
      <c r="A20" s="2"/>
      <c r="B20" s="2"/>
      <c r="C20" s="2"/>
      <c r="D20" s="2"/>
      <c r="E20" s="56"/>
      <c r="F20" s="2"/>
      <c r="G20" s="2"/>
      <c r="H20" s="2"/>
      <c r="I20" s="2"/>
      <c r="J20" s="58"/>
      <c r="K20" s="29">
        <v>45978.0</v>
      </c>
      <c r="L20" s="30">
        <f t="shared" si="3"/>
        <v>12187671</v>
      </c>
      <c r="M20" s="31">
        <v>2510335.0</v>
      </c>
      <c r="N20" s="122">
        <v>2240351.0</v>
      </c>
      <c r="O20" s="31">
        <v>3080380.0</v>
      </c>
      <c r="P20" s="31">
        <v>4098869.0</v>
      </c>
      <c r="Q20" s="31">
        <v>82320.0</v>
      </c>
      <c r="R20" s="31">
        <v>127734.0</v>
      </c>
      <c r="S20" s="31">
        <v>5103.0</v>
      </c>
      <c r="T20" s="31">
        <v>15220.0</v>
      </c>
      <c r="U20" s="124"/>
      <c r="V20" s="31">
        <v>27359.0</v>
      </c>
      <c r="W20" s="31">
        <v>0.0</v>
      </c>
      <c r="X20" s="31">
        <v>0.0</v>
      </c>
      <c r="Y20" s="5"/>
      <c r="Z20" s="55"/>
      <c r="AA20" s="55"/>
      <c r="AB20" s="123" t="s">
        <v>133</v>
      </c>
      <c r="AC20" s="14" t="s">
        <v>13</v>
      </c>
      <c r="AD20" s="14" t="s">
        <v>48</v>
      </c>
      <c r="AE20" s="5"/>
      <c r="AF20" s="14" t="s">
        <v>12</v>
      </c>
      <c r="AG20" s="14" t="s">
        <v>17</v>
      </c>
      <c r="AH20" s="14" t="s">
        <v>48</v>
      </c>
      <c r="AI20" s="5"/>
      <c r="AJ20" s="5"/>
      <c r="AK20" s="5"/>
    </row>
    <row r="21">
      <c r="A21" s="2"/>
      <c r="B21" s="58" t="s">
        <v>51</v>
      </c>
      <c r="C21" s="58"/>
      <c r="D21" s="64">
        <f>M42</f>
        <v>45495371</v>
      </c>
      <c r="E21" s="31"/>
      <c r="F21" s="58" t="s">
        <v>51</v>
      </c>
      <c r="G21" s="58"/>
      <c r="H21" s="65">
        <f>N42</f>
        <v>74046375.3</v>
      </c>
      <c r="I21" s="2"/>
      <c r="J21" s="58"/>
      <c r="K21" s="29">
        <v>45979.0</v>
      </c>
      <c r="L21" s="30">
        <f t="shared" si="3"/>
        <v>12258064</v>
      </c>
      <c r="M21" s="31">
        <v>2394143.0</v>
      </c>
      <c r="N21" s="31">
        <v>2161236.0</v>
      </c>
      <c r="O21" s="31">
        <v>3088791.0</v>
      </c>
      <c r="P21" s="31">
        <v>4318785.0</v>
      </c>
      <c r="Q21" s="31">
        <v>100618.0</v>
      </c>
      <c r="R21" s="31">
        <v>131558.0</v>
      </c>
      <c r="S21" s="31">
        <v>7529.0</v>
      </c>
      <c r="T21" s="31">
        <v>12449.0</v>
      </c>
      <c r="U21" s="124"/>
      <c r="V21" s="43">
        <v>42600.0</v>
      </c>
      <c r="W21" s="31">
        <v>0.0</v>
      </c>
      <c r="X21" s="43">
        <v>355.0</v>
      </c>
      <c r="Y21" s="5"/>
      <c r="Z21" s="21" t="s">
        <v>24</v>
      </c>
      <c r="AA21" s="22" t="s">
        <v>19</v>
      </c>
      <c r="AB21" s="25">
        <f t="shared" ref="AB21:AB30" si="9">AB3</f>
        <v>73239180</v>
      </c>
      <c r="AC21" s="23">
        <f t="shared" ref="AC21:AC32" si="10">AF3</f>
        <v>103370590</v>
      </c>
      <c r="AD21" s="63">
        <f t="shared" ref="AD21:AD33" si="11">IFERROR(AC21/AB21, " ")</f>
        <v>1.411411078</v>
      </c>
      <c r="AE21" s="5"/>
      <c r="AF21" s="23">
        <f t="shared" ref="AF21:AF32" si="12">AD3</f>
        <v>73239180</v>
      </c>
      <c r="AG21" s="23">
        <f t="shared" ref="AG21:AG32" si="13">AJ3</f>
        <v>103176599</v>
      </c>
      <c r="AH21" s="63">
        <f t="shared" ref="AH21:AH33" si="14">IFERROR(AG21/AF21, " ")</f>
        <v>1.408762346</v>
      </c>
      <c r="AI21" s="5"/>
      <c r="AJ21" s="5"/>
      <c r="AK21" s="5"/>
    </row>
    <row r="22">
      <c r="A22" s="2"/>
      <c r="B22" s="2" t="s">
        <v>52</v>
      </c>
      <c r="C22" s="2"/>
      <c r="D22" s="30">
        <f>D16/$C$1</f>
        <v>2277632.6</v>
      </c>
      <c r="E22" s="58"/>
      <c r="F22" s="2" t="s">
        <v>52</v>
      </c>
      <c r="G22" s="2"/>
      <c r="H22" s="30">
        <f>H16/$C$1</f>
        <v>2465479.757</v>
      </c>
      <c r="I22" s="58"/>
      <c r="J22" s="58"/>
      <c r="K22" s="29">
        <v>45980.0</v>
      </c>
      <c r="L22" s="30">
        <f t="shared" si="3"/>
        <v>11481818.1</v>
      </c>
      <c r="M22" s="31">
        <v>2260476.0</v>
      </c>
      <c r="N22" s="31">
        <v>2186913.1</v>
      </c>
      <c r="O22" s="31">
        <v>2903112.0</v>
      </c>
      <c r="P22" s="31">
        <v>3850661.0</v>
      </c>
      <c r="Q22" s="31">
        <v>75917.0</v>
      </c>
      <c r="R22" s="31">
        <v>151531.0</v>
      </c>
      <c r="S22" s="31">
        <v>1615.0</v>
      </c>
      <c r="T22" s="31">
        <v>15333.0</v>
      </c>
      <c r="U22" s="124"/>
      <c r="V22" s="43">
        <v>33883.0</v>
      </c>
      <c r="W22" s="31">
        <v>658.0</v>
      </c>
      <c r="X22" s="43">
        <v>1719.0</v>
      </c>
      <c r="Y22" s="5"/>
      <c r="AA22" s="22" t="s">
        <v>27</v>
      </c>
      <c r="AB22" s="25">
        <f t="shared" si="9"/>
        <v>126203637</v>
      </c>
      <c r="AC22" s="23">
        <f t="shared" si="10"/>
        <v>124247057</v>
      </c>
      <c r="AD22" s="63">
        <f t="shared" si="11"/>
        <v>0.9844966433</v>
      </c>
      <c r="AE22" s="5"/>
      <c r="AF22" s="23">
        <f t="shared" si="12"/>
        <v>126203637</v>
      </c>
      <c r="AG22" s="23">
        <f t="shared" si="13"/>
        <v>123878665</v>
      </c>
      <c r="AH22" s="63">
        <f t="shared" si="14"/>
        <v>0.9815776149</v>
      </c>
      <c r="AI22" s="5"/>
      <c r="AJ22" s="5"/>
      <c r="AK22" s="5"/>
    </row>
    <row r="23">
      <c r="A23" s="2"/>
      <c r="B23" s="2" t="s">
        <v>53</v>
      </c>
      <c r="C23" s="2"/>
      <c r="D23" s="30">
        <f>D21/$G$1*$C$1</f>
        <v>45495371</v>
      </c>
      <c r="E23" s="2"/>
      <c r="F23" s="2" t="s">
        <v>53</v>
      </c>
      <c r="G23" s="2"/>
      <c r="H23" s="30">
        <f>H21/$G$1*$C$1</f>
        <v>74046375.3</v>
      </c>
      <c r="I23" s="2"/>
      <c r="J23" s="47"/>
      <c r="K23" s="29">
        <v>45981.0</v>
      </c>
      <c r="L23" s="30">
        <f t="shared" si="3"/>
        <v>12087910.6</v>
      </c>
      <c r="M23" s="31">
        <v>2432752.0</v>
      </c>
      <c r="N23" s="31">
        <v>2750771.0</v>
      </c>
      <c r="O23" s="31">
        <v>2879787.0</v>
      </c>
      <c r="P23" s="31">
        <v>3731215.0</v>
      </c>
      <c r="Q23" s="31">
        <v>111653.0</v>
      </c>
      <c r="R23" s="31">
        <v>125475.0</v>
      </c>
      <c r="S23" s="31">
        <v>6783.0</v>
      </c>
      <c r="T23" s="31">
        <v>25468.0</v>
      </c>
      <c r="U23" s="124"/>
      <c r="V23" s="43">
        <v>22213.0</v>
      </c>
      <c r="W23" s="31">
        <v>0.0</v>
      </c>
      <c r="X23" s="43">
        <v>1793.6</v>
      </c>
      <c r="Y23" s="5"/>
      <c r="Z23" s="21" t="s">
        <v>18</v>
      </c>
      <c r="AA23" s="22" t="s">
        <v>19</v>
      </c>
      <c r="AB23" s="25">
        <f t="shared" si="9"/>
        <v>45495371</v>
      </c>
      <c r="AC23" s="23">
        <f t="shared" si="10"/>
        <v>68328978</v>
      </c>
      <c r="AD23" s="63">
        <f t="shared" si="11"/>
        <v>1.501888577</v>
      </c>
      <c r="AE23" s="5"/>
      <c r="AF23" s="23">
        <f t="shared" si="12"/>
        <v>45495371</v>
      </c>
      <c r="AG23" s="23">
        <f t="shared" si="13"/>
        <v>64355951.38</v>
      </c>
      <c r="AH23" s="63">
        <f t="shared" si="14"/>
        <v>1.414560426</v>
      </c>
      <c r="AI23" s="5"/>
      <c r="AJ23" s="5"/>
      <c r="AK23" s="5"/>
    </row>
    <row r="24">
      <c r="A24" s="2"/>
      <c r="B24" s="2" t="s">
        <v>54</v>
      </c>
      <c r="C24" s="2"/>
      <c r="D24" s="30" t="str">
        <f>(D21-D16)/($G$1-$C$1)</f>
        <v>#DIV/0!</v>
      </c>
      <c r="E24" s="2"/>
      <c r="F24" s="2" t="s">
        <v>54</v>
      </c>
      <c r="G24" s="2"/>
      <c r="H24" s="30" t="str">
        <f>(H21-H16)/($G$1-$C$1)</f>
        <v>#DIV/0!</v>
      </c>
      <c r="I24" s="2"/>
      <c r="J24" s="58"/>
      <c r="K24" s="29">
        <v>45982.0</v>
      </c>
      <c r="L24" s="30">
        <f t="shared" si="3"/>
        <v>10700008.4</v>
      </c>
      <c r="M24" s="31">
        <v>2072178.0</v>
      </c>
      <c r="N24" s="31">
        <v>2377663.0</v>
      </c>
      <c r="O24" s="31">
        <v>2632151.0</v>
      </c>
      <c r="P24" s="31">
        <v>3294636.0</v>
      </c>
      <c r="Q24" s="31">
        <v>100328.0</v>
      </c>
      <c r="R24" s="31">
        <v>131848.0</v>
      </c>
      <c r="S24" s="31">
        <v>18829.0</v>
      </c>
      <c r="T24" s="31">
        <v>51736.0</v>
      </c>
      <c r="U24" s="124"/>
      <c r="V24" s="31">
        <v>19261.0</v>
      </c>
      <c r="W24" s="31">
        <v>0.0</v>
      </c>
      <c r="X24" s="43">
        <v>1378.4</v>
      </c>
      <c r="Y24" s="5"/>
      <c r="AA24" s="22" t="s">
        <v>27</v>
      </c>
      <c r="AB24" s="25">
        <f t="shared" si="9"/>
        <v>74046375.3</v>
      </c>
      <c r="AC24" s="23">
        <f t="shared" si="10"/>
        <v>73964392.7</v>
      </c>
      <c r="AD24" s="63">
        <f t="shared" si="11"/>
        <v>0.9988928209</v>
      </c>
      <c r="AE24" s="24"/>
      <c r="AF24" s="23">
        <f t="shared" si="12"/>
        <v>74046375.3</v>
      </c>
      <c r="AG24" s="23">
        <f t="shared" si="13"/>
        <v>70026828.19</v>
      </c>
      <c r="AH24" s="63">
        <f t="shared" si="14"/>
        <v>0.9457158153</v>
      </c>
      <c r="AI24" s="24"/>
      <c r="AJ24" s="24"/>
      <c r="AK24" s="5"/>
    </row>
    <row r="25">
      <c r="A25" s="2"/>
      <c r="B25" s="2" t="s">
        <v>55</v>
      </c>
      <c r="C25" s="2"/>
      <c r="D25" s="30">
        <f>D16-D23</f>
        <v>22833607</v>
      </c>
      <c r="E25" s="2"/>
      <c r="F25" s="2" t="s">
        <v>55</v>
      </c>
      <c r="G25" s="2"/>
      <c r="H25" s="30">
        <f>H16-H23</f>
        <v>-81982.6</v>
      </c>
      <c r="I25" s="2"/>
      <c r="J25" s="47"/>
      <c r="K25" s="29">
        <v>45983.0</v>
      </c>
      <c r="L25" s="30">
        <f t="shared" si="3"/>
        <v>11367170.5</v>
      </c>
      <c r="M25" s="31">
        <v>2110849.0</v>
      </c>
      <c r="N25" s="31">
        <v>2811323.1</v>
      </c>
      <c r="O25" s="31">
        <v>2579849.0</v>
      </c>
      <c r="P25" s="31">
        <v>3498829.0</v>
      </c>
      <c r="Q25" s="31">
        <v>104144.0</v>
      </c>
      <c r="R25" s="31">
        <v>144223.0</v>
      </c>
      <c r="S25" s="31">
        <v>26696.0</v>
      </c>
      <c r="T25" s="31">
        <v>52892.0</v>
      </c>
      <c r="U25" s="124"/>
      <c r="V25" s="31">
        <v>37551.0</v>
      </c>
      <c r="W25" s="31">
        <v>0.0</v>
      </c>
      <c r="X25" s="43">
        <v>814.4</v>
      </c>
      <c r="Y25" s="5"/>
      <c r="Z25" s="21" t="s">
        <v>31</v>
      </c>
      <c r="AA25" s="22" t="s">
        <v>19</v>
      </c>
      <c r="AB25" s="25">
        <f t="shared" si="9"/>
        <v>1604498</v>
      </c>
      <c r="AC25" s="23">
        <f t="shared" si="10"/>
        <v>2491703</v>
      </c>
      <c r="AD25" s="63">
        <f t="shared" si="11"/>
        <v>1.552948648</v>
      </c>
      <c r="AE25" s="24"/>
      <c r="AF25" s="23">
        <f t="shared" si="12"/>
        <v>1604498</v>
      </c>
      <c r="AG25" s="23">
        <f t="shared" si="13"/>
        <v>2174848.722</v>
      </c>
      <c r="AH25" s="63">
        <f t="shared" si="14"/>
        <v>1.355469887</v>
      </c>
      <c r="AI25" s="24"/>
      <c r="AJ25" s="24"/>
      <c r="AK25" s="5"/>
    </row>
    <row r="26">
      <c r="A26" s="2"/>
      <c r="B26" s="2" t="s">
        <v>56</v>
      </c>
      <c r="C26" s="2"/>
      <c r="D26" s="30">
        <f>D16/$C$1*$G$1</f>
        <v>68328978</v>
      </c>
      <c r="E26" s="56"/>
      <c r="F26" s="2" t="s">
        <v>56</v>
      </c>
      <c r="G26" s="2"/>
      <c r="H26" s="30">
        <f>H16/$C$1*$G$1</f>
        <v>73964392.7</v>
      </c>
      <c r="I26" s="2"/>
      <c r="J26" s="56"/>
      <c r="K26" s="29">
        <v>45984.0</v>
      </c>
      <c r="L26" s="30">
        <f t="shared" si="3"/>
        <v>12417921.5</v>
      </c>
      <c r="M26" s="31">
        <v>2147168.0</v>
      </c>
      <c r="N26" s="31">
        <v>3029457.1</v>
      </c>
      <c r="O26" s="31">
        <v>2924741.0</v>
      </c>
      <c r="P26" s="31">
        <v>3993676.0</v>
      </c>
      <c r="Q26" s="31">
        <v>71759.0</v>
      </c>
      <c r="R26" s="31">
        <v>121367.0</v>
      </c>
      <c r="S26" s="31">
        <v>36634.0</v>
      </c>
      <c r="T26" s="31">
        <v>68676.0</v>
      </c>
      <c r="U26" s="124"/>
      <c r="V26" s="31">
        <v>23569.0</v>
      </c>
      <c r="W26" s="31">
        <v>0.0</v>
      </c>
      <c r="X26" s="31">
        <v>874.4</v>
      </c>
      <c r="Y26" s="5"/>
      <c r="AA26" s="22" t="s">
        <v>27</v>
      </c>
      <c r="AB26" s="25">
        <f t="shared" si="9"/>
        <v>4572310</v>
      </c>
      <c r="AC26" s="23">
        <f t="shared" si="10"/>
        <v>4455445</v>
      </c>
      <c r="AD26" s="63">
        <f t="shared" si="11"/>
        <v>0.9744407094</v>
      </c>
      <c r="AE26" s="24"/>
      <c r="AF26" s="23">
        <f t="shared" si="12"/>
        <v>4572310</v>
      </c>
      <c r="AG26" s="23">
        <f t="shared" si="13"/>
        <v>3962550.079</v>
      </c>
      <c r="AH26" s="63">
        <f t="shared" si="14"/>
        <v>0.8666407306</v>
      </c>
      <c r="AI26" s="24"/>
      <c r="AJ26" s="24"/>
      <c r="AK26" s="5"/>
    </row>
    <row r="27">
      <c r="A27" s="2"/>
      <c r="B27" s="66" t="s">
        <v>57</v>
      </c>
      <c r="C27" s="66"/>
      <c r="D27" s="67">
        <f>D26/D21</f>
        <v>1.501888577</v>
      </c>
      <c r="E27" s="2"/>
      <c r="F27" s="66" t="s">
        <v>57</v>
      </c>
      <c r="G27" s="66"/>
      <c r="H27" s="67">
        <f>H26/H21</f>
        <v>0.9988928209</v>
      </c>
      <c r="I27" s="2"/>
      <c r="J27" s="47"/>
      <c r="K27" s="29">
        <v>45985.0</v>
      </c>
      <c r="L27" s="30">
        <f t="shared" si="3"/>
        <v>12089211</v>
      </c>
      <c r="M27" s="31">
        <v>2232258.0</v>
      </c>
      <c r="N27" s="31">
        <v>2537265.0</v>
      </c>
      <c r="O27" s="31">
        <v>3569395.0</v>
      </c>
      <c r="P27" s="31">
        <v>3367733.0</v>
      </c>
      <c r="Q27" s="31">
        <v>128670.0</v>
      </c>
      <c r="R27" s="31">
        <v>159721.0</v>
      </c>
      <c r="S27" s="31">
        <v>19590.0</v>
      </c>
      <c r="T27" s="31">
        <v>55960.0</v>
      </c>
      <c r="U27" s="124"/>
      <c r="V27" s="43">
        <v>18619.0</v>
      </c>
      <c r="W27" s="31">
        <v>0.0</v>
      </c>
      <c r="X27" s="31">
        <v>0.0</v>
      </c>
      <c r="Y27" s="5"/>
      <c r="Z27" s="44" t="s">
        <v>34</v>
      </c>
      <c r="AA27" s="22" t="s">
        <v>19</v>
      </c>
      <c r="AB27" s="25">
        <f t="shared" si="9"/>
        <v>262675</v>
      </c>
      <c r="AC27" s="23">
        <f t="shared" si="10"/>
        <v>357438</v>
      </c>
      <c r="AD27" s="63">
        <f t="shared" si="11"/>
        <v>1.360761397</v>
      </c>
      <c r="AE27" s="46"/>
      <c r="AF27" s="23">
        <f t="shared" si="12"/>
        <v>262675</v>
      </c>
      <c r="AG27" s="23">
        <f t="shared" si="13"/>
        <v>354043</v>
      </c>
      <c r="AH27" s="63">
        <f t="shared" si="14"/>
        <v>1.34783668</v>
      </c>
      <c r="AI27" s="46"/>
      <c r="AJ27" s="46"/>
      <c r="AK27" s="5"/>
    </row>
    <row r="28">
      <c r="A28" s="2"/>
      <c r="B28" s="2"/>
      <c r="C28" s="2"/>
      <c r="D28" s="2"/>
      <c r="E28" s="2"/>
      <c r="F28" s="2"/>
      <c r="G28" s="2"/>
      <c r="H28" s="2"/>
      <c r="I28" s="2"/>
      <c r="J28" s="47"/>
      <c r="K28" s="29">
        <v>45986.0</v>
      </c>
      <c r="L28" s="30">
        <f t="shared" si="3"/>
        <v>12245605.8</v>
      </c>
      <c r="M28" s="31">
        <v>2325849.0</v>
      </c>
      <c r="N28" s="31">
        <v>2457582.0</v>
      </c>
      <c r="O28" s="31">
        <v>3669417.0</v>
      </c>
      <c r="P28" s="31">
        <v>3497780.0</v>
      </c>
      <c r="Q28" s="31">
        <v>70265.0</v>
      </c>
      <c r="R28" s="31">
        <v>131956.0</v>
      </c>
      <c r="S28" s="31">
        <v>12957.0</v>
      </c>
      <c r="T28" s="31">
        <v>55565.0</v>
      </c>
      <c r="U28" s="124"/>
      <c r="V28" s="31">
        <v>22042.0</v>
      </c>
      <c r="W28" s="31">
        <v>0.0</v>
      </c>
      <c r="X28" s="31">
        <v>2192.8</v>
      </c>
      <c r="Y28" s="5"/>
      <c r="AA28" s="22" t="s">
        <v>27</v>
      </c>
      <c r="AB28" s="25">
        <f t="shared" si="9"/>
        <v>827330</v>
      </c>
      <c r="AC28" s="23">
        <f t="shared" si="10"/>
        <v>1099783</v>
      </c>
      <c r="AD28" s="63">
        <f t="shared" si="11"/>
        <v>1.329315992</v>
      </c>
      <c r="AE28" s="46"/>
      <c r="AF28" s="23">
        <f t="shared" si="12"/>
        <v>827330</v>
      </c>
      <c r="AG28" s="23">
        <f t="shared" si="13"/>
        <v>1090118</v>
      </c>
      <c r="AH28" s="63">
        <f t="shared" si="14"/>
        <v>1.317633834</v>
      </c>
      <c r="AI28" s="46"/>
      <c r="AJ28" s="46"/>
      <c r="AK28" s="5"/>
    </row>
    <row r="29">
      <c r="A29" s="2"/>
      <c r="B29" s="68" t="s">
        <v>58</v>
      </c>
      <c r="C29" s="17"/>
      <c r="D29" s="17"/>
      <c r="E29" s="17"/>
      <c r="F29" s="17"/>
      <c r="G29" s="17"/>
      <c r="H29" s="18"/>
      <c r="I29" s="2"/>
      <c r="J29" s="30"/>
      <c r="K29" s="29">
        <v>45987.0</v>
      </c>
      <c r="L29" s="30">
        <f t="shared" si="3"/>
        <v>12235399.1</v>
      </c>
      <c r="M29" s="31">
        <v>2405725.0</v>
      </c>
      <c r="N29" s="31">
        <v>2518471.1</v>
      </c>
      <c r="O29" s="31">
        <v>3463724.0</v>
      </c>
      <c r="P29" s="31">
        <v>3518911.0</v>
      </c>
      <c r="Q29" s="31">
        <v>76199.0</v>
      </c>
      <c r="R29" s="31">
        <v>141871.0</v>
      </c>
      <c r="S29" s="31">
        <v>15587.0</v>
      </c>
      <c r="T29" s="31">
        <v>73179.0</v>
      </c>
      <c r="U29" s="124"/>
      <c r="V29" s="43">
        <v>21448.0</v>
      </c>
      <c r="W29" s="31">
        <v>0.0</v>
      </c>
      <c r="X29" s="31">
        <v>284.0</v>
      </c>
      <c r="Y29" s="5"/>
      <c r="Z29" s="44" t="s">
        <v>37</v>
      </c>
      <c r="AA29" s="22" t="s">
        <v>19</v>
      </c>
      <c r="AB29" s="25">
        <f t="shared" si="9"/>
        <v>0</v>
      </c>
      <c r="AC29" s="23">
        <f t="shared" si="10"/>
        <v>0</v>
      </c>
      <c r="AD29" s="63" t="str">
        <f t="shared" si="11"/>
        <v> </v>
      </c>
      <c r="AE29" s="46"/>
      <c r="AF29" s="23">
        <f t="shared" si="12"/>
        <v>0</v>
      </c>
      <c r="AG29" s="23">
        <f t="shared" si="13"/>
        <v>0</v>
      </c>
      <c r="AH29" s="63" t="str">
        <f t="shared" si="14"/>
        <v> </v>
      </c>
      <c r="AI29" s="46"/>
      <c r="AJ29" s="46"/>
      <c r="AK29" s="5"/>
    </row>
    <row r="30">
      <c r="A30" s="2"/>
      <c r="B30" s="70" t="str">
        <f>B4</f>
        <v>Биг–Л / Ноябрь | до </v>
      </c>
      <c r="C30" s="17"/>
      <c r="D30" s="28">
        <f>$D$4</f>
        <v>45991</v>
      </c>
      <c r="E30" s="2"/>
      <c r="F30" s="70" t="str">
        <f>F4</f>
        <v>Смарт / Ноябрь | до </v>
      </c>
      <c r="G30" s="17"/>
      <c r="H30" s="28">
        <f>$D$4</f>
        <v>45991</v>
      </c>
      <c r="I30" s="2"/>
      <c r="J30" s="30"/>
      <c r="K30" s="29">
        <v>45988.0</v>
      </c>
      <c r="L30" s="30">
        <f t="shared" si="3"/>
        <v>12067786.8</v>
      </c>
      <c r="M30" s="31">
        <v>2297798.0</v>
      </c>
      <c r="N30" s="31">
        <v>2499604.0</v>
      </c>
      <c r="O30" s="31">
        <v>3443773.0</v>
      </c>
      <c r="P30" s="31">
        <v>3533710.0</v>
      </c>
      <c r="Q30" s="31">
        <v>68854.0</v>
      </c>
      <c r="R30" s="31">
        <v>128656.0</v>
      </c>
      <c r="S30" s="31">
        <v>11858.0</v>
      </c>
      <c r="T30" s="31">
        <v>65076.0</v>
      </c>
      <c r="U30" s="124"/>
      <c r="V30" s="43">
        <v>15798.0</v>
      </c>
      <c r="W30" s="31">
        <v>0.0</v>
      </c>
      <c r="X30" s="43">
        <v>2659.8</v>
      </c>
      <c r="Y30" s="5"/>
      <c r="AA30" s="22" t="s">
        <v>27</v>
      </c>
      <c r="AB30" s="25">
        <f t="shared" si="9"/>
        <v>1794605</v>
      </c>
      <c r="AC30" s="23">
        <f t="shared" si="10"/>
        <v>1079042</v>
      </c>
      <c r="AD30" s="63">
        <f t="shared" si="11"/>
        <v>0.6012699173</v>
      </c>
      <c r="AE30" s="46"/>
      <c r="AF30" s="23">
        <f t="shared" si="12"/>
        <v>1794605</v>
      </c>
      <c r="AG30" s="23">
        <f t="shared" si="13"/>
        <v>1079042</v>
      </c>
      <c r="AH30" s="63">
        <f t="shared" si="14"/>
        <v>0.6012699173</v>
      </c>
      <c r="AI30" s="46"/>
      <c r="AJ30" s="46"/>
      <c r="AK30" s="5"/>
    </row>
    <row r="31">
      <c r="A31" s="35">
        <f t="shared" ref="A31:A32" si="15">IFERROR(C31/$C$33, " ")</f>
        <v>0</v>
      </c>
      <c r="B31" s="41" t="s">
        <v>59</v>
      </c>
      <c r="C31" s="31"/>
      <c r="D31" s="53"/>
      <c r="E31" s="2"/>
      <c r="F31" s="41" t="s">
        <v>59</v>
      </c>
      <c r="G31" s="31"/>
      <c r="H31" s="53"/>
      <c r="I31" s="35">
        <f t="shared" ref="I31:I32" si="16">IFERROR(G31/$G$33, " ")</f>
        <v>0</v>
      </c>
      <c r="J31" s="47"/>
      <c r="K31" s="29">
        <v>45989.0</v>
      </c>
      <c r="L31" s="30">
        <f t="shared" si="3"/>
        <v>13129103</v>
      </c>
      <c r="M31" s="31">
        <v>2762179.0</v>
      </c>
      <c r="N31" s="31">
        <v>2796128.0</v>
      </c>
      <c r="O31" s="31">
        <v>3688641.0</v>
      </c>
      <c r="P31" s="31">
        <v>3546653.0</v>
      </c>
      <c r="Q31" s="31">
        <v>91677.0</v>
      </c>
      <c r="R31" s="31">
        <v>142042.0</v>
      </c>
      <c r="S31" s="31">
        <v>13214.0</v>
      </c>
      <c r="T31" s="31">
        <v>60990.0</v>
      </c>
      <c r="U31" s="124"/>
      <c r="V31" s="43">
        <v>26264.0</v>
      </c>
      <c r="W31" s="31">
        <v>0.0</v>
      </c>
      <c r="X31" s="43">
        <v>1315.0</v>
      </c>
      <c r="Y31" s="5"/>
      <c r="Z31" s="44" t="s">
        <v>8</v>
      </c>
      <c r="AA31" s="22" t="s">
        <v>19</v>
      </c>
      <c r="AB31" s="128"/>
      <c r="AC31" s="23">
        <f t="shared" si="10"/>
        <v>2049</v>
      </c>
      <c r="AD31" s="63" t="str">
        <f t="shared" si="11"/>
        <v> </v>
      </c>
      <c r="AF31" s="121">
        <f t="shared" si="12"/>
        <v>0</v>
      </c>
      <c r="AG31" s="23">
        <f t="shared" si="13"/>
        <v>1391</v>
      </c>
      <c r="AH31" s="63" t="str">
        <f t="shared" si="14"/>
        <v> </v>
      </c>
      <c r="AK31" s="5"/>
    </row>
    <row r="32">
      <c r="A32" s="35">
        <f t="shared" si="15"/>
        <v>0</v>
      </c>
      <c r="B32" s="39" t="s">
        <v>65</v>
      </c>
      <c r="C32" s="32"/>
      <c r="D32" s="40"/>
      <c r="E32" s="2"/>
      <c r="F32" s="39" t="s">
        <v>65</v>
      </c>
      <c r="G32" s="32"/>
      <c r="H32" s="53"/>
      <c r="I32" s="35">
        <f t="shared" si="16"/>
        <v>0</v>
      </c>
      <c r="J32" s="47"/>
      <c r="K32" s="29">
        <v>45990.0</v>
      </c>
      <c r="L32" s="30">
        <f t="shared" si="3"/>
        <v>13417101</v>
      </c>
      <c r="M32" s="31">
        <v>2516868.0</v>
      </c>
      <c r="N32" s="31">
        <v>2875822.0</v>
      </c>
      <c r="O32" s="31">
        <v>3676789.0</v>
      </c>
      <c r="P32" s="31">
        <v>4053774.0</v>
      </c>
      <c r="Q32" s="31">
        <v>56946.0</v>
      </c>
      <c r="R32" s="31">
        <v>122322.0</v>
      </c>
      <c r="S32" s="31">
        <v>17642.0</v>
      </c>
      <c r="T32" s="31">
        <v>72478.0</v>
      </c>
      <c r="U32" s="124"/>
      <c r="V32" s="31">
        <v>22832.0</v>
      </c>
      <c r="W32" s="31">
        <v>0.0</v>
      </c>
      <c r="X32" s="43">
        <v>1628.0</v>
      </c>
      <c r="Y32" s="5"/>
      <c r="AA32" s="22" t="s">
        <v>27</v>
      </c>
      <c r="AB32" s="128"/>
      <c r="AC32" s="23">
        <f t="shared" si="10"/>
        <v>17685.2</v>
      </c>
      <c r="AD32" s="63" t="str">
        <f t="shared" si="11"/>
        <v> </v>
      </c>
      <c r="AF32" s="121">
        <f t="shared" si="12"/>
        <v>0</v>
      </c>
      <c r="AG32" s="23">
        <f t="shared" si="13"/>
        <v>14588.2</v>
      </c>
      <c r="AH32" s="63" t="str">
        <f t="shared" si="14"/>
        <v> </v>
      </c>
      <c r="AK32" s="5"/>
    </row>
    <row r="33">
      <c r="A33" s="2"/>
      <c r="B33" s="41" t="s">
        <v>42</v>
      </c>
      <c r="C33" s="32">
        <v>4570538.0</v>
      </c>
      <c r="D33" s="40"/>
      <c r="E33" s="2"/>
      <c r="F33" s="41" t="s">
        <v>42</v>
      </c>
      <c r="G33" s="32">
        <v>6664144.0</v>
      </c>
      <c r="H33" s="40"/>
      <c r="I33" s="2"/>
      <c r="J33" s="47"/>
      <c r="K33" s="29">
        <v>45991.0</v>
      </c>
      <c r="L33" s="30">
        <f t="shared" si="3"/>
        <v>14110105</v>
      </c>
      <c r="M33" s="31">
        <v>2412093.0</v>
      </c>
      <c r="N33" s="31">
        <v>2769758.0</v>
      </c>
      <c r="O33" s="31">
        <v>4283787.0</v>
      </c>
      <c r="P33" s="31">
        <v>4312913.0</v>
      </c>
      <c r="Q33" s="31">
        <v>85101.0</v>
      </c>
      <c r="R33" s="31">
        <v>117951.0</v>
      </c>
      <c r="S33" s="31">
        <v>18237.0</v>
      </c>
      <c r="T33" s="31">
        <v>68937.0</v>
      </c>
      <c r="U33" s="124"/>
      <c r="V33" s="31">
        <v>41328.0</v>
      </c>
      <c r="W33" s="31">
        <v>0.0</v>
      </c>
      <c r="X33" s="43">
        <v>0.0</v>
      </c>
      <c r="Y33" s="21"/>
      <c r="Z33" s="24"/>
      <c r="AA33" s="24"/>
      <c r="AB33" s="52">
        <f t="shared" ref="AB33:AC33" si="17">SUM(AB21:AB32)</f>
        <v>328045981.3</v>
      </c>
      <c r="AC33" s="52">
        <f t="shared" si="17"/>
        <v>379414162.9</v>
      </c>
      <c r="AD33" s="69">
        <f t="shared" si="11"/>
        <v>1.156588358</v>
      </c>
      <c r="AE33" s="24"/>
      <c r="AF33" s="52">
        <f t="shared" ref="AF33:AG33" si="18">SUM(AF21:AF32)</f>
        <v>328045981.3</v>
      </c>
      <c r="AG33" s="52">
        <f t="shared" si="18"/>
        <v>370114624.6</v>
      </c>
      <c r="AH33" s="69">
        <f t="shared" si="14"/>
        <v>1.128240081</v>
      </c>
      <c r="AI33" s="24"/>
      <c r="AJ33" s="24"/>
      <c r="AK33" s="21"/>
    </row>
    <row r="34">
      <c r="A34" s="2"/>
      <c r="B34" s="41" t="s">
        <v>43</v>
      </c>
      <c r="C34" s="2"/>
      <c r="D34" s="54">
        <f>O35</f>
        <v>103370590</v>
      </c>
      <c r="E34" s="2"/>
      <c r="F34" s="41" t="s">
        <v>43</v>
      </c>
      <c r="G34" s="2"/>
      <c r="H34" s="54">
        <f>P35</f>
        <v>124247057</v>
      </c>
      <c r="I34" s="2"/>
      <c r="J34" s="47"/>
      <c r="K34" s="29"/>
      <c r="L34" s="30"/>
      <c r="M34" s="31"/>
      <c r="N34" s="31"/>
      <c r="O34" s="31"/>
      <c r="P34" s="31"/>
      <c r="Q34" s="31"/>
      <c r="R34" s="31"/>
      <c r="S34" s="31"/>
      <c r="T34" s="31"/>
      <c r="U34" s="4"/>
      <c r="V34" s="31"/>
      <c r="W34" s="31"/>
      <c r="X34" s="43"/>
      <c r="Y34" s="5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5"/>
    </row>
    <row r="35">
      <c r="A35" s="2"/>
      <c r="B35" s="41" t="s">
        <v>44</v>
      </c>
      <c r="C35" s="2"/>
      <c r="D35" s="57">
        <f>C33/D34</f>
        <v>0.04421507123</v>
      </c>
      <c r="E35" s="2"/>
      <c r="F35" s="41" t="s">
        <v>44</v>
      </c>
      <c r="G35" s="2"/>
      <c r="H35" s="57">
        <f>G33/H34</f>
        <v>0.0536362322</v>
      </c>
      <c r="I35" s="2"/>
      <c r="J35" s="47"/>
      <c r="K35" s="75">
        <f>L35/C1</f>
        <v>12647138.76</v>
      </c>
      <c r="L35" s="76">
        <f t="shared" ref="L35:X35" si="19">SUM(L4:L34)</f>
        <v>379414162.9</v>
      </c>
      <c r="M35" s="30">
        <f t="shared" si="19"/>
        <v>68328978</v>
      </c>
      <c r="N35" s="30">
        <f t="shared" si="19"/>
        <v>73964392.7</v>
      </c>
      <c r="O35" s="30">
        <f t="shared" si="19"/>
        <v>103370590</v>
      </c>
      <c r="P35" s="30">
        <f t="shared" si="19"/>
        <v>124247057</v>
      </c>
      <c r="Q35" s="30">
        <f t="shared" si="19"/>
        <v>2491703</v>
      </c>
      <c r="R35" s="30">
        <f t="shared" si="19"/>
        <v>4455445</v>
      </c>
      <c r="S35" s="30">
        <f t="shared" si="19"/>
        <v>357438</v>
      </c>
      <c r="T35" s="30">
        <f t="shared" si="19"/>
        <v>1099783</v>
      </c>
      <c r="U35" s="30">
        <f t="shared" si="19"/>
        <v>0</v>
      </c>
      <c r="V35" s="30">
        <f t="shared" si="19"/>
        <v>1079042</v>
      </c>
      <c r="W35" s="30">
        <f t="shared" si="19"/>
        <v>2049</v>
      </c>
      <c r="X35" s="30">
        <f t="shared" si="19"/>
        <v>17685.2</v>
      </c>
      <c r="Y35" s="5"/>
      <c r="Z35" s="72" t="s">
        <v>60</v>
      </c>
      <c r="AB35" s="14" t="s">
        <v>17</v>
      </c>
      <c r="AC35" s="14" t="s">
        <v>61</v>
      </c>
      <c r="AD35" s="14" t="s">
        <v>62</v>
      </c>
      <c r="AE35" s="46"/>
      <c r="AF35" s="73" t="s">
        <v>63</v>
      </c>
      <c r="AG35" s="73" t="s">
        <v>64</v>
      </c>
      <c r="AH35" s="14" t="s">
        <v>48</v>
      </c>
      <c r="AI35" s="24"/>
      <c r="AJ35" s="24"/>
      <c r="AK35" s="5"/>
    </row>
    <row r="36">
      <c r="A36" s="35">
        <f>D35/C36</f>
        <v>0.6316438747</v>
      </c>
      <c r="B36" s="41" t="s">
        <v>47</v>
      </c>
      <c r="C36" s="59">
        <v>0.07</v>
      </c>
      <c r="D36" s="54">
        <f>D34*C36</f>
        <v>7235941.3</v>
      </c>
      <c r="E36" s="2"/>
      <c r="F36" s="41" t="s">
        <v>47</v>
      </c>
      <c r="G36" s="59">
        <v>0.07</v>
      </c>
      <c r="H36" s="54">
        <f>H34*G36</f>
        <v>8697293.99</v>
      </c>
      <c r="I36" s="35">
        <f>H35/G36</f>
        <v>0.7662318886</v>
      </c>
      <c r="J36" s="47"/>
      <c r="K36" s="2"/>
      <c r="L36" s="2"/>
      <c r="M36" s="35">
        <f t="shared" ref="M36:X36" si="20">M35/$L$35</f>
        <v>0.1800907417</v>
      </c>
      <c r="N36" s="35">
        <f t="shared" si="20"/>
        <v>0.1949436788</v>
      </c>
      <c r="O36" s="35">
        <f t="shared" si="20"/>
        <v>0.272447895</v>
      </c>
      <c r="P36" s="35">
        <f t="shared" si="20"/>
        <v>0.3274707935</v>
      </c>
      <c r="Q36" s="35">
        <f t="shared" si="20"/>
        <v>0.006567237714</v>
      </c>
      <c r="R36" s="35">
        <f t="shared" si="20"/>
        <v>0.01174295911</v>
      </c>
      <c r="S36" s="35">
        <f t="shared" si="20"/>
        <v>0.0009420786965</v>
      </c>
      <c r="T36" s="35">
        <f t="shared" si="20"/>
        <v>0.002898634546</v>
      </c>
      <c r="U36" s="35">
        <f t="shared" si="20"/>
        <v>0</v>
      </c>
      <c r="V36" s="35">
        <f t="shared" si="20"/>
        <v>0.00284396869</v>
      </c>
      <c r="W36" s="35">
        <f t="shared" si="20"/>
        <v>0.000005400430981</v>
      </c>
      <c r="X36" s="35">
        <f t="shared" si="20"/>
        <v>0.00004661186041</v>
      </c>
      <c r="Y36" s="5"/>
      <c r="Z36" s="21" t="s">
        <v>24</v>
      </c>
      <c r="AA36" s="22" t="s">
        <v>19</v>
      </c>
      <c r="AB36" s="23">
        <f t="shared" ref="AB36:AB47" si="21">AJ3</f>
        <v>103176599</v>
      </c>
      <c r="AC36" s="23">
        <f>C51</f>
        <v>3591756</v>
      </c>
      <c r="AD36" s="63">
        <f t="shared" ref="AD36:AD48" si="22">AC36/AB36</f>
        <v>0.0348117309</v>
      </c>
      <c r="AE36" s="46"/>
      <c r="AF36" s="63">
        <f>C36</f>
        <v>0.07</v>
      </c>
      <c r="AG36" s="63">
        <f t="shared" ref="AG36:AG48" si="23">AD36</f>
        <v>0.0348117309</v>
      </c>
      <c r="AH36" s="63">
        <f t="shared" ref="AH36:AH48" si="24">AG36/AF36-1</f>
        <v>-0.5026895585</v>
      </c>
      <c r="AI36" s="24"/>
      <c r="AJ36" s="24"/>
      <c r="AK36" s="5"/>
    </row>
    <row r="37">
      <c r="A37" s="2"/>
      <c r="B37" s="77" t="s">
        <v>50</v>
      </c>
      <c r="C37" s="61"/>
      <c r="D37" s="62">
        <f>C33-D36</f>
        <v>-2665403.3</v>
      </c>
      <c r="E37" s="2"/>
      <c r="F37" s="77" t="s">
        <v>50</v>
      </c>
      <c r="G37" s="61"/>
      <c r="H37" s="62">
        <f>G33-H36</f>
        <v>-2033149.99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5"/>
      <c r="AA37" s="22" t="s">
        <v>27</v>
      </c>
      <c r="AB37" s="23">
        <f t="shared" si="21"/>
        <v>123878665</v>
      </c>
      <c r="AC37" s="23">
        <f>G51</f>
        <v>2569910</v>
      </c>
      <c r="AD37" s="63">
        <f t="shared" si="22"/>
        <v>0.02074538017</v>
      </c>
      <c r="AE37" s="46"/>
      <c r="AF37" s="63">
        <f>G36</f>
        <v>0.07</v>
      </c>
      <c r="AG37" s="63">
        <f t="shared" si="23"/>
        <v>0.02074538017</v>
      </c>
      <c r="AH37" s="63">
        <f t="shared" si="24"/>
        <v>-0.7036374262</v>
      </c>
      <c r="AI37" s="5"/>
      <c r="AJ37" s="24"/>
      <c r="AK37" s="5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66" t="s">
        <v>66</v>
      </c>
      <c r="M38" s="78">
        <f>SUM(M40:N40)/$L$40</f>
        <v>0.3750344205</v>
      </c>
      <c r="N38" s="79"/>
      <c r="O38" s="78">
        <f>SUM(O40:P40)/$L$40</f>
        <v>0.5999186885</v>
      </c>
      <c r="P38" s="79"/>
      <c r="Q38" s="78">
        <f>SUM(Q40:R40)/$L$40</f>
        <v>0.01831019682</v>
      </c>
      <c r="R38" s="79"/>
      <c r="S38" s="78">
        <f>SUM(S40:T40)/$L$40</f>
        <v>0.003840713243</v>
      </c>
      <c r="T38" s="79"/>
      <c r="U38" s="78">
        <f>SUM(U40:V40)/$L$40</f>
        <v>0.00284396869</v>
      </c>
      <c r="V38" s="79"/>
      <c r="W38" s="78">
        <f>SUM(W40:X40)/$L$40</f>
        <v>0.00005201229139</v>
      </c>
      <c r="X38" s="79"/>
      <c r="Y38" s="5"/>
      <c r="Z38" s="21" t="s">
        <v>18</v>
      </c>
      <c r="AA38" s="22" t="s">
        <v>19</v>
      </c>
      <c r="AB38" s="23">
        <f t="shared" si="21"/>
        <v>64355951.38</v>
      </c>
      <c r="AC38" s="23">
        <f>C15</f>
        <v>10864870</v>
      </c>
      <c r="AD38" s="63">
        <f t="shared" si="22"/>
        <v>0.168824635</v>
      </c>
      <c r="AE38" s="46"/>
      <c r="AF38" s="63">
        <f>C18</f>
        <v>0.205</v>
      </c>
      <c r="AG38" s="63">
        <f t="shared" si="23"/>
        <v>0.168824635</v>
      </c>
      <c r="AH38" s="63">
        <f t="shared" si="24"/>
        <v>-0.1764651952</v>
      </c>
      <c r="AI38" s="5"/>
      <c r="AJ38" s="24"/>
      <c r="AK38" s="5"/>
    </row>
    <row r="39">
      <c r="A39" s="2"/>
      <c r="B39" s="58" t="s">
        <v>51</v>
      </c>
      <c r="C39" s="58"/>
      <c r="D39" s="64">
        <f>O42</f>
        <v>73239180</v>
      </c>
      <c r="E39" s="2"/>
      <c r="F39" s="58" t="s">
        <v>51</v>
      </c>
      <c r="G39" s="58"/>
      <c r="H39" s="64">
        <f>P42</f>
        <v>126203637</v>
      </c>
      <c r="I39" s="2"/>
      <c r="J39" s="2"/>
      <c r="K39" s="2" t="s">
        <v>67</v>
      </c>
      <c r="L39" s="35">
        <f t="shared" ref="L39:X39" si="25">L40/$L$40</f>
        <v>1</v>
      </c>
      <c r="M39" s="83">
        <f t="shared" si="25"/>
        <v>0.1800907417</v>
      </c>
      <c r="N39" s="84">
        <f t="shared" si="25"/>
        <v>0.1949436788</v>
      </c>
      <c r="O39" s="83">
        <f t="shared" si="25"/>
        <v>0.272447895</v>
      </c>
      <c r="P39" s="84">
        <f t="shared" si="25"/>
        <v>0.3274707935</v>
      </c>
      <c r="Q39" s="83">
        <f t="shared" si="25"/>
        <v>0.006567237714</v>
      </c>
      <c r="R39" s="84">
        <f t="shared" si="25"/>
        <v>0.01174295911</v>
      </c>
      <c r="S39" s="83">
        <f t="shared" si="25"/>
        <v>0.0009420786965</v>
      </c>
      <c r="T39" s="84">
        <f t="shared" si="25"/>
        <v>0.002898634546</v>
      </c>
      <c r="U39" s="83">
        <f t="shared" si="25"/>
        <v>0</v>
      </c>
      <c r="V39" s="84">
        <f t="shared" si="25"/>
        <v>0.00284396869</v>
      </c>
      <c r="W39" s="83">
        <f t="shared" si="25"/>
        <v>0.000005400430981</v>
      </c>
      <c r="X39" s="84">
        <f t="shared" si="25"/>
        <v>0.00004661186041</v>
      </c>
      <c r="Y39" s="5"/>
      <c r="AA39" s="22" t="s">
        <v>27</v>
      </c>
      <c r="AB39" s="23">
        <f t="shared" si="21"/>
        <v>70026828.19</v>
      </c>
      <c r="AC39" s="23">
        <f>G15</f>
        <v>8821383</v>
      </c>
      <c r="AD39" s="63">
        <f t="shared" si="22"/>
        <v>0.1259714773</v>
      </c>
      <c r="AE39" s="46"/>
      <c r="AF39" s="63">
        <f>G18</f>
        <v>0.115</v>
      </c>
      <c r="AG39" s="63">
        <f t="shared" si="23"/>
        <v>0.1259714773</v>
      </c>
      <c r="AH39" s="63">
        <f t="shared" si="24"/>
        <v>0.09540415076</v>
      </c>
      <c r="AI39" s="5"/>
      <c r="AJ39" s="24"/>
      <c r="AK39" s="5"/>
    </row>
    <row r="40">
      <c r="A40" s="2"/>
      <c r="B40" s="2" t="s">
        <v>52</v>
      </c>
      <c r="C40" s="2"/>
      <c r="D40" s="30">
        <f>D34/$C$1</f>
        <v>3445686.333</v>
      </c>
      <c r="E40" s="2"/>
      <c r="F40" s="2" t="s">
        <v>52</v>
      </c>
      <c r="G40" s="2"/>
      <c r="H40" s="30">
        <f>H34/$C$1</f>
        <v>4141568.567</v>
      </c>
      <c r="I40" s="2"/>
      <c r="J40" s="2"/>
      <c r="K40" s="2" t="s">
        <v>68</v>
      </c>
      <c r="L40" s="76">
        <f t="shared" ref="L40:X40" si="26">L35/$C$1*$G$1</f>
        <v>379414162.9</v>
      </c>
      <c r="M40" s="30">
        <f t="shared" si="26"/>
        <v>68328978</v>
      </c>
      <c r="N40" s="30">
        <f t="shared" si="26"/>
        <v>73964392.7</v>
      </c>
      <c r="O40" s="30">
        <f t="shared" si="26"/>
        <v>103370590</v>
      </c>
      <c r="P40" s="30">
        <f t="shared" si="26"/>
        <v>124247057</v>
      </c>
      <c r="Q40" s="30">
        <f t="shared" si="26"/>
        <v>2491703</v>
      </c>
      <c r="R40" s="30">
        <f t="shared" si="26"/>
        <v>4455445</v>
      </c>
      <c r="S40" s="30">
        <f t="shared" si="26"/>
        <v>357438</v>
      </c>
      <c r="T40" s="30">
        <f t="shared" si="26"/>
        <v>1099783</v>
      </c>
      <c r="U40" s="30">
        <f t="shared" si="26"/>
        <v>0</v>
      </c>
      <c r="V40" s="30">
        <f t="shared" si="26"/>
        <v>1079042</v>
      </c>
      <c r="W40" s="30">
        <f t="shared" si="26"/>
        <v>2049</v>
      </c>
      <c r="X40" s="30">
        <f t="shared" si="26"/>
        <v>17685.2</v>
      </c>
      <c r="Y40" s="5"/>
      <c r="Z40" s="21" t="s">
        <v>31</v>
      </c>
      <c r="AA40" s="22" t="s">
        <v>19</v>
      </c>
      <c r="AB40" s="23">
        <f t="shared" si="21"/>
        <v>2174848.722</v>
      </c>
      <c r="AC40" s="23">
        <f>C72</f>
        <v>446593</v>
      </c>
      <c r="AD40" s="63">
        <f t="shared" si="22"/>
        <v>0.2053443973</v>
      </c>
      <c r="AE40" s="46"/>
      <c r="AF40" s="63">
        <f>C75</f>
        <v>0.18</v>
      </c>
      <c r="AG40" s="63">
        <f t="shared" si="23"/>
        <v>0.2053443973</v>
      </c>
      <c r="AH40" s="63">
        <f t="shared" si="24"/>
        <v>0.140802207</v>
      </c>
      <c r="AI40" s="5"/>
      <c r="AJ40" s="24"/>
      <c r="AK40" s="5"/>
    </row>
    <row r="41">
      <c r="A41" s="2"/>
      <c r="B41" s="2" t="s">
        <v>53</v>
      </c>
      <c r="C41" s="2"/>
      <c r="D41" s="30">
        <f>D39/$G$1*$C$1</f>
        <v>73239180</v>
      </c>
      <c r="E41" s="2"/>
      <c r="F41" s="2" t="s">
        <v>53</v>
      </c>
      <c r="G41" s="2"/>
      <c r="H41" s="30">
        <f>H39/$G$1*$C$1</f>
        <v>126203637</v>
      </c>
      <c r="I41" s="2"/>
      <c r="J41" s="2"/>
      <c r="K41" s="2" t="s">
        <v>52</v>
      </c>
      <c r="L41" s="76">
        <f t="shared" ref="L41:X41" si="27">L35/$C$1</f>
        <v>12647138.76</v>
      </c>
      <c r="M41" s="30">
        <f t="shared" si="27"/>
        <v>2277632.6</v>
      </c>
      <c r="N41" s="30">
        <f t="shared" si="27"/>
        <v>2465479.757</v>
      </c>
      <c r="O41" s="30">
        <f t="shared" si="27"/>
        <v>3445686.333</v>
      </c>
      <c r="P41" s="30">
        <f t="shared" si="27"/>
        <v>4141568.567</v>
      </c>
      <c r="Q41" s="30">
        <f t="shared" si="27"/>
        <v>83056.76667</v>
      </c>
      <c r="R41" s="30">
        <f t="shared" si="27"/>
        <v>148514.8333</v>
      </c>
      <c r="S41" s="30">
        <f t="shared" si="27"/>
        <v>11914.6</v>
      </c>
      <c r="T41" s="30">
        <f t="shared" si="27"/>
        <v>36659.43333</v>
      </c>
      <c r="U41" s="30">
        <f t="shared" si="27"/>
        <v>0</v>
      </c>
      <c r="V41" s="30">
        <f t="shared" si="27"/>
        <v>35968.06667</v>
      </c>
      <c r="W41" s="30">
        <f t="shared" si="27"/>
        <v>68.3</v>
      </c>
      <c r="X41" s="30">
        <f t="shared" si="27"/>
        <v>589.5066667</v>
      </c>
      <c r="Y41" s="5"/>
      <c r="AA41" s="22" t="s">
        <v>27</v>
      </c>
      <c r="AB41" s="23">
        <f t="shared" si="21"/>
        <v>3962550.079</v>
      </c>
      <c r="AC41" s="23">
        <f>G72</f>
        <v>808166</v>
      </c>
      <c r="AD41" s="63">
        <f t="shared" si="22"/>
        <v>0.2039509871</v>
      </c>
      <c r="AE41" s="46"/>
      <c r="AF41" s="63">
        <f>G75</f>
        <v>0.175</v>
      </c>
      <c r="AG41" s="63">
        <f t="shared" si="23"/>
        <v>0.2039509871</v>
      </c>
      <c r="AH41" s="63">
        <f t="shared" si="24"/>
        <v>0.1654342119</v>
      </c>
      <c r="AI41" s="5"/>
      <c r="AJ41" s="24"/>
      <c r="AK41" s="5"/>
    </row>
    <row r="42">
      <c r="A42" s="2"/>
      <c r="B42" s="2" t="s">
        <v>54</v>
      </c>
      <c r="C42" s="2"/>
      <c r="D42" s="30" t="str">
        <f>(D39-D34)/($G$1-$C$1)</f>
        <v>#DIV/0!</v>
      </c>
      <c r="E42" s="2"/>
      <c r="F42" s="2" t="s">
        <v>54</v>
      </c>
      <c r="G42" s="2"/>
      <c r="H42" s="30" t="str">
        <f>(H39-H34)/($G$1-$C$1)</f>
        <v>#DIV/0!</v>
      </c>
      <c r="I42" s="2"/>
      <c r="J42" s="2"/>
      <c r="K42" s="2" t="s">
        <v>69</v>
      </c>
      <c r="L42" s="76">
        <f>SUM(M42:V42)</f>
        <v>328045981.3</v>
      </c>
      <c r="M42" s="30">
        <f>'Октябрь 25'!M35</f>
        <v>45495371</v>
      </c>
      <c r="N42" s="30">
        <f>'Октябрь 25'!N35</f>
        <v>74046375.3</v>
      </c>
      <c r="O42" s="30">
        <f>'Октябрь 25'!O35</f>
        <v>73239180</v>
      </c>
      <c r="P42" s="30">
        <f>'Октябрь 25'!P35</f>
        <v>126203637</v>
      </c>
      <c r="Q42" s="30">
        <f>'Октябрь 25'!Q35</f>
        <v>1604498</v>
      </c>
      <c r="R42" s="30">
        <f>'Октябрь 25'!R35</f>
        <v>4572310</v>
      </c>
      <c r="S42" s="30">
        <f>'Октябрь 25'!S35</f>
        <v>262675</v>
      </c>
      <c r="T42" s="30">
        <f>'Октябрь 25'!T35</f>
        <v>827330</v>
      </c>
      <c r="U42" s="30">
        <f>'Октябрь 25'!U35</f>
        <v>0</v>
      </c>
      <c r="V42" s="30">
        <f>'Октябрь 25'!V35</f>
        <v>1794605</v>
      </c>
      <c r="W42" s="32">
        <v>0.0</v>
      </c>
      <c r="X42" s="32">
        <v>0.0</v>
      </c>
      <c r="Y42" s="5"/>
      <c r="Z42" s="44" t="s">
        <v>34</v>
      </c>
      <c r="AA42" s="22" t="s">
        <v>19</v>
      </c>
      <c r="AB42" s="23">
        <f t="shared" si="21"/>
        <v>354043</v>
      </c>
      <c r="AC42" s="81">
        <v>0.0</v>
      </c>
      <c r="AD42" s="63">
        <f t="shared" si="22"/>
        <v>0</v>
      </c>
      <c r="AE42" s="46"/>
      <c r="AF42" s="82">
        <f>C91</f>
        <v>0.15</v>
      </c>
      <c r="AG42" s="63">
        <f t="shared" si="23"/>
        <v>0</v>
      </c>
      <c r="AH42" s="63">
        <f t="shared" si="24"/>
        <v>-1</v>
      </c>
      <c r="AI42" s="46"/>
      <c r="AJ42" s="46"/>
      <c r="AK42" s="5"/>
    </row>
    <row r="43">
      <c r="A43" s="2"/>
      <c r="B43" s="2" t="s">
        <v>55</v>
      </c>
      <c r="C43" s="2"/>
      <c r="D43" s="30">
        <f>D34-D41</f>
        <v>30131410</v>
      </c>
      <c r="E43" s="2"/>
      <c r="F43" s="2" t="s">
        <v>55</v>
      </c>
      <c r="G43" s="2"/>
      <c r="H43" s="30">
        <f>H34-H41</f>
        <v>-1956580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5"/>
      <c r="AA43" s="22" t="s">
        <v>27</v>
      </c>
      <c r="AB43" s="23">
        <f t="shared" si="21"/>
        <v>1090118</v>
      </c>
      <c r="AC43" s="81">
        <v>0.0</v>
      </c>
      <c r="AD43" s="63">
        <f t="shared" si="22"/>
        <v>0</v>
      </c>
      <c r="AE43" s="46"/>
      <c r="AF43" s="82">
        <f>G91</f>
        <v>0.15</v>
      </c>
      <c r="AG43" s="63">
        <f t="shared" si="23"/>
        <v>0</v>
      </c>
      <c r="AH43" s="63">
        <f t="shared" si="24"/>
        <v>-1</v>
      </c>
      <c r="AI43" s="46"/>
      <c r="AJ43" s="46"/>
      <c r="AK43" s="5"/>
    </row>
    <row r="44">
      <c r="A44" s="2"/>
      <c r="B44" s="2" t="s">
        <v>56</v>
      </c>
      <c r="C44" s="2"/>
      <c r="D44" s="30">
        <f>D34/$C$1*$G$1</f>
        <v>103370590</v>
      </c>
      <c r="E44" s="2"/>
      <c r="F44" s="2" t="s">
        <v>56</v>
      </c>
      <c r="G44" s="2"/>
      <c r="H44" s="30">
        <f>H34/$C$1*$G$1</f>
        <v>124247057</v>
      </c>
      <c r="I44" s="2"/>
      <c r="J44" s="2"/>
      <c r="K44" s="44" t="s">
        <v>70</v>
      </c>
      <c r="L44" s="45">
        <f>SUM(M44:X44)</f>
        <v>32224726.02</v>
      </c>
      <c r="M44" s="45">
        <f>C15</f>
        <v>10864870</v>
      </c>
      <c r="N44" s="45">
        <f>G15</f>
        <v>8821383</v>
      </c>
      <c r="O44" s="45">
        <f>C33</f>
        <v>4570538</v>
      </c>
      <c r="P44" s="45">
        <f>G33</f>
        <v>6664144</v>
      </c>
      <c r="Q44" s="45">
        <f>C72</f>
        <v>446593</v>
      </c>
      <c r="R44" s="45">
        <f>G72</f>
        <v>808166</v>
      </c>
      <c r="S44" s="45">
        <f>C88</f>
        <v>12690.93</v>
      </c>
      <c r="T44" s="45">
        <f>G88</f>
        <v>36341.09</v>
      </c>
      <c r="U44" s="81">
        <v>0.0</v>
      </c>
      <c r="V44" s="81">
        <v>0.0</v>
      </c>
      <c r="W44" s="81">
        <v>0.0</v>
      </c>
      <c r="X44" s="81">
        <v>0.0</v>
      </c>
      <c r="Y44" s="5"/>
      <c r="Z44" s="44" t="s">
        <v>37</v>
      </c>
      <c r="AA44" s="22" t="s">
        <v>19</v>
      </c>
      <c r="AB44" s="23">
        <f t="shared" si="21"/>
        <v>0</v>
      </c>
      <c r="AC44" s="81">
        <v>0.0</v>
      </c>
      <c r="AD44" s="63" t="str">
        <f t="shared" si="22"/>
        <v>#DIV/0!</v>
      </c>
      <c r="AE44" s="46"/>
      <c r="AF44" s="82">
        <v>0.0</v>
      </c>
      <c r="AG44" s="63" t="str">
        <f t="shared" si="23"/>
        <v>#DIV/0!</v>
      </c>
      <c r="AH44" s="63" t="str">
        <f t="shared" si="24"/>
        <v>#DIV/0!</v>
      </c>
      <c r="AI44" s="46"/>
      <c r="AJ44" s="46"/>
      <c r="AK44" s="5"/>
    </row>
    <row r="45">
      <c r="A45" s="2"/>
      <c r="B45" s="66" t="s">
        <v>57</v>
      </c>
      <c r="C45" s="66"/>
      <c r="D45" s="67">
        <f>D44/D39</f>
        <v>1.411411078</v>
      </c>
      <c r="E45" s="2"/>
      <c r="F45" s="66" t="s">
        <v>57</v>
      </c>
      <c r="G45" s="66"/>
      <c r="H45" s="67">
        <f>H44/H39</f>
        <v>0.9844966433</v>
      </c>
      <c r="I45" s="2"/>
      <c r="J45" s="2"/>
      <c r="K45" s="44" t="s">
        <v>72</v>
      </c>
      <c r="L45" s="82">
        <f>L44/L35</f>
        <v>0.08493284956</v>
      </c>
      <c r="M45" s="82">
        <f t="shared" ref="M45:X45" si="28">IFERROR(M44/M35, " ")</f>
        <v>0.1590082322</v>
      </c>
      <c r="N45" s="82">
        <f t="shared" si="28"/>
        <v>0.1192652664</v>
      </c>
      <c r="O45" s="82">
        <f t="shared" si="28"/>
        <v>0.04421507123</v>
      </c>
      <c r="P45" s="82">
        <f t="shared" si="28"/>
        <v>0.0536362322</v>
      </c>
      <c r="Q45" s="82">
        <f t="shared" si="28"/>
        <v>0.1792320353</v>
      </c>
      <c r="R45" s="82">
        <f t="shared" si="28"/>
        <v>0.1813883911</v>
      </c>
      <c r="S45" s="82">
        <f t="shared" si="28"/>
        <v>0.03550526245</v>
      </c>
      <c r="T45" s="82">
        <f t="shared" si="28"/>
        <v>0.0330438732</v>
      </c>
      <c r="U45" s="82" t="str">
        <f t="shared" si="28"/>
        <v> </v>
      </c>
      <c r="V45" s="82">
        <f t="shared" si="28"/>
        <v>0</v>
      </c>
      <c r="W45" s="82">
        <f t="shared" si="28"/>
        <v>0</v>
      </c>
      <c r="X45" s="82">
        <f t="shared" si="28"/>
        <v>0</v>
      </c>
      <c r="Y45" s="5"/>
      <c r="AA45" s="22" t="s">
        <v>27</v>
      </c>
      <c r="AB45" s="23">
        <f t="shared" si="21"/>
        <v>1079042</v>
      </c>
      <c r="AC45" s="81">
        <v>0.0</v>
      </c>
      <c r="AD45" s="63">
        <f t="shared" si="22"/>
        <v>0</v>
      </c>
      <c r="AE45" s="46"/>
      <c r="AF45" s="82">
        <v>0.0</v>
      </c>
      <c r="AG45" s="63">
        <f t="shared" si="23"/>
        <v>0</v>
      </c>
      <c r="AH45" s="63" t="str">
        <f t="shared" si="24"/>
        <v>#DIV/0!</v>
      </c>
      <c r="AI45" s="46"/>
      <c r="AJ45" s="46"/>
      <c r="AK45" s="5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5"/>
      <c r="Z46" s="44" t="s">
        <v>8</v>
      </c>
      <c r="AA46" s="22" t="s">
        <v>19</v>
      </c>
      <c r="AB46" s="23">
        <f t="shared" si="21"/>
        <v>1391</v>
      </c>
      <c r="AC46" s="81">
        <v>0.0</v>
      </c>
      <c r="AD46" s="63">
        <f t="shared" si="22"/>
        <v>0</v>
      </c>
      <c r="AF46" s="82">
        <v>0.0</v>
      </c>
      <c r="AG46" s="63">
        <f t="shared" si="23"/>
        <v>0</v>
      </c>
      <c r="AH46" s="63" t="str">
        <f t="shared" si="24"/>
        <v>#DIV/0!</v>
      </c>
      <c r="AK46" s="5"/>
    </row>
    <row r="47">
      <c r="A47" s="2"/>
      <c r="B47" s="68" t="s">
        <v>73</v>
      </c>
      <c r="C47" s="17"/>
      <c r="D47" s="17"/>
      <c r="E47" s="17"/>
      <c r="F47" s="17"/>
      <c r="G47" s="17"/>
      <c r="H47" s="18"/>
      <c r="I47" s="2"/>
      <c r="J47" s="2"/>
      <c r="K47" s="2" t="s">
        <v>74</v>
      </c>
      <c r="L47" s="35">
        <f t="shared" ref="L47:X47" si="29">L40/L42-1</f>
        <v>0.1565883581</v>
      </c>
      <c r="M47" s="86">
        <f t="shared" si="29"/>
        <v>0.5018885768</v>
      </c>
      <c r="N47" s="87">
        <f t="shared" si="29"/>
        <v>-0.001107179111</v>
      </c>
      <c r="O47" s="86">
        <f t="shared" si="29"/>
        <v>0.4114110781</v>
      </c>
      <c r="P47" s="87">
        <f t="shared" si="29"/>
        <v>-0.01550335669</v>
      </c>
      <c r="Q47" s="86">
        <f t="shared" si="29"/>
        <v>0.5529486481</v>
      </c>
      <c r="R47" s="87">
        <f t="shared" si="29"/>
        <v>-0.0255592906</v>
      </c>
      <c r="S47" s="86">
        <f t="shared" si="29"/>
        <v>0.3607613972</v>
      </c>
      <c r="T47" s="87">
        <f t="shared" si="29"/>
        <v>0.3293159924</v>
      </c>
      <c r="U47" s="86" t="str">
        <f t="shared" si="29"/>
        <v>#DIV/0!</v>
      </c>
      <c r="V47" s="87">
        <f t="shared" si="29"/>
        <v>-0.3987300827</v>
      </c>
      <c r="W47" s="86" t="str">
        <f t="shared" si="29"/>
        <v>#DIV/0!</v>
      </c>
      <c r="X47" s="87" t="str">
        <f t="shared" si="29"/>
        <v>#DIV/0!</v>
      </c>
      <c r="Y47" s="5"/>
      <c r="AA47" s="22" t="s">
        <v>27</v>
      </c>
      <c r="AB47" s="23">
        <f t="shared" si="21"/>
        <v>14588.2</v>
      </c>
      <c r="AC47" s="81">
        <v>0.0</v>
      </c>
      <c r="AD47" s="63">
        <f t="shared" si="22"/>
        <v>0</v>
      </c>
      <c r="AF47" s="82">
        <v>0.0</v>
      </c>
      <c r="AG47" s="63">
        <f t="shared" si="23"/>
        <v>0</v>
      </c>
      <c r="AH47" s="63" t="str">
        <f t="shared" si="24"/>
        <v>#DIV/0!</v>
      </c>
      <c r="AK47" s="5"/>
    </row>
    <row r="48">
      <c r="A48" s="2"/>
      <c r="B48" s="70" t="str">
        <f>B30</f>
        <v>Биг–Л / Ноябрь | до </v>
      </c>
      <c r="C48" s="17"/>
      <c r="D48" s="28">
        <f>$D$4</f>
        <v>45991</v>
      </c>
      <c r="E48" s="2"/>
      <c r="F48" s="70" t="str">
        <f>F30</f>
        <v>Смарт / Ноябрь | до </v>
      </c>
      <c r="G48" s="17"/>
      <c r="H48" s="28">
        <f>$D$4</f>
        <v>45991</v>
      </c>
      <c r="I48" s="2"/>
      <c r="J48" s="2"/>
      <c r="K48" s="19" t="s">
        <v>75</v>
      </c>
      <c r="M48" s="89">
        <f>SUM(M40:N40)/SUM(M42:N42)-1</f>
        <v>0.1903236744</v>
      </c>
      <c r="N48" s="90"/>
      <c r="O48" s="89">
        <f>SUM(O40:P40)/SUM(O42:P42)-1</f>
        <v>0.1412677098</v>
      </c>
      <c r="P48" s="90"/>
      <c r="Q48" s="89">
        <f>SUM(Q40:R40)/SUM(Q42:R42)-1</f>
        <v>0.1247149013</v>
      </c>
      <c r="R48" s="90"/>
      <c r="S48" s="89">
        <f>SUM(S40:T40)/SUM(S42:T42)-1</f>
        <v>0.3368938675</v>
      </c>
      <c r="T48" s="90"/>
      <c r="U48" s="89">
        <f>SUM(U40:V40)/SUM(U42:V42)-1</f>
        <v>-0.3987300827</v>
      </c>
      <c r="V48" s="90"/>
      <c r="W48" s="89" t="str">
        <f>SUM(W40:X40)/SUM(W42:X42)-1</f>
        <v>#DIV/0!</v>
      </c>
      <c r="X48" s="90"/>
      <c r="Y48" s="5"/>
      <c r="Z48" s="5"/>
      <c r="AA48" s="5"/>
      <c r="AB48" s="52">
        <f t="shared" ref="AB48:AC48" si="30">SUM(AB36:AB47)</f>
        <v>370114624.6</v>
      </c>
      <c r="AC48" s="52">
        <f t="shared" si="30"/>
        <v>27102678</v>
      </c>
      <c r="AD48" s="69">
        <f t="shared" si="22"/>
        <v>0.07322779539</v>
      </c>
      <c r="AE48" s="46"/>
      <c r="AF48" s="69">
        <f>F142</f>
        <v>0.1054500422</v>
      </c>
      <c r="AG48" s="69">
        <f t="shared" si="23"/>
        <v>0.07322779539</v>
      </c>
      <c r="AH48" s="69">
        <f t="shared" si="24"/>
        <v>-0.3055688377</v>
      </c>
      <c r="AI48" s="5"/>
      <c r="AJ48" s="5"/>
      <c r="AK48" s="5"/>
    </row>
    <row r="49">
      <c r="A49" s="35">
        <f t="shared" ref="A49:A50" si="32">IFERROR(C49/$C$33, " ")</f>
        <v>0</v>
      </c>
      <c r="B49" s="41" t="s">
        <v>59</v>
      </c>
      <c r="C49" s="31"/>
      <c r="D49" s="53"/>
      <c r="E49" s="2"/>
      <c r="F49" s="41" t="s">
        <v>59</v>
      </c>
      <c r="G49" s="31"/>
      <c r="H49" s="53"/>
      <c r="I49" s="35">
        <f t="shared" ref="I49:I50" si="33">IFERROR(G49/$G$33, " ")</f>
        <v>0</v>
      </c>
      <c r="J49" s="2"/>
      <c r="K49" s="2" t="s">
        <v>76</v>
      </c>
      <c r="L49" s="30">
        <f t="shared" ref="L49:X49" si="31">L40-L42</f>
        <v>51368181.6</v>
      </c>
      <c r="M49" s="93">
        <f t="shared" si="31"/>
        <v>22833607</v>
      </c>
      <c r="N49" s="94">
        <f t="shared" si="31"/>
        <v>-81982.6</v>
      </c>
      <c r="O49" s="93">
        <f t="shared" si="31"/>
        <v>30131410</v>
      </c>
      <c r="P49" s="94">
        <f t="shared" si="31"/>
        <v>-1956580</v>
      </c>
      <c r="Q49" s="93">
        <f t="shared" si="31"/>
        <v>887205</v>
      </c>
      <c r="R49" s="94">
        <f t="shared" si="31"/>
        <v>-116865</v>
      </c>
      <c r="S49" s="95">
        <f t="shared" si="31"/>
        <v>94763</v>
      </c>
      <c r="T49" s="54">
        <f t="shared" si="31"/>
        <v>272453</v>
      </c>
      <c r="U49" s="95">
        <f t="shared" si="31"/>
        <v>0</v>
      </c>
      <c r="V49" s="54">
        <f t="shared" si="31"/>
        <v>-715563</v>
      </c>
      <c r="W49" s="95">
        <f t="shared" si="31"/>
        <v>2049</v>
      </c>
      <c r="X49" s="54">
        <f t="shared" si="31"/>
        <v>17685.2</v>
      </c>
      <c r="Y49" s="5"/>
      <c r="Z49" s="46"/>
      <c r="AA49" s="46"/>
      <c r="AB49" s="46"/>
      <c r="AC49" s="46"/>
      <c r="AD49" s="46"/>
      <c r="AE49" s="46"/>
      <c r="AF49" s="46"/>
      <c r="AG49" s="46"/>
      <c r="AH49" s="46"/>
      <c r="AI49" s="55"/>
      <c r="AJ49" s="55"/>
      <c r="AK49" s="5"/>
    </row>
    <row r="50">
      <c r="A50" s="35">
        <f t="shared" si="32"/>
        <v>0</v>
      </c>
      <c r="B50" s="41" t="s">
        <v>77</v>
      </c>
      <c r="C50" s="32"/>
      <c r="D50" s="40"/>
      <c r="E50" s="2"/>
      <c r="F50" s="41" t="s">
        <v>77</v>
      </c>
      <c r="G50" s="32"/>
      <c r="H50" s="53"/>
      <c r="I50" s="35">
        <f t="shared" si="33"/>
        <v>0</v>
      </c>
      <c r="J50" s="2"/>
      <c r="K50" s="19" t="s">
        <v>78</v>
      </c>
      <c r="M50" s="97">
        <f>SUM(M40:N40)-SUM(M42:N42)</f>
        <v>22751624.4</v>
      </c>
      <c r="N50" s="90"/>
      <c r="O50" s="97">
        <f>SUM(O40:P40)-SUM(O42:P42)</f>
        <v>28174830</v>
      </c>
      <c r="P50" s="90"/>
      <c r="Q50" s="97">
        <f>SUM(Q40:R40)-SUM(Q42:R42)</f>
        <v>770340</v>
      </c>
      <c r="R50" s="90"/>
      <c r="S50" s="97">
        <f>SUM(S40:T40)-SUM(S42:T42)</f>
        <v>367216</v>
      </c>
      <c r="T50" s="90"/>
      <c r="U50" s="97">
        <f>SUM(U40:V40)-SUM(U42:V42)</f>
        <v>-715563</v>
      </c>
      <c r="V50" s="90"/>
      <c r="W50" s="97">
        <f>SUM(W40:X40)-SUM(W42:X42)</f>
        <v>19734.2</v>
      </c>
      <c r="X50" s="90"/>
      <c r="Y50" s="5"/>
      <c r="Z50" s="72" t="s">
        <v>71</v>
      </c>
      <c r="AB50" s="14" t="s">
        <v>17</v>
      </c>
      <c r="AC50" s="14" t="s">
        <v>61</v>
      </c>
      <c r="AD50" s="14" t="s">
        <v>62</v>
      </c>
      <c r="AE50" s="24"/>
      <c r="AF50" s="73" t="s">
        <v>63</v>
      </c>
      <c r="AG50" s="73" t="s">
        <v>64</v>
      </c>
      <c r="AH50" s="14" t="s">
        <v>48</v>
      </c>
      <c r="AI50" s="5"/>
      <c r="AJ50" s="5"/>
      <c r="AK50" s="5"/>
    </row>
    <row r="51">
      <c r="A51" s="2"/>
      <c r="B51" s="41" t="s">
        <v>42</v>
      </c>
      <c r="C51" s="32">
        <v>3591756.0</v>
      </c>
      <c r="D51" s="40"/>
      <c r="E51" s="2"/>
      <c r="F51" s="41" t="s">
        <v>42</v>
      </c>
      <c r="G51" s="32">
        <v>2569910.0</v>
      </c>
      <c r="H51" s="40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5"/>
      <c r="Z51" s="21" t="s">
        <v>24</v>
      </c>
      <c r="AA51" s="22" t="s">
        <v>19</v>
      </c>
      <c r="AB51" s="23">
        <f t="shared" ref="AB51:AB62" si="35">AB36</f>
        <v>103176599</v>
      </c>
      <c r="AC51" s="23">
        <f>C33</f>
        <v>4570538</v>
      </c>
      <c r="AD51" s="63">
        <f t="shared" ref="AD51:AD63" si="36">AC51/AB51</f>
        <v>0.0442982037</v>
      </c>
      <c r="AE51" s="24"/>
      <c r="AF51" s="63">
        <f t="shared" ref="AF51:AF63" si="37">AF36</f>
        <v>0.07</v>
      </c>
      <c r="AG51" s="63">
        <f t="shared" ref="AG51:AG63" si="38">AD51</f>
        <v>0.0442982037</v>
      </c>
      <c r="AH51" s="63">
        <f t="shared" ref="AH51:AH63" si="39">AG51/AF51-1</f>
        <v>-0.3671685185</v>
      </c>
      <c r="AI51" s="5"/>
      <c r="AJ51" s="5"/>
      <c r="AK51" s="5"/>
    </row>
    <row r="52">
      <c r="A52" s="2"/>
      <c r="B52" s="41" t="s">
        <v>43</v>
      </c>
      <c r="C52" s="2"/>
      <c r="D52" s="54">
        <f>O35</f>
        <v>103370590</v>
      </c>
      <c r="E52" s="2"/>
      <c r="F52" s="41" t="s">
        <v>43</v>
      </c>
      <c r="G52" s="2"/>
      <c r="H52" s="54">
        <f>P35</f>
        <v>124247057</v>
      </c>
      <c r="I52" s="2"/>
      <c r="J52" s="2"/>
      <c r="K52" s="2" t="s">
        <v>79</v>
      </c>
      <c r="L52" s="99">
        <v>4.0E8</v>
      </c>
      <c r="M52" s="30">
        <f t="shared" ref="M52:X52" si="34">$L$52*M36</f>
        <v>72036296.67</v>
      </c>
      <c r="N52" s="30">
        <f t="shared" si="34"/>
        <v>77977471.52</v>
      </c>
      <c r="O52" s="30">
        <f t="shared" si="34"/>
        <v>108979158</v>
      </c>
      <c r="P52" s="30">
        <f t="shared" si="34"/>
        <v>130988317.4</v>
      </c>
      <c r="Q52" s="30">
        <f t="shared" si="34"/>
        <v>2626895.086</v>
      </c>
      <c r="R52" s="30">
        <f t="shared" si="34"/>
        <v>4697183.643</v>
      </c>
      <c r="S52" s="30">
        <f t="shared" si="34"/>
        <v>376831.4786</v>
      </c>
      <c r="T52" s="30">
        <f t="shared" si="34"/>
        <v>1159453.819</v>
      </c>
      <c r="U52" s="30">
        <f t="shared" si="34"/>
        <v>0</v>
      </c>
      <c r="V52" s="30">
        <f t="shared" si="34"/>
        <v>1137587.476</v>
      </c>
      <c r="W52" s="30">
        <f t="shared" si="34"/>
        <v>2160.172392</v>
      </c>
      <c r="X52" s="30">
        <f t="shared" si="34"/>
        <v>18644.74417</v>
      </c>
      <c r="Y52" s="5"/>
      <c r="AA52" s="22" t="s">
        <v>27</v>
      </c>
      <c r="AB52" s="23">
        <f t="shared" si="35"/>
        <v>123878665</v>
      </c>
      <c r="AC52" s="23">
        <f>G33</f>
        <v>6664144</v>
      </c>
      <c r="AD52" s="63">
        <f t="shared" si="36"/>
        <v>0.05379573634</v>
      </c>
      <c r="AE52" s="24"/>
      <c r="AF52" s="63">
        <f t="shared" si="37"/>
        <v>0.07</v>
      </c>
      <c r="AG52" s="63">
        <f t="shared" si="38"/>
        <v>0.05379573634</v>
      </c>
      <c r="AH52" s="63">
        <f t="shared" si="39"/>
        <v>-0.2314894809</v>
      </c>
      <c r="AI52" s="55"/>
      <c r="AJ52" s="55"/>
      <c r="AK52" s="5"/>
    </row>
    <row r="53">
      <c r="A53" s="2"/>
      <c r="B53" s="41" t="s">
        <v>44</v>
      </c>
      <c r="C53" s="2"/>
      <c r="D53" s="57">
        <f>C51/D52</f>
        <v>0.03474640127</v>
      </c>
      <c r="E53" s="2"/>
      <c r="F53" s="41" t="s">
        <v>44</v>
      </c>
      <c r="G53" s="2"/>
      <c r="H53" s="57">
        <f>G51/H52</f>
        <v>0.0206838702</v>
      </c>
      <c r="I53" s="2"/>
      <c r="J53" s="2"/>
      <c r="K53" s="2" t="s">
        <v>80</v>
      </c>
      <c r="L53" s="76">
        <f t="shared" ref="L53:X53" si="40">L52-L35</f>
        <v>20585837.1</v>
      </c>
      <c r="M53" s="30">
        <f t="shared" si="40"/>
        <v>3707318.671</v>
      </c>
      <c r="N53" s="30">
        <f t="shared" si="40"/>
        <v>4013078.815</v>
      </c>
      <c r="O53" s="30">
        <f t="shared" si="40"/>
        <v>5608567.984</v>
      </c>
      <c r="P53" s="30">
        <f t="shared" si="40"/>
        <v>6741260.411</v>
      </c>
      <c r="Q53" s="30">
        <f t="shared" si="40"/>
        <v>135192.0858</v>
      </c>
      <c r="R53" s="30">
        <f t="shared" si="40"/>
        <v>241738.6433</v>
      </c>
      <c r="S53" s="30">
        <f t="shared" si="40"/>
        <v>19393.47858</v>
      </c>
      <c r="T53" s="30">
        <f t="shared" si="40"/>
        <v>59670.81859</v>
      </c>
      <c r="U53" s="30">
        <f t="shared" si="40"/>
        <v>0</v>
      </c>
      <c r="V53" s="30">
        <f t="shared" si="40"/>
        <v>58545.47618</v>
      </c>
      <c r="W53" s="30">
        <f t="shared" si="40"/>
        <v>111.1723924</v>
      </c>
      <c r="X53" s="30">
        <f t="shared" si="40"/>
        <v>959.5441654</v>
      </c>
      <c r="Y53" s="5"/>
      <c r="Z53" s="21" t="s">
        <v>18</v>
      </c>
      <c r="AA53" s="22" t="s">
        <v>19</v>
      </c>
      <c r="AB53" s="23">
        <f t="shared" si="35"/>
        <v>64355951.38</v>
      </c>
      <c r="AC53" s="23">
        <f t="shared" ref="AC53:AC62" si="42">AC38</f>
        <v>10864870</v>
      </c>
      <c r="AD53" s="63">
        <f t="shared" si="36"/>
        <v>0.168824635</v>
      </c>
      <c r="AE53" s="24"/>
      <c r="AF53" s="63">
        <f t="shared" si="37"/>
        <v>0.205</v>
      </c>
      <c r="AG53" s="63">
        <f t="shared" si="38"/>
        <v>0.168824635</v>
      </c>
      <c r="AH53" s="63">
        <f t="shared" si="39"/>
        <v>-0.1764651952</v>
      </c>
      <c r="AI53" s="55"/>
      <c r="AJ53" s="55"/>
      <c r="AK53" s="5"/>
    </row>
    <row r="54">
      <c r="A54" s="35">
        <f>D53/C54</f>
        <v>0.496377161</v>
      </c>
      <c r="B54" s="41" t="s">
        <v>47</v>
      </c>
      <c r="C54" s="59">
        <v>0.07</v>
      </c>
      <c r="D54" s="54">
        <f>D52*C54</f>
        <v>7235941.3</v>
      </c>
      <c r="E54" s="2"/>
      <c r="F54" s="41" t="s">
        <v>47</v>
      </c>
      <c r="G54" s="59">
        <v>0.07</v>
      </c>
      <c r="H54" s="57">
        <f>H52*G54</f>
        <v>8697293.99</v>
      </c>
      <c r="I54" s="35">
        <f>H53/G54</f>
        <v>0.29548386</v>
      </c>
      <c r="J54" s="2"/>
      <c r="K54" s="2" t="s">
        <v>81</v>
      </c>
      <c r="L54" s="76" t="str">
        <f>SUM(M54:V54)</f>
        <v>#DIV/0!</v>
      </c>
      <c r="M54" s="30" t="str">
        <f t="shared" ref="M54:X54" si="41">M53/($G$1-$C$1)</f>
        <v>#DIV/0!</v>
      </c>
      <c r="N54" s="30" t="str">
        <f t="shared" si="41"/>
        <v>#DIV/0!</v>
      </c>
      <c r="O54" s="30" t="str">
        <f t="shared" si="41"/>
        <v>#DIV/0!</v>
      </c>
      <c r="P54" s="30" t="str">
        <f t="shared" si="41"/>
        <v>#DIV/0!</v>
      </c>
      <c r="Q54" s="30" t="str">
        <f t="shared" si="41"/>
        <v>#DIV/0!</v>
      </c>
      <c r="R54" s="30" t="str">
        <f t="shared" si="41"/>
        <v>#DIV/0!</v>
      </c>
      <c r="S54" s="30" t="str">
        <f t="shared" si="41"/>
        <v>#DIV/0!</v>
      </c>
      <c r="T54" s="30" t="str">
        <f t="shared" si="41"/>
        <v>#DIV/0!</v>
      </c>
      <c r="U54" s="30" t="str">
        <f t="shared" si="41"/>
        <v>#DIV/0!</v>
      </c>
      <c r="V54" s="30" t="str">
        <f t="shared" si="41"/>
        <v>#DIV/0!</v>
      </c>
      <c r="W54" s="30" t="str">
        <f t="shared" si="41"/>
        <v>#DIV/0!</v>
      </c>
      <c r="X54" s="30" t="str">
        <f t="shared" si="41"/>
        <v>#DIV/0!</v>
      </c>
      <c r="Y54" s="5"/>
      <c r="AA54" s="22" t="s">
        <v>27</v>
      </c>
      <c r="AB54" s="23">
        <f t="shared" si="35"/>
        <v>70026828.19</v>
      </c>
      <c r="AC54" s="23">
        <f t="shared" si="42"/>
        <v>8821383</v>
      </c>
      <c r="AD54" s="63">
        <f t="shared" si="36"/>
        <v>0.1259714773</v>
      </c>
      <c r="AE54" s="24"/>
      <c r="AF54" s="63">
        <f t="shared" si="37"/>
        <v>0.115</v>
      </c>
      <c r="AG54" s="63">
        <f t="shared" si="38"/>
        <v>0.1259714773</v>
      </c>
      <c r="AH54" s="63">
        <f t="shared" si="39"/>
        <v>0.09540415076</v>
      </c>
      <c r="AI54" s="55"/>
      <c r="AJ54" s="55"/>
      <c r="AK54" s="5"/>
    </row>
    <row r="55">
      <c r="A55" s="2"/>
      <c r="B55" s="77" t="s">
        <v>50</v>
      </c>
      <c r="C55" s="61"/>
      <c r="D55" s="62">
        <f>C51-D54</f>
        <v>-3644185.3</v>
      </c>
      <c r="E55" s="2"/>
      <c r="F55" s="77" t="s">
        <v>50</v>
      </c>
      <c r="G55" s="61"/>
      <c r="H55" s="62">
        <f>G51-H54</f>
        <v>-6127383.99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5"/>
      <c r="Z55" s="21" t="s">
        <v>31</v>
      </c>
      <c r="AA55" s="22" t="s">
        <v>19</v>
      </c>
      <c r="AB55" s="23">
        <f t="shared" si="35"/>
        <v>2174848.722</v>
      </c>
      <c r="AC55" s="23">
        <f t="shared" si="42"/>
        <v>446593</v>
      </c>
      <c r="AD55" s="63">
        <f t="shared" si="36"/>
        <v>0.2053443973</v>
      </c>
      <c r="AE55" s="24"/>
      <c r="AF55" s="63">
        <f t="shared" si="37"/>
        <v>0.18</v>
      </c>
      <c r="AG55" s="63">
        <f t="shared" si="38"/>
        <v>0.2053443973</v>
      </c>
      <c r="AH55" s="63">
        <f t="shared" si="39"/>
        <v>0.140802207</v>
      </c>
      <c r="AI55" s="55"/>
      <c r="AJ55" s="55"/>
      <c r="AK55" s="5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31">
        <v>1.4E8</v>
      </c>
      <c r="O56" s="100"/>
      <c r="P56" s="2"/>
      <c r="Q56" s="2"/>
      <c r="R56" s="2"/>
      <c r="S56" s="2"/>
      <c r="T56" s="2"/>
      <c r="U56" s="2"/>
      <c r="V56" s="2"/>
      <c r="W56" s="2"/>
      <c r="X56" s="2"/>
      <c r="Y56" s="5"/>
      <c r="AA56" s="22" t="s">
        <v>27</v>
      </c>
      <c r="AB56" s="23">
        <f t="shared" si="35"/>
        <v>3962550.079</v>
      </c>
      <c r="AC56" s="23">
        <f t="shared" si="42"/>
        <v>808166</v>
      </c>
      <c r="AD56" s="63">
        <f t="shared" si="36"/>
        <v>0.2039509871</v>
      </c>
      <c r="AE56" s="24"/>
      <c r="AF56" s="63">
        <f t="shared" si="37"/>
        <v>0.175</v>
      </c>
      <c r="AG56" s="63">
        <f t="shared" si="38"/>
        <v>0.2039509871</v>
      </c>
      <c r="AH56" s="63">
        <f t="shared" si="39"/>
        <v>0.1654342119</v>
      </c>
      <c r="AI56" s="55"/>
      <c r="AJ56" s="55"/>
      <c r="AK56" s="5"/>
    </row>
    <row r="57">
      <c r="A57" s="2"/>
      <c r="B57" s="58" t="s">
        <v>51</v>
      </c>
      <c r="C57" s="58"/>
      <c r="D57" s="64">
        <f>O42</f>
        <v>73239180</v>
      </c>
      <c r="E57" s="2"/>
      <c r="F57" s="58" t="s">
        <v>51</v>
      </c>
      <c r="G57" s="58"/>
      <c r="H57" s="64">
        <f>P42</f>
        <v>126203637</v>
      </c>
      <c r="I57" s="2"/>
      <c r="J57" s="2"/>
      <c r="K57" s="2"/>
      <c r="L57" s="2"/>
      <c r="M57" s="4"/>
      <c r="N57" s="58">
        <f>N56-SUM(M35:N35)</f>
        <v>-2293370.7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5"/>
      <c r="Z57" s="44" t="s">
        <v>34</v>
      </c>
      <c r="AA57" s="22" t="s">
        <v>19</v>
      </c>
      <c r="AB57" s="23">
        <f t="shared" si="35"/>
        <v>354043</v>
      </c>
      <c r="AC57" s="23">
        <f t="shared" si="42"/>
        <v>0</v>
      </c>
      <c r="AD57" s="63">
        <f t="shared" si="36"/>
        <v>0</v>
      </c>
      <c r="AE57" s="46"/>
      <c r="AF57" s="63">
        <f t="shared" si="37"/>
        <v>0.15</v>
      </c>
      <c r="AG57" s="63">
        <f t="shared" si="38"/>
        <v>0</v>
      </c>
      <c r="AH57" s="63">
        <f t="shared" si="39"/>
        <v>-1</v>
      </c>
      <c r="AI57" s="46"/>
      <c r="AJ57" s="46"/>
      <c r="AK57" s="5"/>
    </row>
    <row r="58">
      <c r="A58" s="2"/>
      <c r="B58" s="2" t="s">
        <v>52</v>
      </c>
      <c r="C58" s="2"/>
      <c r="D58" s="30">
        <f>D52/$C$1</f>
        <v>3445686.333</v>
      </c>
      <c r="E58" s="2"/>
      <c r="F58" s="2" t="s">
        <v>52</v>
      </c>
      <c r="G58" s="2"/>
      <c r="H58" s="30">
        <f>H52/$C$1</f>
        <v>4141568.567</v>
      </c>
      <c r="I58" s="2"/>
      <c r="J58" s="2"/>
      <c r="K58" s="2"/>
      <c r="L58" s="2"/>
      <c r="M58" s="56">
        <f>M35/SUM(M35:N35)</f>
        <v>0.4801979014</v>
      </c>
      <c r="N58" s="56">
        <f>N35/SUM(M35:N35)</f>
        <v>0.5198020986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5"/>
      <c r="AA58" s="22" t="s">
        <v>27</v>
      </c>
      <c r="AB58" s="23">
        <f t="shared" si="35"/>
        <v>1090118</v>
      </c>
      <c r="AC58" s="23">
        <f t="shared" si="42"/>
        <v>0</v>
      </c>
      <c r="AD58" s="63">
        <f t="shared" si="36"/>
        <v>0</v>
      </c>
      <c r="AE58" s="46"/>
      <c r="AF58" s="63">
        <f t="shared" si="37"/>
        <v>0.15</v>
      </c>
      <c r="AG58" s="63">
        <f t="shared" si="38"/>
        <v>0</v>
      </c>
      <c r="AH58" s="63">
        <f t="shared" si="39"/>
        <v>-1</v>
      </c>
      <c r="AI58" s="46"/>
      <c r="AJ58" s="46"/>
      <c r="AK58" s="5"/>
    </row>
    <row r="59">
      <c r="A59" s="2"/>
      <c r="B59" s="2" t="s">
        <v>53</v>
      </c>
      <c r="C59" s="2"/>
      <c r="D59" s="30">
        <f>D57/$G$1*$C$1</f>
        <v>73239180</v>
      </c>
      <c r="E59" s="2"/>
      <c r="F59" s="2" t="s">
        <v>53</v>
      </c>
      <c r="G59" s="2"/>
      <c r="H59" s="30">
        <f>H57/$G$1*$C$1</f>
        <v>126203637</v>
      </c>
      <c r="I59" s="2"/>
      <c r="J59" s="2"/>
      <c r="K59" s="2"/>
      <c r="L59" s="2"/>
      <c r="M59" s="58">
        <f>N57*M58</f>
        <v>-1101271.797</v>
      </c>
      <c r="N59" s="58">
        <f>N57*N58</f>
        <v>-1192098.903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5"/>
      <c r="Z59" s="44" t="s">
        <v>37</v>
      </c>
      <c r="AA59" s="22" t="s">
        <v>19</v>
      </c>
      <c r="AB59" s="23">
        <f t="shared" si="35"/>
        <v>0</v>
      </c>
      <c r="AC59" s="23">
        <f t="shared" si="42"/>
        <v>0</v>
      </c>
      <c r="AD59" s="63" t="str">
        <f t="shared" si="36"/>
        <v>#DIV/0!</v>
      </c>
      <c r="AE59" s="46"/>
      <c r="AF59" s="63">
        <f t="shared" si="37"/>
        <v>0</v>
      </c>
      <c r="AG59" s="63" t="str">
        <f t="shared" si="38"/>
        <v>#DIV/0!</v>
      </c>
      <c r="AH59" s="63" t="str">
        <f t="shared" si="39"/>
        <v>#DIV/0!</v>
      </c>
      <c r="AI59" s="46"/>
      <c r="AJ59" s="46"/>
      <c r="AK59" s="5"/>
    </row>
    <row r="60">
      <c r="A60" s="2"/>
      <c r="B60" s="2" t="s">
        <v>54</v>
      </c>
      <c r="C60" s="2"/>
      <c r="D60" s="30" t="str">
        <f>(D57-D52)/($G$1-$C$1)</f>
        <v>#DIV/0!</v>
      </c>
      <c r="E60" s="2"/>
      <c r="F60" s="2" t="s">
        <v>54</v>
      </c>
      <c r="G60" s="2"/>
      <c r="H60" s="30" t="str">
        <f>(H57-H52)/($G$1-$C$1)</f>
        <v>#DIV/0!</v>
      </c>
      <c r="I60" s="2"/>
      <c r="J60" s="2"/>
      <c r="K60" s="2"/>
      <c r="L60" s="2" t="str">
        <f>SUM(M60:N60)</f>
        <v>#DIV/0!</v>
      </c>
      <c r="M60" s="2" t="str">
        <f>M59/(G1-C1)</f>
        <v>#DIV/0!</v>
      </c>
      <c r="N60" s="2" t="str">
        <f>N59/(G1-C1)</f>
        <v>#DIV/0!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5"/>
      <c r="AA60" s="22" t="s">
        <v>27</v>
      </c>
      <c r="AB60" s="23">
        <f t="shared" si="35"/>
        <v>1079042</v>
      </c>
      <c r="AC60" s="23">
        <f t="shared" si="42"/>
        <v>0</v>
      </c>
      <c r="AD60" s="63">
        <f t="shared" si="36"/>
        <v>0</v>
      </c>
      <c r="AE60" s="46"/>
      <c r="AF60" s="63">
        <f t="shared" si="37"/>
        <v>0</v>
      </c>
      <c r="AG60" s="63">
        <f t="shared" si="38"/>
        <v>0</v>
      </c>
      <c r="AH60" s="63" t="str">
        <f t="shared" si="39"/>
        <v>#DIV/0!</v>
      </c>
      <c r="AI60" s="46"/>
      <c r="AJ60" s="46"/>
      <c r="AK60" s="46"/>
    </row>
    <row r="61">
      <c r="A61" s="2"/>
      <c r="B61" s="2" t="s">
        <v>55</v>
      </c>
      <c r="C61" s="2"/>
      <c r="D61" s="30">
        <f>D52-D59</f>
        <v>30131410</v>
      </c>
      <c r="E61" s="2"/>
      <c r="F61" s="2" t="s">
        <v>55</v>
      </c>
      <c r="G61" s="2"/>
      <c r="H61" s="30">
        <f>H52-H59</f>
        <v>-1956580</v>
      </c>
      <c r="I61" s="2"/>
      <c r="J61" s="2"/>
      <c r="K61" s="2"/>
      <c r="L61" s="2"/>
      <c r="M61" s="56"/>
      <c r="N61" s="56"/>
      <c r="O61" s="2"/>
      <c r="P61" s="2"/>
      <c r="Q61" s="2"/>
      <c r="R61" s="2"/>
      <c r="S61" s="2"/>
      <c r="T61" s="2"/>
      <c r="U61" s="2"/>
      <c r="V61" s="2"/>
      <c r="W61" s="2"/>
      <c r="X61" s="2"/>
      <c r="Y61" s="5"/>
      <c r="Z61" s="44" t="s">
        <v>8</v>
      </c>
      <c r="AA61" s="22" t="s">
        <v>19</v>
      </c>
      <c r="AB61" s="23">
        <f t="shared" si="35"/>
        <v>1391</v>
      </c>
      <c r="AC61" s="23">
        <f t="shared" si="42"/>
        <v>0</v>
      </c>
      <c r="AD61" s="63">
        <f t="shared" si="36"/>
        <v>0</v>
      </c>
      <c r="AF61" s="63">
        <f t="shared" si="37"/>
        <v>0</v>
      </c>
      <c r="AG61" s="63">
        <f t="shared" si="38"/>
        <v>0</v>
      </c>
      <c r="AH61" s="63" t="str">
        <f t="shared" si="39"/>
        <v>#DIV/0!</v>
      </c>
      <c r="AK61" s="46"/>
    </row>
    <row r="62">
      <c r="A62" s="2"/>
      <c r="B62" s="2" t="s">
        <v>56</v>
      </c>
      <c r="C62" s="2"/>
      <c r="D62" s="30">
        <f>D52/$C$1*$G$1</f>
        <v>103370590</v>
      </c>
      <c r="E62" s="2"/>
      <c r="F62" s="2" t="s">
        <v>56</v>
      </c>
      <c r="G62" s="2"/>
      <c r="H62" s="30">
        <f>H52/$C$1*$G$1</f>
        <v>124247057</v>
      </c>
      <c r="I62" s="2"/>
      <c r="J62" s="2"/>
      <c r="K62" s="2"/>
      <c r="L62" s="2"/>
      <c r="M62" s="56">
        <f t="shared" ref="M62:N62" si="43">M58</f>
        <v>0.4801979014</v>
      </c>
      <c r="N62" s="56">
        <f t="shared" si="43"/>
        <v>0.5198020986</v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5"/>
      <c r="AA62" s="22" t="s">
        <v>27</v>
      </c>
      <c r="AB62" s="23">
        <f t="shared" si="35"/>
        <v>14588.2</v>
      </c>
      <c r="AC62" s="23">
        <f t="shared" si="42"/>
        <v>0</v>
      </c>
      <c r="AD62" s="63">
        <f t="shared" si="36"/>
        <v>0</v>
      </c>
      <c r="AF62" s="63">
        <f t="shared" si="37"/>
        <v>0</v>
      </c>
      <c r="AG62" s="63">
        <f t="shared" si="38"/>
        <v>0</v>
      </c>
      <c r="AH62" s="63" t="str">
        <f t="shared" si="39"/>
        <v>#DIV/0!</v>
      </c>
      <c r="AK62" s="46"/>
    </row>
    <row r="63">
      <c r="A63" s="2"/>
      <c r="B63" s="66" t="s">
        <v>57</v>
      </c>
      <c r="C63" s="66"/>
      <c r="D63" s="67">
        <f>D62/D57</f>
        <v>1.411411078</v>
      </c>
      <c r="E63" s="2"/>
      <c r="F63" s="66" t="s">
        <v>57</v>
      </c>
      <c r="G63" s="66"/>
      <c r="H63" s="67">
        <f>H62/H57</f>
        <v>0.9844966433</v>
      </c>
      <c r="I63" s="2"/>
      <c r="J63" s="2"/>
      <c r="K63" s="56"/>
      <c r="L63" s="2"/>
      <c r="M63" s="58">
        <f t="shared" ref="M63:N63" si="44">$N$56*M62</f>
        <v>67227706.2</v>
      </c>
      <c r="N63" s="58">
        <f t="shared" si="44"/>
        <v>72772293.8</v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5"/>
      <c r="Z63" s="5"/>
      <c r="AA63" s="5"/>
      <c r="AB63" s="52">
        <f t="shared" ref="AB63:AC63" si="45">SUM(AB51:AB62)</f>
        <v>370114624.6</v>
      </c>
      <c r="AC63" s="52">
        <f t="shared" si="45"/>
        <v>32175694</v>
      </c>
      <c r="AD63" s="69">
        <f t="shared" si="36"/>
        <v>0.08693440319</v>
      </c>
      <c r="AE63" s="5"/>
      <c r="AF63" s="69">
        <f t="shared" si="37"/>
        <v>0.1054500422</v>
      </c>
      <c r="AG63" s="69">
        <f t="shared" si="38"/>
        <v>0.08693440319</v>
      </c>
      <c r="AH63" s="69">
        <f t="shared" si="39"/>
        <v>-0.1755868338</v>
      </c>
      <c r="AI63" s="55"/>
      <c r="AJ63" s="24"/>
      <c r="AK63" s="46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56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5"/>
      <c r="Z64" s="55"/>
      <c r="AA64" s="55"/>
      <c r="AB64" s="55"/>
      <c r="AC64" s="55"/>
      <c r="AD64" s="55"/>
      <c r="AE64" s="55"/>
      <c r="AF64" s="55"/>
      <c r="AG64" s="55"/>
      <c r="AH64" s="55"/>
      <c r="AI64" s="5"/>
      <c r="AJ64" s="5"/>
      <c r="AK64" s="46"/>
    </row>
    <row r="65">
      <c r="A65" s="2"/>
      <c r="B65" s="102" t="s">
        <v>31</v>
      </c>
      <c r="C65" s="17"/>
      <c r="D65" s="17"/>
      <c r="E65" s="17"/>
      <c r="F65" s="17"/>
      <c r="G65" s="17"/>
      <c r="H65" s="18"/>
      <c r="I65" s="2"/>
      <c r="J65" s="2"/>
      <c r="K65" s="56"/>
      <c r="L65" s="2">
        <f>G1-C1</f>
        <v>0</v>
      </c>
      <c r="M65" s="2" t="str">
        <f t="shared" ref="M65:N65" si="46">(M63-M35)/$L$65</f>
        <v>#DIV/0!</v>
      </c>
      <c r="N65" s="2" t="str">
        <f t="shared" si="46"/>
        <v>#DIV/0!</v>
      </c>
      <c r="O65" s="2"/>
      <c r="P65" s="2"/>
      <c r="Q65" s="2"/>
      <c r="R65" s="2"/>
      <c r="S65" s="2"/>
      <c r="T65" s="2"/>
      <c r="U65" s="2"/>
      <c r="V65" s="2"/>
      <c r="W65" s="2"/>
      <c r="X65" s="2"/>
      <c r="Y65" s="5"/>
      <c r="Z65" s="5"/>
      <c r="AA65" s="5"/>
      <c r="AB65" s="14" t="s">
        <v>12</v>
      </c>
      <c r="AC65" s="14" t="s">
        <v>17</v>
      </c>
      <c r="AD65" s="101" t="s">
        <v>48</v>
      </c>
      <c r="AE65" s="5"/>
      <c r="AF65" s="14" t="s">
        <v>63</v>
      </c>
      <c r="AG65" s="14" t="s">
        <v>64</v>
      </c>
      <c r="AH65" s="101" t="s">
        <v>48</v>
      </c>
      <c r="AI65" s="5"/>
      <c r="AJ65" s="5"/>
      <c r="AK65" s="46"/>
    </row>
    <row r="66">
      <c r="A66" s="2"/>
      <c r="B66" s="70" t="str">
        <f>B30</f>
        <v>Биг–Л / Ноябрь | до </v>
      </c>
      <c r="C66" s="17"/>
      <c r="D66" s="28">
        <f>$D$4</f>
        <v>45991</v>
      </c>
      <c r="E66" s="2"/>
      <c r="F66" s="70" t="str">
        <f>F30</f>
        <v>Смарт / Ноябрь | до </v>
      </c>
      <c r="G66" s="17"/>
      <c r="H66" s="28">
        <f>$D$4</f>
        <v>45991</v>
      </c>
      <c r="I66" s="2"/>
      <c r="J66" s="2"/>
      <c r="Y66" s="5"/>
      <c r="Z66" s="21" t="s">
        <v>24</v>
      </c>
      <c r="AA66" s="22" t="s">
        <v>19</v>
      </c>
      <c r="AB66" s="23">
        <f t="shared" ref="AB66:AB77" si="48">AD3</f>
        <v>73239180</v>
      </c>
      <c r="AC66" s="23">
        <f t="shared" ref="AC66:AC77" si="49">AJ3</f>
        <v>103176599</v>
      </c>
      <c r="AD66" s="63">
        <f t="shared" ref="AD66:AD78" si="50">IFERROR(AC66/AB66, " ")</f>
        <v>1.408762346</v>
      </c>
      <c r="AE66" s="5"/>
      <c r="AF66" s="63">
        <f t="shared" ref="AF66:AG66" si="47">AF51</f>
        <v>0.07</v>
      </c>
      <c r="AG66" s="63">
        <f t="shared" si="47"/>
        <v>0.0442982037</v>
      </c>
      <c r="AH66" s="63">
        <f t="shared" ref="AH66:AH78" si="52">AG66/AF66-1</f>
        <v>-0.3671685185</v>
      </c>
      <c r="AI66" s="5"/>
      <c r="AJ66" s="5"/>
      <c r="AK66" s="46"/>
    </row>
    <row r="67">
      <c r="A67" s="35">
        <f t="shared" ref="A67:A71" si="53">IFERROR(C67/$C$72, " ")</f>
        <v>0.9555993936</v>
      </c>
      <c r="B67" s="41" t="s">
        <v>82</v>
      </c>
      <c r="C67" s="31">
        <v>426764.0</v>
      </c>
      <c r="D67" s="53"/>
      <c r="E67" s="2"/>
      <c r="F67" s="41" t="s">
        <v>82</v>
      </c>
      <c r="G67" s="31">
        <v>776693.0</v>
      </c>
      <c r="H67" s="53"/>
      <c r="I67" s="35">
        <f t="shared" ref="I67:I71" si="54">IFERROR(G67/$G$72, " ")</f>
        <v>0.9610562681</v>
      </c>
      <c r="J67" s="2"/>
      <c r="Y67" s="5"/>
      <c r="AA67" s="22" t="s">
        <v>27</v>
      </c>
      <c r="AB67" s="23">
        <f t="shared" si="48"/>
        <v>126203637</v>
      </c>
      <c r="AC67" s="23">
        <f t="shared" si="49"/>
        <v>123878665</v>
      </c>
      <c r="AD67" s="63">
        <f t="shared" si="50"/>
        <v>0.9815776149</v>
      </c>
      <c r="AE67" s="55"/>
      <c r="AF67" s="63">
        <f t="shared" ref="AF67:AG67" si="51">AF52</f>
        <v>0.07</v>
      </c>
      <c r="AG67" s="63">
        <f t="shared" si="51"/>
        <v>0.05379573634</v>
      </c>
      <c r="AH67" s="63">
        <f t="shared" si="52"/>
        <v>-0.2314894809</v>
      </c>
      <c r="AI67" s="5"/>
      <c r="AJ67" s="5"/>
      <c r="AK67" s="46"/>
    </row>
    <row r="68">
      <c r="A68" s="35">
        <f t="shared" si="53"/>
        <v>0.04104184347</v>
      </c>
      <c r="B68" s="41" t="s">
        <v>83</v>
      </c>
      <c r="C68" s="32">
        <v>18329.0</v>
      </c>
      <c r="D68" s="74"/>
      <c r="E68" s="2"/>
      <c r="F68" s="41" t="s">
        <v>83</v>
      </c>
      <c r="G68" s="32">
        <v>29973.0</v>
      </c>
      <c r="H68" s="40"/>
      <c r="I68" s="35">
        <f t="shared" si="54"/>
        <v>0.03708767753</v>
      </c>
      <c r="J68" s="2"/>
      <c r="K68" s="56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5"/>
      <c r="Z68" s="21" t="s">
        <v>18</v>
      </c>
      <c r="AA68" s="22" t="s">
        <v>19</v>
      </c>
      <c r="AB68" s="23">
        <f t="shared" si="48"/>
        <v>45495371</v>
      </c>
      <c r="AC68" s="23">
        <f t="shared" si="49"/>
        <v>64355951.38</v>
      </c>
      <c r="AD68" s="63">
        <f t="shared" si="50"/>
        <v>1.414560426</v>
      </c>
      <c r="AE68" s="55"/>
      <c r="AF68" s="63">
        <f t="shared" ref="AF68:AG68" si="55">AF53</f>
        <v>0.205</v>
      </c>
      <c r="AG68" s="63">
        <f t="shared" si="55"/>
        <v>0.168824635</v>
      </c>
      <c r="AH68" s="63">
        <f t="shared" si="52"/>
        <v>-0.1764651952</v>
      </c>
      <c r="AI68" s="5"/>
      <c r="AJ68" s="5"/>
      <c r="AK68" s="46"/>
    </row>
    <row r="69">
      <c r="A69" s="35">
        <f t="shared" si="53"/>
        <v>0</v>
      </c>
      <c r="B69" s="41" t="s">
        <v>84</v>
      </c>
      <c r="C69" s="32"/>
      <c r="D69" s="53"/>
      <c r="E69" s="2"/>
      <c r="F69" s="41" t="s">
        <v>84</v>
      </c>
      <c r="G69" s="32"/>
      <c r="H69" s="53"/>
      <c r="I69" s="35">
        <f t="shared" si="54"/>
        <v>0</v>
      </c>
      <c r="J69" s="2"/>
      <c r="K69" s="56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5"/>
      <c r="AA69" s="22" t="s">
        <v>27</v>
      </c>
      <c r="AB69" s="23">
        <f t="shared" si="48"/>
        <v>74046375.3</v>
      </c>
      <c r="AC69" s="23">
        <f t="shared" si="49"/>
        <v>70026828.19</v>
      </c>
      <c r="AD69" s="63">
        <f t="shared" si="50"/>
        <v>0.9457158153</v>
      </c>
      <c r="AE69" s="55"/>
      <c r="AF69" s="63">
        <f t="shared" ref="AF69:AG69" si="56">AF54</f>
        <v>0.115</v>
      </c>
      <c r="AG69" s="63">
        <f t="shared" si="56"/>
        <v>0.1259714773</v>
      </c>
      <c r="AH69" s="63">
        <f t="shared" si="52"/>
        <v>0.09540415076</v>
      </c>
      <c r="AI69" s="5"/>
      <c r="AJ69" s="5"/>
      <c r="AK69" s="5"/>
    </row>
    <row r="70">
      <c r="A70" s="35">
        <f t="shared" si="53"/>
        <v>0.0033587629</v>
      </c>
      <c r="B70" s="41" t="s">
        <v>85</v>
      </c>
      <c r="C70" s="32">
        <v>1500.0</v>
      </c>
      <c r="D70" s="53"/>
      <c r="E70" s="2"/>
      <c r="F70" s="41" t="s">
        <v>85</v>
      </c>
      <c r="G70" s="32">
        <v>1500.0</v>
      </c>
      <c r="H70" s="53"/>
      <c r="I70" s="35">
        <f t="shared" si="54"/>
        <v>0.001856054325</v>
      </c>
      <c r="J70" s="2"/>
      <c r="K70" s="56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5"/>
      <c r="Z70" s="21" t="s">
        <v>31</v>
      </c>
      <c r="AA70" s="22" t="s">
        <v>19</v>
      </c>
      <c r="AB70" s="23">
        <f t="shared" si="48"/>
        <v>1604498</v>
      </c>
      <c r="AC70" s="23">
        <f t="shared" si="49"/>
        <v>2174848.722</v>
      </c>
      <c r="AD70" s="63">
        <f t="shared" si="50"/>
        <v>1.355469887</v>
      </c>
      <c r="AE70" s="55"/>
      <c r="AF70" s="63">
        <f t="shared" ref="AF70:AG70" si="57">AF55</f>
        <v>0.18</v>
      </c>
      <c r="AG70" s="63">
        <f t="shared" si="57"/>
        <v>0.2053443973</v>
      </c>
      <c r="AH70" s="63">
        <f t="shared" si="52"/>
        <v>0.140802207</v>
      </c>
      <c r="AI70" s="5"/>
      <c r="AJ70" s="5"/>
      <c r="AK70" s="5"/>
    </row>
    <row r="71">
      <c r="A71" s="35">
        <f t="shared" si="53"/>
        <v>0</v>
      </c>
      <c r="B71" s="41" t="s">
        <v>88</v>
      </c>
      <c r="C71" s="58"/>
      <c r="D71" s="53"/>
      <c r="E71" s="2"/>
      <c r="F71" s="41" t="s">
        <v>88</v>
      </c>
      <c r="G71" s="58"/>
      <c r="H71" s="53"/>
      <c r="I71" s="35">
        <f t="shared" si="54"/>
        <v>0</v>
      </c>
      <c r="J71" s="2"/>
      <c r="K71" s="56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5"/>
      <c r="AA71" s="22" t="s">
        <v>27</v>
      </c>
      <c r="AB71" s="23">
        <f t="shared" si="48"/>
        <v>4572310</v>
      </c>
      <c r="AC71" s="23">
        <f t="shared" si="49"/>
        <v>3962550.079</v>
      </c>
      <c r="AD71" s="63">
        <f t="shared" si="50"/>
        <v>0.8666407306</v>
      </c>
      <c r="AE71" s="55"/>
      <c r="AF71" s="63">
        <f t="shared" ref="AF71:AG71" si="58">AF56</f>
        <v>0.175</v>
      </c>
      <c r="AG71" s="63">
        <f t="shared" si="58"/>
        <v>0.2039509871</v>
      </c>
      <c r="AH71" s="63">
        <f t="shared" si="52"/>
        <v>0.1654342119</v>
      </c>
      <c r="AI71" s="5"/>
      <c r="AJ71" s="5"/>
      <c r="AK71" s="5"/>
    </row>
    <row r="72">
      <c r="A72" s="2"/>
      <c r="B72" s="41" t="s">
        <v>42</v>
      </c>
      <c r="C72" s="30">
        <f>SUM(C67:C71)</f>
        <v>446593</v>
      </c>
      <c r="D72" s="53"/>
      <c r="E72" s="2"/>
      <c r="F72" s="41" t="s">
        <v>42</v>
      </c>
      <c r="G72" s="30">
        <f>SUM(G67:G71)</f>
        <v>808166</v>
      </c>
      <c r="H72" s="53"/>
      <c r="I72" s="2"/>
      <c r="J72" s="2"/>
      <c r="K72" s="56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5"/>
      <c r="Z72" s="44" t="s">
        <v>34</v>
      </c>
      <c r="AA72" s="22" t="s">
        <v>19</v>
      </c>
      <c r="AB72" s="23">
        <f t="shared" si="48"/>
        <v>262675</v>
      </c>
      <c r="AC72" s="23">
        <f t="shared" si="49"/>
        <v>354043</v>
      </c>
      <c r="AD72" s="63">
        <f t="shared" si="50"/>
        <v>1.34783668</v>
      </c>
      <c r="AE72" s="46"/>
      <c r="AF72" s="63">
        <f t="shared" ref="AF72:AG72" si="59">AF57</f>
        <v>0.15</v>
      </c>
      <c r="AG72" s="63">
        <f t="shared" si="59"/>
        <v>0</v>
      </c>
      <c r="AH72" s="63">
        <f t="shared" si="52"/>
        <v>-1</v>
      </c>
      <c r="AI72" s="46"/>
      <c r="AJ72" s="46"/>
      <c r="AK72" s="5"/>
    </row>
    <row r="73">
      <c r="A73" s="2"/>
      <c r="B73" s="41" t="s">
        <v>43</v>
      </c>
      <c r="C73" s="58"/>
      <c r="D73" s="54">
        <f>Q35</f>
        <v>2491703</v>
      </c>
      <c r="E73" s="2"/>
      <c r="F73" s="41" t="s">
        <v>43</v>
      </c>
      <c r="G73" s="58"/>
      <c r="H73" s="54">
        <f>R35</f>
        <v>4455445</v>
      </c>
      <c r="I73" s="2"/>
      <c r="J73" s="2"/>
      <c r="K73" s="56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5"/>
      <c r="AA73" s="22" t="s">
        <v>27</v>
      </c>
      <c r="AB73" s="23">
        <f t="shared" si="48"/>
        <v>827330</v>
      </c>
      <c r="AC73" s="23">
        <f t="shared" si="49"/>
        <v>1090118</v>
      </c>
      <c r="AD73" s="63">
        <f t="shared" si="50"/>
        <v>1.317633834</v>
      </c>
      <c r="AE73" s="46"/>
      <c r="AF73" s="63">
        <f t="shared" ref="AF73:AG73" si="60">AF58</f>
        <v>0.15</v>
      </c>
      <c r="AG73" s="63">
        <f t="shared" si="60"/>
        <v>0</v>
      </c>
      <c r="AH73" s="63">
        <f t="shared" si="52"/>
        <v>-1</v>
      </c>
      <c r="AI73" s="46"/>
      <c r="AJ73" s="46"/>
      <c r="AK73" s="5"/>
    </row>
    <row r="74">
      <c r="A74" s="2"/>
      <c r="B74" s="41" t="s">
        <v>44</v>
      </c>
      <c r="C74" s="2"/>
      <c r="D74" s="57">
        <f>C72/D73</f>
        <v>0.1792320353</v>
      </c>
      <c r="E74" s="2"/>
      <c r="F74" s="41" t="s">
        <v>44</v>
      </c>
      <c r="G74" s="2"/>
      <c r="H74" s="57">
        <f>G72/H73</f>
        <v>0.1813883911</v>
      </c>
      <c r="I74" s="2"/>
      <c r="J74" s="2"/>
      <c r="K74" s="56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5"/>
      <c r="Z74" s="44" t="s">
        <v>37</v>
      </c>
      <c r="AA74" s="22" t="s">
        <v>19</v>
      </c>
      <c r="AB74" s="23">
        <f t="shared" si="48"/>
        <v>0</v>
      </c>
      <c r="AC74" s="23">
        <f t="shared" si="49"/>
        <v>0</v>
      </c>
      <c r="AD74" s="63" t="str">
        <f t="shared" si="50"/>
        <v> </v>
      </c>
      <c r="AE74" s="46"/>
      <c r="AF74" s="63">
        <f t="shared" ref="AF74:AG74" si="61">AF59</f>
        <v>0</v>
      </c>
      <c r="AG74" s="63" t="str">
        <f t="shared" si="61"/>
        <v>#DIV/0!</v>
      </c>
      <c r="AH74" s="63" t="str">
        <f t="shared" si="52"/>
        <v>#DIV/0!</v>
      </c>
      <c r="AI74" s="46"/>
      <c r="AJ74" s="46"/>
      <c r="AK74" s="5"/>
    </row>
    <row r="75">
      <c r="A75" s="35">
        <f>D74/C75</f>
        <v>0.9957335293</v>
      </c>
      <c r="B75" s="41" t="s">
        <v>47</v>
      </c>
      <c r="C75" s="35">
        <v>0.18</v>
      </c>
      <c r="D75" s="54">
        <f>D73*C75</f>
        <v>448506.54</v>
      </c>
      <c r="E75" s="2"/>
      <c r="F75" s="41" t="s">
        <v>47</v>
      </c>
      <c r="G75" s="35">
        <v>0.175</v>
      </c>
      <c r="H75" s="54">
        <f>H73*G75</f>
        <v>779702.875</v>
      </c>
      <c r="I75" s="35">
        <f>H74/G75</f>
        <v>1.036505092</v>
      </c>
      <c r="J75" s="2"/>
      <c r="K75" s="56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5"/>
      <c r="AA75" s="22" t="s">
        <v>27</v>
      </c>
      <c r="AB75" s="23">
        <f t="shared" si="48"/>
        <v>1794605</v>
      </c>
      <c r="AC75" s="23">
        <f t="shared" si="49"/>
        <v>1079042</v>
      </c>
      <c r="AD75" s="63">
        <f t="shared" si="50"/>
        <v>0.6012699173</v>
      </c>
      <c r="AE75" s="46"/>
      <c r="AF75" s="63">
        <f t="shared" ref="AF75:AG75" si="62">AF60</f>
        <v>0</v>
      </c>
      <c r="AG75" s="63">
        <f t="shared" si="62"/>
        <v>0</v>
      </c>
      <c r="AH75" s="63" t="str">
        <f t="shared" si="52"/>
        <v>#DIV/0!</v>
      </c>
      <c r="AI75" s="46"/>
      <c r="AJ75" s="46"/>
      <c r="AK75" s="5"/>
    </row>
    <row r="76">
      <c r="A76" s="2"/>
      <c r="B76" s="77" t="s">
        <v>50</v>
      </c>
      <c r="C76" s="61"/>
      <c r="D76" s="62">
        <f>C72-D75</f>
        <v>-1913.54</v>
      </c>
      <c r="E76" s="2"/>
      <c r="F76" s="77" t="s">
        <v>50</v>
      </c>
      <c r="G76" s="61"/>
      <c r="H76" s="62">
        <f>G72-H75</f>
        <v>28463.125</v>
      </c>
      <c r="I76" s="2"/>
      <c r="J76" s="2"/>
      <c r="K76" s="56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5"/>
      <c r="Z76" s="44" t="s">
        <v>8</v>
      </c>
      <c r="AA76" s="22" t="s">
        <v>19</v>
      </c>
      <c r="AB76" s="23">
        <f t="shared" si="48"/>
        <v>0</v>
      </c>
      <c r="AC76" s="23">
        <f t="shared" si="49"/>
        <v>1391</v>
      </c>
      <c r="AD76" s="63" t="str">
        <f t="shared" si="50"/>
        <v> </v>
      </c>
      <c r="AF76" s="63">
        <f t="shared" ref="AF76:AG76" si="63">AF61</f>
        <v>0</v>
      </c>
      <c r="AG76" s="63">
        <f t="shared" si="63"/>
        <v>0</v>
      </c>
      <c r="AH76" s="63" t="str">
        <f t="shared" si="52"/>
        <v>#DIV/0!</v>
      </c>
      <c r="AK76" s="5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56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5"/>
      <c r="AA77" s="22" t="s">
        <v>27</v>
      </c>
      <c r="AB77" s="23">
        <f t="shared" si="48"/>
        <v>0</v>
      </c>
      <c r="AC77" s="23">
        <f t="shared" si="49"/>
        <v>14588.2</v>
      </c>
      <c r="AD77" s="63" t="str">
        <f t="shared" si="50"/>
        <v> </v>
      </c>
      <c r="AF77" s="63">
        <f t="shared" ref="AF77:AG77" si="64">AF62</f>
        <v>0</v>
      </c>
      <c r="AG77" s="63">
        <f t="shared" si="64"/>
        <v>0</v>
      </c>
      <c r="AH77" s="63" t="str">
        <f t="shared" si="52"/>
        <v>#DIV/0!</v>
      </c>
      <c r="AK77" s="5"/>
    </row>
    <row r="78">
      <c r="A78" s="2"/>
      <c r="B78" s="58" t="s">
        <v>51</v>
      </c>
      <c r="C78" s="58"/>
      <c r="D78" s="64">
        <f>Q42</f>
        <v>1604498</v>
      </c>
      <c r="E78" s="2"/>
      <c r="F78" s="58" t="s">
        <v>51</v>
      </c>
      <c r="G78" s="58"/>
      <c r="H78" s="64">
        <f>R42</f>
        <v>4572310</v>
      </c>
      <c r="I78" s="2"/>
      <c r="J78" s="2"/>
      <c r="K78" s="56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5"/>
      <c r="Z78" s="55"/>
      <c r="AA78" s="55"/>
      <c r="AB78" s="52">
        <f t="shared" ref="AB78:AC78" si="65">SUM(AB66:AB77)</f>
        <v>328045981.3</v>
      </c>
      <c r="AC78" s="52">
        <f t="shared" si="65"/>
        <v>370114624.6</v>
      </c>
      <c r="AD78" s="104">
        <f t="shared" si="50"/>
        <v>1.128240081</v>
      </c>
      <c r="AE78" s="55"/>
      <c r="AF78" s="69">
        <f t="shared" ref="AF78:AG78" si="66">AF63</f>
        <v>0.1054500422</v>
      </c>
      <c r="AG78" s="69">
        <f t="shared" si="66"/>
        <v>0.08693440319</v>
      </c>
      <c r="AH78" s="69">
        <f t="shared" si="52"/>
        <v>-0.1755868338</v>
      </c>
      <c r="AI78" s="5"/>
      <c r="AJ78" s="5"/>
      <c r="AK78" s="5"/>
    </row>
    <row r="79">
      <c r="A79" s="2"/>
      <c r="B79" s="2" t="s">
        <v>52</v>
      </c>
      <c r="C79" s="2"/>
      <c r="D79" s="30">
        <f>D73/$C$1</f>
        <v>83056.76667</v>
      </c>
      <c r="E79" s="2"/>
      <c r="F79" s="2" t="s">
        <v>52</v>
      </c>
      <c r="G79" s="2"/>
      <c r="H79" s="30">
        <f>H73/$C$1</f>
        <v>148514.8333</v>
      </c>
      <c r="I79" s="2"/>
      <c r="J79" s="2"/>
      <c r="K79" s="56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</row>
    <row r="80">
      <c r="A80" s="2"/>
      <c r="B80" s="2" t="s">
        <v>53</v>
      </c>
      <c r="C80" s="2"/>
      <c r="D80" s="30">
        <f>D78/$G$1*$C$1</f>
        <v>1604498</v>
      </c>
      <c r="E80" s="2"/>
      <c r="F80" s="2" t="s">
        <v>53</v>
      </c>
      <c r="G80" s="2"/>
      <c r="H80" s="30">
        <f>H78/$G$1*$C$1</f>
        <v>4572310</v>
      </c>
      <c r="I80" s="2"/>
      <c r="J80" s="2"/>
      <c r="K80" s="56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5"/>
      <c r="Z80" s="5"/>
      <c r="AA80" s="5"/>
      <c r="AB80" s="105" t="s">
        <v>87</v>
      </c>
      <c r="AC80" s="105" t="s">
        <v>132</v>
      </c>
      <c r="AD80" s="51"/>
      <c r="AE80" s="51"/>
      <c r="AF80" s="51"/>
      <c r="AG80" s="51"/>
      <c r="AH80" s="51" t="str">
        <f t="shared" ref="AH80:AI80" si="67">AB80</f>
        <v>Октябрь</v>
      </c>
      <c r="AI80" s="51" t="str">
        <f t="shared" si="67"/>
        <v>Ноябрь</v>
      </c>
      <c r="AJ80" s="5"/>
      <c r="AK80" s="5"/>
    </row>
    <row r="81">
      <c r="A81" s="2"/>
      <c r="B81" s="2" t="s">
        <v>54</v>
      </c>
      <c r="C81" s="2"/>
      <c r="D81" s="30" t="str">
        <f>(D78-D73)/($G$1-$C$1)</f>
        <v>#DIV/0!</v>
      </c>
      <c r="E81" s="2"/>
      <c r="F81" s="2" t="s">
        <v>54</v>
      </c>
      <c r="G81" s="2"/>
      <c r="H81" s="30" t="str">
        <f>(H78-H73)/($G$1-$C$1)</f>
        <v>#DIV/0!</v>
      </c>
      <c r="I81" s="2"/>
      <c r="J81" s="2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5"/>
      <c r="Z81" s="5"/>
      <c r="AA81" s="5"/>
      <c r="AB81" s="14" t="s">
        <v>17</v>
      </c>
      <c r="AC81" s="14" t="s">
        <v>17</v>
      </c>
      <c r="AD81" s="14" t="s">
        <v>48</v>
      </c>
      <c r="AE81" s="5"/>
      <c r="AF81" s="72" t="s">
        <v>71</v>
      </c>
      <c r="AH81" s="14" t="s">
        <v>64</v>
      </c>
      <c r="AI81" s="14" t="s">
        <v>64</v>
      </c>
      <c r="AJ81" s="14" t="s">
        <v>48</v>
      </c>
      <c r="AK81" s="55"/>
    </row>
    <row r="82">
      <c r="A82" s="2"/>
      <c r="B82" s="2" t="s">
        <v>89</v>
      </c>
      <c r="C82" s="2"/>
      <c r="D82" s="30">
        <f>D73-D80</f>
        <v>887205</v>
      </c>
      <c r="E82" s="2"/>
      <c r="F82" s="2" t="s">
        <v>89</v>
      </c>
      <c r="G82" s="2"/>
      <c r="H82" s="30">
        <f>H73-H80</f>
        <v>-116865</v>
      </c>
      <c r="I82" s="2"/>
      <c r="J82" s="2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5"/>
      <c r="Z82" s="21" t="s">
        <v>24</v>
      </c>
      <c r="AA82" s="22" t="s">
        <v>19</v>
      </c>
      <c r="AB82" s="23">
        <f>'Октябрь 25'!AA72</f>
        <v>72685329</v>
      </c>
      <c r="AC82" s="23">
        <f t="shared" ref="AC82:AC93" si="68">AC66</f>
        <v>103176599</v>
      </c>
      <c r="AD82" s="63">
        <f t="shared" ref="AD82:AD94" si="69">AC82/AB82-1</f>
        <v>0.4194968974</v>
      </c>
      <c r="AE82" s="5"/>
      <c r="AF82" s="21" t="s">
        <v>24</v>
      </c>
      <c r="AG82" s="22" t="s">
        <v>19</v>
      </c>
      <c r="AH82" s="63">
        <f>'Октябрь 25'!AG72</f>
        <v>0.06885657765</v>
      </c>
      <c r="AI82" s="63">
        <f t="shared" ref="AI82:AI94" si="70">AG51</f>
        <v>0.0442982037</v>
      </c>
      <c r="AJ82" s="63">
        <f t="shared" ref="AJ82:AJ94" si="71">AI82/AH82-1</f>
        <v>-0.3566598106</v>
      </c>
      <c r="AK82" s="55"/>
    </row>
    <row r="83">
      <c r="A83" s="2"/>
      <c r="B83" s="2" t="s">
        <v>56</v>
      </c>
      <c r="C83" s="2"/>
      <c r="D83" s="30">
        <f>D73/$C$1*$G$1</f>
        <v>2491703</v>
      </c>
      <c r="E83" s="2"/>
      <c r="F83" s="2" t="s">
        <v>56</v>
      </c>
      <c r="G83" s="2"/>
      <c r="H83" s="30">
        <f>H73/$C$1*$G$1</f>
        <v>4455445</v>
      </c>
      <c r="I83" s="2"/>
      <c r="J83" s="2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5"/>
      <c r="AA83" s="22" t="s">
        <v>27</v>
      </c>
      <c r="AB83" s="23">
        <f>'Октябрь 25'!AA73</f>
        <v>125083651</v>
      </c>
      <c r="AC83" s="23">
        <f t="shared" si="68"/>
        <v>123878665</v>
      </c>
      <c r="AD83" s="63">
        <f t="shared" si="69"/>
        <v>-0.009633441224</v>
      </c>
      <c r="AE83" s="5"/>
      <c r="AG83" s="22" t="s">
        <v>27</v>
      </c>
      <c r="AH83" s="63">
        <f>'Октябрь 25'!AG73</f>
        <v>0.07141622369</v>
      </c>
      <c r="AI83" s="63">
        <f t="shared" si="70"/>
        <v>0.05379573634</v>
      </c>
      <c r="AJ83" s="63">
        <f t="shared" si="71"/>
        <v>-0.2467294747</v>
      </c>
      <c r="AK83" s="55"/>
    </row>
    <row r="84">
      <c r="A84" s="2"/>
      <c r="B84" s="66" t="s">
        <v>57</v>
      </c>
      <c r="C84" s="66"/>
      <c r="D84" s="67">
        <f>D83/D78</f>
        <v>1.552948648</v>
      </c>
      <c r="E84" s="2"/>
      <c r="F84" s="66" t="s">
        <v>57</v>
      </c>
      <c r="G84" s="66"/>
      <c r="H84" s="67">
        <f>H83/H78</f>
        <v>0.9744407094</v>
      </c>
      <c r="I84" s="2"/>
      <c r="J84" s="2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21" t="s">
        <v>18</v>
      </c>
      <c r="AA84" s="22" t="s">
        <v>19</v>
      </c>
      <c r="AB84" s="23">
        <f>'Октябрь 25'!AA74</f>
        <v>42706261.24</v>
      </c>
      <c r="AC84" s="23">
        <f t="shared" si="68"/>
        <v>64355951.38</v>
      </c>
      <c r="AD84" s="63">
        <f t="shared" si="69"/>
        <v>0.5069441697</v>
      </c>
      <c r="AE84" s="5"/>
      <c r="AF84" s="21" t="s">
        <v>18</v>
      </c>
      <c r="AG84" s="22" t="s">
        <v>19</v>
      </c>
      <c r="AH84" s="63">
        <f>'Октябрь 25'!AG74</f>
        <v>0.1948350841</v>
      </c>
      <c r="AI84" s="63">
        <f t="shared" si="70"/>
        <v>0.168824635</v>
      </c>
      <c r="AJ84" s="63">
        <f t="shared" si="71"/>
        <v>-0.1334998224</v>
      </c>
      <c r="AK84" s="56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AA85" s="22" t="s">
        <v>27</v>
      </c>
      <c r="AB85" s="23">
        <f>'Октябрь 25'!AA75</f>
        <v>70145511.49</v>
      </c>
      <c r="AC85" s="23">
        <f t="shared" si="68"/>
        <v>70026828.19</v>
      </c>
      <c r="AD85" s="63">
        <f t="shared" si="69"/>
        <v>-0.001691958628</v>
      </c>
      <c r="AE85" s="5"/>
      <c r="AG85" s="22" t="s">
        <v>27</v>
      </c>
      <c r="AH85" s="63">
        <f>'Октябрь 25'!AG75</f>
        <v>0.1189671559</v>
      </c>
      <c r="AI85" s="63">
        <f t="shared" si="70"/>
        <v>0.1259714773</v>
      </c>
      <c r="AJ85" s="63">
        <f t="shared" si="71"/>
        <v>0.05887609401</v>
      </c>
      <c r="AK85" s="56"/>
    </row>
    <row r="86">
      <c r="A86" s="2"/>
      <c r="B86" s="70" t="s">
        <v>34</v>
      </c>
      <c r="C86" s="17"/>
      <c r="D86" s="17"/>
      <c r="E86" s="17"/>
      <c r="F86" s="17"/>
      <c r="G86" s="17"/>
      <c r="H86" s="18"/>
      <c r="I86" s="2"/>
      <c r="J86" s="2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21" t="s">
        <v>31</v>
      </c>
      <c r="AA86" s="22" t="s">
        <v>19</v>
      </c>
      <c r="AB86" s="23">
        <f>'Октябрь 25'!AA76</f>
        <v>1535419</v>
      </c>
      <c r="AC86" s="23">
        <f t="shared" si="68"/>
        <v>2174848.722</v>
      </c>
      <c r="AD86" s="63">
        <f t="shared" si="69"/>
        <v>0.4164529175</v>
      </c>
      <c r="AE86" s="5"/>
      <c r="AF86" s="21" t="s">
        <v>31</v>
      </c>
      <c r="AG86" s="22" t="s">
        <v>19</v>
      </c>
      <c r="AH86" s="63">
        <f>'Октябрь 25'!AG76</f>
        <v>0.1976685191</v>
      </c>
      <c r="AI86" s="63">
        <f t="shared" si="70"/>
        <v>0.2053443973</v>
      </c>
      <c r="AJ86" s="63">
        <f t="shared" si="71"/>
        <v>0.03883207175</v>
      </c>
      <c r="AK86" s="56"/>
    </row>
    <row r="87">
      <c r="A87" s="2"/>
      <c r="B87" s="70" t="str">
        <f>B66</f>
        <v>Биг–Л / Ноябрь | до </v>
      </c>
      <c r="C87" s="17"/>
      <c r="D87" s="28">
        <f>$D$4</f>
        <v>45991</v>
      </c>
      <c r="E87" s="2"/>
      <c r="F87" s="70" t="str">
        <f>F66</f>
        <v>Смарт / Ноябрь | до </v>
      </c>
      <c r="G87" s="17"/>
      <c r="H87" s="28">
        <f>$D$4</f>
        <v>45991</v>
      </c>
      <c r="I87" s="2"/>
      <c r="J87" s="2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AA87" s="22" t="s">
        <v>27</v>
      </c>
      <c r="AB87" s="23">
        <f>'Октябрь 25'!AA77</f>
        <v>4473055</v>
      </c>
      <c r="AC87" s="23">
        <f t="shared" si="68"/>
        <v>3962550.079</v>
      </c>
      <c r="AD87" s="63">
        <f t="shared" si="69"/>
        <v>-0.1141289166</v>
      </c>
      <c r="AE87" s="5"/>
      <c r="AG87" s="22" t="s">
        <v>27</v>
      </c>
      <c r="AH87" s="63">
        <f>'Октябрь 25'!AG77</f>
        <v>0.1885165731</v>
      </c>
      <c r="AI87" s="63">
        <f t="shared" si="70"/>
        <v>0.2039509871</v>
      </c>
      <c r="AJ87" s="63">
        <f t="shared" si="71"/>
        <v>0.0818729818</v>
      </c>
      <c r="AK87" s="56"/>
    </row>
    <row r="88">
      <c r="A88" s="2"/>
      <c r="B88" s="106" t="s">
        <v>90</v>
      </c>
      <c r="C88" s="129">
        <v>12690.93</v>
      </c>
      <c r="D88" s="111"/>
      <c r="E88" s="2"/>
      <c r="F88" s="106" t="s">
        <v>90</v>
      </c>
      <c r="G88" s="129">
        <v>36341.09</v>
      </c>
      <c r="H88" s="111"/>
      <c r="I88" s="2"/>
      <c r="J88" s="2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44" t="s">
        <v>34</v>
      </c>
      <c r="AA88" s="22" t="s">
        <v>19</v>
      </c>
      <c r="AB88" s="23">
        <f>'Октябрь 25'!AA78</f>
        <v>231207</v>
      </c>
      <c r="AC88" s="23">
        <f t="shared" si="68"/>
        <v>354043</v>
      </c>
      <c r="AD88" s="63">
        <f t="shared" si="69"/>
        <v>0.5312814923</v>
      </c>
      <c r="AE88" s="5"/>
      <c r="AF88" s="44" t="s">
        <v>34</v>
      </c>
      <c r="AG88" s="22" t="s">
        <v>19</v>
      </c>
      <c r="AH88" s="63">
        <f>'Октябрь 25'!AG78</f>
        <v>0</v>
      </c>
      <c r="AI88" s="63">
        <f t="shared" si="70"/>
        <v>0</v>
      </c>
      <c r="AJ88" s="63" t="str">
        <f t="shared" si="71"/>
        <v>#DIV/0!</v>
      </c>
      <c r="AK88" s="56"/>
    </row>
    <row r="89">
      <c r="A89" s="2"/>
      <c r="B89" s="41" t="s">
        <v>43</v>
      </c>
      <c r="C89" s="2"/>
      <c r="D89" s="54">
        <f>S35</f>
        <v>357438</v>
      </c>
      <c r="E89" s="2"/>
      <c r="F89" s="41" t="s">
        <v>43</v>
      </c>
      <c r="G89" s="2"/>
      <c r="H89" s="54">
        <f>T35</f>
        <v>1099783</v>
      </c>
      <c r="I89" s="2"/>
      <c r="J89" s="2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AA89" s="22" t="s">
        <v>27</v>
      </c>
      <c r="AB89" s="23">
        <f>'Октябрь 25'!AA79</f>
        <v>748213</v>
      </c>
      <c r="AC89" s="23">
        <f t="shared" si="68"/>
        <v>1090118</v>
      </c>
      <c r="AD89" s="63">
        <f t="shared" si="69"/>
        <v>0.4569621217</v>
      </c>
      <c r="AE89" s="5"/>
      <c r="AG89" s="22" t="s">
        <v>27</v>
      </c>
      <c r="AH89" s="63">
        <f>'Октябрь 25'!AG79</f>
        <v>0</v>
      </c>
      <c r="AI89" s="63">
        <f t="shared" si="70"/>
        <v>0</v>
      </c>
      <c r="AJ89" s="63" t="str">
        <f t="shared" si="71"/>
        <v>#DIV/0!</v>
      </c>
      <c r="AK89" s="56"/>
    </row>
    <row r="90">
      <c r="A90" s="2"/>
      <c r="B90" s="41" t="s">
        <v>44</v>
      </c>
      <c r="C90" s="2"/>
      <c r="D90" s="57">
        <f>C88/D89</f>
        <v>0.03550526245</v>
      </c>
      <c r="E90" s="2"/>
      <c r="F90" s="41" t="s">
        <v>44</v>
      </c>
      <c r="G90" s="2"/>
      <c r="H90" s="57">
        <f>G88/H89</f>
        <v>0.0330438732</v>
      </c>
      <c r="I90" s="2"/>
      <c r="J90" s="2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44" t="s">
        <v>37</v>
      </c>
      <c r="AA90" s="22" t="s">
        <v>19</v>
      </c>
      <c r="AB90" s="23">
        <f>'Октябрь 25'!AA80</f>
        <v>0</v>
      </c>
      <c r="AC90" s="23">
        <f t="shared" si="68"/>
        <v>0</v>
      </c>
      <c r="AD90" s="63" t="str">
        <f t="shared" si="69"/>
        <v>#DIV/0!</v>
      </c>
      <c r="AE90" s="5"/>
      <c r="AF90" s="44" t="s">
        <v>37</v>
      </c>
      <c r="AG90" s="22" t="s">
        <v>19</v>
      </c>
      <c r="AH90" s="63" t="str">
        <f>'Октябрь 25'!AG80</f>
        <v>#DIV/0!</v>
      </c>
      <c r="AI90" s="63" t="str">
        <f t="shared" si="70"/>
        <v>#DIV/0!</v>
      </c>
      <c r="AJ90" s="63" t="str">
        <f t="shared" si="71"/>
        <v>#DIV/0!</v>
      </c>
      <c r="AK90" s="56"/>
    </row>
    <row r="91">
      <c r="A91" s="2"/>
      <c r="B91" s="41" t="s">
        <v>47</v>
      </c>
      <c r="C91" s="35">
        <v>0.15</v>
      </c>
      <c r="D91" s="54">
        <f>D89*C91</f>
        <v>53615.7</v>
      </c>
      <c r="E91" s="2"/>
      <c r="F91" s="41" t="s">
        <v>47</v>
      </c>
      <c r="G91" s="35">
        <v>0.15</v>
      </c>
      <c r="H91" s="54">
        <f>H89*G91</f>
        <v>164967.45</v>
      </c>
      <c r="I91" s="2"/>
      <c r="J91" s="2"/>
      <c r="K91" s="56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AA91" s="22" t="s">
        <v>27</v>
      </c>
      <c r="AB91" s="23">
        <f>'Октябрь 25'!AA81</f>
        <v>1708169</v>
      </c>
      <c r="AC91" s="23">
        <f t="shared" si="68"/>
        <v>1079042</v>
      </c>
      <c r="AD91" s="63">
        <f t="shared" si="69"/>
        <v>-0.3683048925</v>
      </c>
      <c r="AE91" s="55"/>
      <c r="AG91" s="22" t="s">
        <v>27</v>
      </c>
      <c r="AH91" s="63">
        <f>'Октябрь 25'!AG81</f>
        <v>0</v>
      </c>
      <c r="AI91" s="63">
        <f t="shared" si="70"/>
        <v>0</v>
      </c>
      <c r="AJ91" s="63" t="str">
        <f t="shared" si="71"/>
        <v>#DIV/0!</v>
      </c>
      <c r="AK91" s="2"/>
    </row>
    <row r="92">
      <c r="A92" s="2"/>
      <c r="B92" s="77" t="s">
        <v>50</v>
      </c>
      <c r="C92" s="61"/>
      <c r="D92" s="62">
        <f>C88-D91</f>
        <v>-40924.77</v>
      </c>
      <c r="E92" s="2"/>
      <c r="F92" s="77" t="s">
        <v>50</v>
      </c>
      <c r="G92" s="61"/>
      <c r="H92" s="62">
        <f>G88-H91</f>
        <v>-128626.36</v>
      </c>
      <c r="I92" s="2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44" t="s">
        <v>8</v>
      </c>
      <c r="AA92" s="22" t="s">
        <v>19</v>
      </c>
      <c r="AB92" s="127">
        <v>0.0</v>
      </c>
      <c r="AC92" s="23">
        <f t="shared" si="68"/>
        <v>1391</v>
      </c>
      <c r="AD92" s="63" t="str">
        <f t="shared" si="69"/>
        <v>#DIV/0!</v>
      </c>
      <c r="AF92" s="44" t="s">
        <v>8</v>
      </c>
      <c r="AG92" s="22" t="s">
        <v>19</v>
      </c>
      <c r="AH92" s="130"/>
      <c r="AI92" s="63">
        <f t="shared" si="70"/>
        <v>0</v>
      </c>
      <c r="AJ92" s="63" t="str">
        <f t="shared" si="71"/>
        <v>#DIV/0!</v>
      </c>
      <c r="AK92" s="56"/>
    </row>
    <row r="93">
      <c r="A93" s="2"/>
      <c r="B93" s="2"/>
      <c r="C93" s="2"/>
      <c r="D93" s="2"/>
      <c r="E93" s="2"/>
      <c r="F93" s="2"/>
      <c r="G93" s="2"/>
      <c r="H93" s="2"/>
      <c r="I93" s="2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AA93" s="22" t="s">
        <v>27</v>
      </c>
      <c r="AB93" s="127">
        <v>0.0</v>
      </c>
      <c r="AC93" s="23">
        <f t="shared" si="68"/>
        <v>14588.2</v>
      </c>
      <c r="AD93" s="63" t="str">
        <f t="shared" si="69"/>
        <v>#DIV/0!</v>
      </c>
      <c r="AG93" s="22" t="s">
        <v>27</v>
      </c>
      <c r="AH93" s="130" t="str">
        <f>'Октябрь 25'!AG83</f>
        <v/>
      </c>
      <c r="AI93" s="63">
        <f t="shared" si="70"/>
        <v>0</v>
      </c>
      <c r="AJ93" s="63" t="str">
        <f t="shared" si="71"/>
        <v>#DIV/0!</v>
      </c>
      <c r="AK93" s="56"/>
    </row>
    <row r="94">
      <c r="A94" s="2"/>
      <c r="B94" s="58" t="s">
        <v>51</v>
      </c>
      <c r="C94" s="2"/>
      <c r="D94" s="64">
        <f>S42</f>
        <v>262675</v>
      </c>
      <c r="E94" s="2"/>
      <c r="F94" s="58" t="s">
        <v>51</v>
      </c>
      <c r="G94" s="2"/>
      <c r="H94" s="64">
        <f>T42</f>
        <v>827330</v>
      </c>
      <c r="I94" s="2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5"/>
      <c r="AA94" s="55"/>
      <c r="AB94" s="52">
        <f t="shared" ref="AB94:AC94" si="72">SUM(AB82:AB93)</f>
        <v>319316815.7</v>
      </c>
      <c r="AC94" s="52">
        <f t="shared" si="72"/>
        <v>370114624.6</v>
      </c>
      <c r="AD94" s="69">
        <f t="shared" si="69"/>
        <v>0.1590827866</v>
      </c>
      <c r="AE94" s="55"/>
      <c r="AF94" s="55"/>
      <c r="AG94" s="55"/>
      <c r="AH94" s="69">
        <f>'Октябрь 25'!AG82</f>
        <v>0.0994319824</v>
      </c>
      <c r="AI94" s="69">
        <f t="shared" si="70"/>
        <v>0.08693440319</v>
      </c>
      <c r="AJ94" s="69">
        <f t="shared" si="71"/>
        <v>-0.1256897318</v>
      </c>
      <c r="AK94" s="56"/>
    </row>
    <row r="95">
      <c r="A95" s="2"/>
      <c r="B95" s="2" t="s">
        <v>52</v>
      </c>
      <c r="C95" s="2"/>
      <c r="D95" s="30">
        <f>D89/$C$1</f>
        <v>11914.6</v>
      </c>
      <c r="E95" s="2"/>
      <c r="F95" s="2" t="s">
        <v>52</v>
      </c>
      <c r="G95" s="2"/>
      <c r="H95" s="30">
        <f>H89/$C$1</f>
        <v>36659.43333</v>
      </c>
      <c r="I95" s="2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5"/>
      <c r="AA95" s="55"/>
      <c r="AB95" s="55"/>
      <c r="AC95" s="55"/>
      <c r="AD95" s="52">
        <f>AC94-AB94</f>
        <v>50797808.84</v>
      </c>
      <c r="AE95" s="55"/>
      <c r="AF95" s="55"/>
      <c r="AG95" s="55"/>
      <c r="AH95" s="55"/>
      <c r="AI95" s="55"/>
      <c r="AJ95" s="55"/>
      <c r="AK95" s="56"/>
    </row>
    <row r="96">
      <c r="A96" s="2"/>
      <c r="B96" s="2" t="s">
        <v>53</v>
      </c>
      <c r="C96" s="2"/>
      <c r="D96" s="30">
        <f>D94/$G$1*$C$1</f>
        <v>262675</v>
      </c>
      <c r="E96" s="2"/>
      <c r="F96" s="2" t="s">
        <v>53</v>
      </c>
      <c r="G96" s="2"/>
      <c r="H96" s="30">
        <f>H94/$G$1*$C$1</f>
        <v>827330</v>
      </c>
      <c r="I96" s="2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</row>
    <row r="97">
      <c r="A97" s="2"/>
      <c r="B97" s="2" t="s">
        <v>54</v>
      </c>
      <c r="C97" s="2"/>
      <c r="D97" s="30" t="str">
        <f>(D94-D89)/($G$1-$C$1)</f>
        <v>#DIV/0!</v>
      </c>
      <c r="E97" s="2"/>
      <c r="F97" s="2" t="s">
        <v>54</v>
      </c>
      <c r="G97" s="2"/>
      <c r="H97" s="30" t="str">
        <f>(H94-H89)/($G$1-$C$1)</f>
        <v>#DIV/0!</v>
      </c>
      <c r="I97" s="2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</row>
    <row r="98">
      <c r="A98" s="2"/>
      <c r="B98" s="2" t="s">
        <v>89</v>
      </c>
      <c r="C98" s="2"/>
      <c r="D98" s="30">
        <f>D89-D96</f>
        <v>94763</v>
      </c>
      <c r="E98" s="2"/>
      <c r="F98" s="2" t="s">
        <v>89</v>
      </c>
      <c r="G98" s="2"/>
      <c r="H98" s="30">
        <f>H89-H96</f>
        <v>272453</v>
      </c>
      <c r="I98" s="2"/>
      <c r="J98" s="2"/>
      <c r="K98" s="56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</row>
    <row r="99">
      <c r="A99" s="2"/>
      <c r="B99" s="2" t="s">
        <v>56</v>
      </c>
      <c r="C99" s="2"/>
      <c r="D99" s="30">
        <f>D89/$C$1*$G$1</f>
        <v>357438</v>
      </c>
      <c r="E99" s="2"/>
      <c r="F99" s="2" t="s">
        <v>56</v>
      </c>
      <c r="G99" s="2"/>
      <c r="H99" s="30">
        <f>H89/$C$1*$G$1</f>
        <v>1099783</v>
      </c>
      <c r="I99" s="2"/>
      <c r="J99" s="2"/>
      <c r="K99" s="56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</row>
    <row r="100">
      <c r="A100" s="2"/>
      <c r="B100" s="66" t="s">
        <v>57</v>
      </c>
      <c r="C100" s="66"/>
      <c r="D100" s="67">
        <f>D99/D94</f>
        <v>1.360761397</v>
      </c>
      <c r="E100" s="2"/>
      <c r="F100" s="66" t="s">
        <v>57</v>
      </c>
      <c r="G100" s="66"/>
      <c r="H100" s="67">
        <f>H99/H94</f>
        <v>1.329315992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</row>
    <row r="102">
      <c r="A102" s="2"/>
      <c r="B102" s="26" t="s">
        <v>91</v>
      </c>
      <c r="C102" s="17"/>
      <c r="D102" s="17"/>
      <c r="E102" s="17"/>
      <c r="F102" s="17"/>
      <c r="G102" s="17"/>
      <c r="H102" s="18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</row>
    <row r="103">
      <c r="A103" s="2"/>
      <c r="B103" s="70" t="str">
        <f>B82</f>
        <v>Разница от плана</v>
      </c>
      <c r="C103" s="17"/>
      <c r="D103" s="28">
        <f>$D$4</f>
        <v>45991</v>
      </c>
      <c r="E103" s="2"/>
      <c r="F103" s="70" t="str">
        <f>F82</f>
        <v>Разница от плана</v>
      </c>
      <c r="G103" s="17"/>
      <c r="H103" s="28">
        <f>$D$4</f>
        <v>45991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</row>
    <row r="104">
      <c r="A104" s="2"/>
      <c r="B104" s="106" t="s">
        <v>90</v>
      </c>
      <c r="C104" s="109"/>
      <c r="D104" s="111"/>
      <c r="E104" s="2"/>
      <c r="F104" s="106" t="s">
        <v>90</v>
      </c>
      <c r="G104" s="109"/>
      <c r="H104" s="111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</row>
    <row r="105">
      <c r="A105" s="2"/>
      <c r="B105" s="41" t="s">
        <v>43</v>
      </c>
      <c r="C105" s="2"/>
      <c r="D105" s="54">
        <f>W35</f>
        <v>2049</v>
      </c>
      <c r="E105" s="2"/>
      <c r="F105" s="41" t="s">
        <v>43</v>
      </c>
      <c r="G105" s="2"/>
      <c r="H105" s="54">
        <f>X35</f>
        <v>17685.2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</row>
    <row r="106">
      <c r="A106" s="2"/>
      <c r="B106" s="41" t="s">
        <v>44</v>
      </c>
      <c r="C106" s="2"/>
      <c r="D106" s="57">
        <f>C104/D105</f>
        <v>0</v>
      </c>
      <c r="E106" s="2"/>
      <c r="F106" s="41" t="s">
        <v>44</v>
      </c>
      <c r="G106" s="2"/>
      <c r="H106" s="57">
        <f>G104/H105</f>
        <v>0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</row>
    <row r="107">
      <c r="A107" s="2"/>
      <c r="B107" s="41" t="s">
        <v>47</v>
      </c>
      <c r="C107" s="35">
        <v>0.15</v>
      </c>
      <c r="D107" s="54">
        <f>D105*C107</f>
        <v>307.35</v>
      </c>
      <c r="E107" s="2"/>
      <c r="F107" s="41" t="s">
        <v>47</v>
      </c>
      <c r="G107" s="35">
        <v>0.15</v>
      </c>
      <c r="H107" s="54">
        <f>H105*G107</f>
        <v>2652.78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</row>
    <row r="108">
      <c r="A108" s="2"/>
      <c r="B108" s="77" t="s">
        <v>50</v>
      </c>
      <c r="C108" s="61"/>
      <c r="D108" s="62">
        <f>C104-D107</f>
        <v>-307.35</v>
      </c>
      <c r="E108" s="2"/>
      <c r="F108" s="77" t="s">
        <v>50</v>
      </c>
      <c r="G108" s="61"/>
      <c r="H108" s="62">
        <f>G104-H107</f>
        <v>-2652.78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</row>
    <row r="110">
      <c r="A110" s="2"/>
      <c r="B110" s="58" t="s">
        <v>51</v>
      </c>
      <c r="C110" s="2"/>
      <c r="D110" s="65">
        <v>0.0</v>
      </c>
      <c r="E110" s="2"/>
      <c r="F110" s="58" t="s">
        <v>51</v>
      </c>
      <c r="G110" s="2"/>
      <c r="H110" s="65">
        <v>0.0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</row>
    <row r="111">
      <c r="A111" s="2"/>
      <c r="B111" s="2" t="s">
        <v>52</v>
      </c>
      <c r="C111" s="2"/>
      <c r="D111" s="30">
        <f>D105/$C$1</f>
        <v>68.3</v>
      </c>
      <c r="E111" s="2"/>
      <c r="F111" s="2" t="s">
        <v>52</v>
      </c>
      <c r="G111" s="2"/>
      <c r="H111" s="30">
        <f>H105/$C$1</f>
        <v>589.5066667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</row>
    <row r="112">
      <c r="A112" s="2"/>
      <c r="B112" s="2" t="s">
        <v>53</v>
      </c>
      <c r="C112" s="2"/>
      <c r="D112" s="30">
        <f>D110/$G$1*$C$1</f>
        <v>0</v>
      </c>
      <c r="E112" s="2"/>
      <c r="F112" s="2" t="s">
        <v>53</v>
      </c>
      <c r="G112" s="2"/>
      <c r="H112" s="30">
        <f>H110/$G$1*$C$1</f>
        <v>0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</row>
    <row r="113">
      <c r="A113" s="2"/>
      <c r="B113" s="2" t="s">
        <v>54</v>
      </c>
      <c r="C113" s="2"/>
      <c r="D113" s="30" t="str">
        <f>(D110-D105)/($G$1-$C$1)</f>
        <v>#DIV/0!</v>
      </c>
      <c r="E113" s="2"/>
      <c r="F113" s="2" t="s">
        <v>54</v>
      </c>
      <c r="G113" s="2"/>
      <c r="H113" s="30" t="str">
        <f>(H110-H105)/($G$1-$C$1)</f>
        <v>#DIV/0!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</row>
    <row r="114">
      <c r="A114" s="2"/>
      <c r="B114" s="2" t="s">
        <v>89</v>
      </c>
      <c r="C114" s="2"/>
      <c r="D114" s="30">
        <f>D105-D112</f>
        <v>2049</v>
      </c>
      <c r="E114" s="2"/>
      <c r="F114" s="2" t="s">
        <v>89</v>
      </c>
      <c r="G114" s="2"/>
      <c r="H114" s="30">
        <f>H105-H112</f>
        <v>17685.2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</row>
    <row r="115">
      <c r="A115" s="2"/>
      <c r="B115" s="2" t="s">
        <v>56</v>
      </c>
      <c r="C115" s="2"/>
      <c r="D115" s="30">
        <f>D105/$C$1*$G$1</f>
        <v>2049</v>
      </c>
      <c r="E115" s="2"/>
      <c r="F115" s="2" t="s">
        <v>56</v>
      </c>
      <c r="G115" s="2"/>
      <c r="H115" s="30">
        <f>H105/$C$1*$G$1</f>
        <v>17685.2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</row>
    <row r="116">
      <c r="A116" s="2"/>
      <c r="B116" s="66" t="s">
        <v>57</v>
      </c>
      <c r="C116" s="66"/>
      <c r="D116" s="67" t="str">
        <f>D115/D110</f>
        <v>#DIV/0!</v>
      </c>
      <c r="E116" s="2"/>
      <c r="F116" s="66" t="s">
        <v>57</v>
      </c>
      <c r="G116" s="66"/>
      <c r="H116" s="67" t="str">
        <f>H115/H110</f>
        <v>#DIV/0!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</row>
    <row r="120">
      <c r="A120" s="2"/>
      <c r="B120" s="26" t="s">
        <v>92</v>
      </c>
      <c r="C120" s="18"/>
      <c r="D120" s="2"/>
      <c r="E120" s="26" t="s">
        <v>51</v>
      </c>
      <c r="F120" s="18"/>
      <c r="G120" s="2"/>
      <c r="H120" s="112" t="s">
        <v>93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</row>
    <row r="122">
      <c r="A122" s="2"/>
      <c r="B122" s="26" t="s">
        <v>94</v>
      </c>
      <c r="C122" s="18"/>
      <c r="D122" s="2"/>
      <c r="E122" s="70" t="str">
        <f>B122</f>
        <v>Выручка по маркетплейсам</v>
      </c>
      <c r="F122" s="18"/>
      <c r="G122" s="2"/>
      <c r="H122" s="112" t="s">
        <v>93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</row>
    <row r="123">
      <c r="A123" s="2"/>
      <c r="B123" s="2" t="s">
        <v>95</v>
      </c>
      <c r="C123" s="30">
        <f>SUM(D16, H16)</f>
        <v>142293370.7</v>
      </c>
      <c r="D123" s="2"/>
      <c r="E123" s="2" t="s">
        <v>96</v>
      </c>
      <c r="F123" s="30">
        <f>SUM(D23, H23)</f>
        <v>119541746.3</v>
      </c>
      <c r="G123" s="2"/>
      <c r="H123" s="113">
        <f t="shared" ref="H123:H126" si="73">C123/F123</f>
        <v>1.190323674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</row>
    <row r="124">
      <c r="A124" s="2"/>
      <c r="B124" s="2" t="s">
        <v>97</v>
      </c>
      <c r="C124" s="30">
        <f>SUM(D34, H34)</f>
        <v>227617647</v>
      </c>
      <c r="D124" s="2"/>
      <c r="E124" s="2" t="s">
        <v>98</v>
      </c>
      <c r="F124" s="30">
        <f>SUM(D41, H41)</f>
        <v>199442817</v>
      </c>
      <c r="G124" s="2"/>
      <c r="H124" s="113">
        <f t="shared" si="73"/>
        <v>1.14126771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</row>
    <row r="125">
      <c r="A125" s="2"/>
      <c r="B125" s="2" t="s">
        <v>99</v>
      </c>
      <c r="C125" s="30">
        <f>SUM(D73, H73)</f>
        <v>6947148</v>
      </c>
      <c r="D125" s="2"/>
      <c r="E125" s="2" t="s">
        <v>100</v>
      </c>
      <c r="F125" s="30">
        <f>SUM(D80,H80)</f>
        <v>6176808</v>
      </c>
      <c r="G125" s="2"/>
      <c r="H125" s="113">
        <f t="shared" si="73"/>
        <v>1.124714901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</row>
    <row r="126">
      <c r="A126" s="2"/>
      <c r="B126" s="2" t="s">
        <v>101</v>
      </c>
      <c r="C126" s="30">
        <f>SUM(D89,H89)</f>
        <v>1457221</v>
      </c>
      <c r="D126" s="2"/>
      <c r="E126" s="2" t="s">
        <v>102</v>
      </c>
      <c r="F126" s="30">
        <f>SUM(H96,D96)</f>
        <v>1090005</v>
      </c>
      <c r="G126" s="2"/>
      <c r="H126" s="113">
        <f t="shared" si="73"/>
        <v>1.336893867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</row>
    <row r="128">
      <c r="A128" s="2"/>
      <c r="B128" s="26" t="s">
        <v>103</v>
      </c>
      <c r="C128" s="18"/>
      <c r="D128" s="2"/>
      <c r="E128" s="70" t="str">
        <f>B128</f>
        <v>Выручка по направлениям</v>
      </c>
      <c r="F128" s="18"/>
      <c r="G128" s="2"/>
      <c r="H128" s="112" t="s">
        <v>93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</row>
    <row r="129">
      <c r="A129" s="2"/>
      <c r="B129" s="4" t="s">
        <v>104</v>
      </c>
      <c r="C129" s="30">
        <f>SUM(D16, D34, D73)</f>
        <v>174191271</v>
      </c>
      <c r="D129" s="2"/>
      <c r="E129" s="2" t="s">
        <v>105</v>
      </c>
      <c r="F129" s="30">
        <f>SUM(D23, D41, D80)</f>
        <v>120339049</v>
      </c>
      <c r="G129" s="2"/>
      <c r="H129" s="113">
        <f t="shared" ref="H129:H130" si="74">C129/F129</f>
        <v>1.447504135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</row>
    <row r="130">
      <c r="A130" s="2"/>
      <c r="B130" s="4" t="s">
        <v>106</v>
      </c>
      <c r="C130" s="30">
        <f>SUM(H16, H34, H73, H89)</f>
        <v>203766677.7</v>
      </c>
      <c r="D130" s="2"/>
      <c r="E130" s="2" t="s">
        <v>107</v>
      </c>
      <c r="F130" s="30">
        <f>SUM(H23, H41, H80, H96)</f>
        <v>205649652.3</v>
      </c>
      <c r="G130" s="2"/>
      <c r="H130" s="113">
        <f t="shared" si="74"/>
        <v>0.9908437745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</row>
    <row r="132">
      <c r="A132" s="2"/>
      <c r="B132" s="26" t="s">
        <v>108</v>
      </c>
      <c r="C132" s="18"/>
      <c r="D132" s="2"/>
      <c r="E132" s="70" t="str">
        <f>B132</f>
        <v>Суммарная выручка</v>
      </c>
      <c r="F132" s="18"/>
      <c r="G132" s="2"/>
      <c r="H132" s="112" t="s">
        <v>93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</row>
    <row r="133">
      <c r="A133" s="2"/>
      <c r="B133" s="2" t="s">
        <v>109</v>
      </c>
      <c r="C133" s="30">
        <f>SUM(C123:C126)</f>
        <v>378315386.7</v>
      </c>
      <c r="D133" s="2"/>
      <c r="E133" s="2" t="s">
        <v>110</v>
      </c>
      <c r="F133" s="30">
        <f>SUM(F123:F126)</f>
        <v>326251376.3</v>
      </c>
      <c r="G133" s="2"/>
      <c r="H133" s="113">
        <f t="shared" ref="H133:H134" si="75">C133/F133</f>
        <v>1.1595825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</row>
    <row r="134">
      <c r="A134" s="2"/>
      <c r="B134" s="2" t="s">
        <v>111</v>
      </c>
      <c r="C134" s="30">
        <f>C133/$C$1*G1</f>
        <v>378315386.7</v>
      </c>
      <c r="D134" s="2"/>
      <c r="E134" s="2" t="s">
        <v>112</v>
      </c>
      <c r="F134" s="30">
        <f>SUM(D21, H21, D39, H39, D78, H78, D94, H94)</f>
        <v>326251376.3</v>
      </c>
      <c r="G134" s="2"/>
      <c r="H134" s="113">
        <f t="shared" si="75"/>
        <v>1.1595825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</row>
    <row r="136">
      <c r="A136" s="2"/>
      <c r="B136" s="26" t="s">
        <v>113</v>
      </c>
      <c r="C136" s="17"/>
      <c r="D136" s="17"/>
      <c r="E136" s="17"/>
      <c r="F136" s="18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</row>
    <row r="138">
      <c r="A138" s="2"/>
      <c r="B138" s="26" t="s">
        <v>114</v>
      </c>
      <c r="C138" s="18"/>
      <c r="D138" s="2"/>
      <c r="E138" s="70" t="str">
        <f>B138</f>
        <v>Доля Рекламных Расходов</v>
      </c>
      <c r="F138" s="18"/>
      <c r="G138" s="2"/>
      <c r="H138" s="112" t="s">
        <v>93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</row>
    <row r="139">
      <c r="A139" s="2"/>
      <c r="B139" s="2" t="s">
        <v>18</v>
      </c>
      <c r="C139" s="35">
        <f>SUM(C15,G15)/SUM(D16,H16)</f>
        <v>0.1383497552</v>
      </c>
      <c r="D139" s="2"/>
      <c r="E139" s="2" t="s">
        <v>18</v>
      </c>
      <c r="F139" s="35">
        <f>(D21*C18+H21*G18)/SUM(D21, H21)</f>
        <v>0.1492523304</v>
      </c>
      <c r="G139" s="2"/>
      <c r="H139" s="35">
        <f t="shared" ref="H139:H142" si="76">C139/F139-1</f>
        <v>-0.07304793958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</row>
    <row r="140">
      <c r="A140" s="2"/>
      <c r="B140" s="2" t="s">
        <v>115</v>
      </c>
      <c r="C140" s="35">
        <f>SUM(C33,G33)/SUM(D34,H34)</f>
        <v>0.04935769325</v>
      </c>
      <c r="D140" s="2"/>
      <c r="E140" s="2" t="s">
        <v>115</v>
      </c>
      <c r="F140" s="35">
        <f>(D39*C36+H39*G36)/SUM(D39, H39)</f>
        <v>0.07</v>
      </c>
      <c r="G140" s="2"/>
      <c r="H140" s="35">
        <f t="shared" si="76"/>
        <v>-0.2948900964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</row>
    <row r="141">
      <c r="A141" s="2"/>
      <c r="B141" s="2" t="s">
        <v>31</v>
      </c>
      <c r="C141" s="35">
        <f>SUM(C72,G72)/SUM(D73,H73)</f>
        <v>0.1806149804</v>
      </c>
      <c r="D141" s="2"/>
      <c r="E141" s="2" t="s">
        <v>31</v>
      </c>
      <c r="F141" s="35">
        <f>(D78*C75+H78*G75)/SUM(D78, H78)</f>
        <v>0.1762988084</v>
      </c>
      <c r="G141" s="2"/>
      <c r="H141" s="35">
        <f t="shared" si="76"/>
        <v>0.02448213961</v>
      </c>
      <c r="I141" s="2"/>
      <c r="J141" s="2"/>
      <c r="K141" s="2"/>
      <c r="L141" s="2"/>
      <c r="M141" s="31"/>
      <c r="N141" s="31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</row>
    <row r="142">
      <c r="A142" s="2"/>
      <c r="B142" s="2" t="s">
        <v>116</v>
      </c>
      <c r="C142" s="35">
        <f>SUM(C15, G15, C33, G33, C72, G72, C88, G88)/C133</f>
        <v>0.08517952786</v>
      </c>
      <c r="D142" s="2"/>
      <c r="E142" s="2" t="s">
        <v>116</v>
      </c>
      <c r="F142" s="35">
        <f>SUM(D16*C18, H16*G18, D34*C36, H34*G36, D73*C75, H73*G75, H89*G91, D89*C91)/C133</f>
        <v>0.1054500422</v>
      </c>
      <c r="G142" s="2"/>
      <c r="H142" s="35">
        <f t="shared" si="76"/>
        <v>-0.1922286037</v>
      </c>
      <c r="I142" s="67">
        <f>1+H142</f>
        <v>0.8077713963</v>
      </c>
      <c r="J142" s="2"/>
      <c r="K142" s="4"/>
      <c r="L142" s="2"/>
      <c r="M142" s="114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</row>
    <row r="144">
      <c r="A144" s="2"/>
      <c r="B144" s="26" t="s">
        <v>117</v>
      </c>
      <c r="C144" s="17"/>
      <c r="D144" s="17"/>
      <c r="E144" s="17"/>
      <c r="F144" s="18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</row>
    <row r="146">
      <c r="A146" s="2"/>
      <c r="B146" s="26" t="s">
        <v>114</v>
      </c>
      <c r="C146" s="18"/>
      <c r="D146" s="2"/>
      <c r="E146" s="70" t="str">
        <f>B146</f>
        <v>Доля Рекламных Расходов</v>
      </c>
      <c r="F146" s="18"/>
      <c r="G146" s="2"/>
      <c r="H146" s="112" t="s">
        <v>93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</row>
    <row r="147">
      <c r="A147" s="2"/>
      <c r="B147" s="2" t="s">
        <v>18</v>
      </c>
      <c r="C147" s="35">
        <f>C139</f>
        <v>0.1383497552</v>
      </c>
      <c r="D147" s="2"/>
      <c r="E147" s="2" t="s">
        <v>18</v>
      </c>
      <c r="F147" s="35">
        <f t="shared" ref="F147:F150" si="77">F139</f>
        <v>0.1492523304</v>
      </c>
      <c r="G147" s="2"/>
      <c r="H147" s="35">
        <f t="shared" ref="H147:H150" si="78">C147/F147-1</f>
        <v>-0.07304793958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</row>
    <row r="148">
      <c r="A148" s="2"/>
      <c r="B148" s="2" t="s">
        <v>115</v>
      </c>
      <c r="C148" s="35">
        <f>SUM(C51,G51)/SUM(D52,H52)</f>
        <v>0.02707024733</v>
      </c>
      <c r="D148" s="2"/>
      <c r="E148" s="2" t="s">
        <v>115</v>
      </c>
      <c r="F148" s="35">
        <f t="shared" si="77"/>
        <v>0.07</v>
      </c>
      <c r="G148" s="2"/>
      <c r="H148" s="35">
        <f t="shared" si="78"/>
        <v>-0.6132821811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</row>
    <row r="149">
      <c r="A149" s="2"/>
      <c r="B149" s="2" t="s">
        <v>31</v>
      </c>
      <c r="C149" s="35">
        <f>C141</f>
        <v>0.1806149804</v>
      </c>
      <c r="D149" s="2"/>
      <c r="E149" s="2" t="s">
        <v>31</v>
      </c>
      <c r="F149" s="35">
        <f t="shared" si="77"/>
        <v>0.1762988084</v>
      </c>
      <c r="G149" s="2"/>
      <c r="H149" s="35">
        <f t="shared" si="78"/>
        <v>0.02448213961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</row>
    <row r="150">
      <c r="A150" s="2"/>
      <c r="B150" s="2" t="s">
        <v>116</v>
      </c>
      <c r="C150" s="35">
        <f>SUM(C15, G15, C51, G51, C72, G72, C88, G88)/C133</f>
        <v>0.0717700389</v>
      </c>
      <c r="D150" s="2"/>
      <c r="E150" s="2" t="s">
        <v>116</v>
      </c>
      <c r="F150" s="35">
        <f t="shared" si="77"/>
        <v>0.1054500422</v>
      </c>
      <c r="G150" s="2"/>
      <c r="H150" s="35">
        <f t="shared" si="78"/>
        <v>-0.319392981</v>
      </c>
      <c r="I150" s="67">
        <f>1+H150</f>
        <v>0.680607019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</row>
    <row r="151">
      <c r="A151" s="2"/>
      <c r="B151" s="2"/>
      <c r="C151" s="35"/>
      <c r="D151" s="2"/>
      <c r="E151" s="2"/>
      <c r="F151" s="35"/>
      <c r="G151" s="2"/>
      <c r="H151" s="35"/>
      <c r="I151" s="19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</row>
    <row r="152">
      <c r="A152" s="2"/>
      <c r="B152" s="26" t="s">
        <v>118</v>
      </c>
      <c r="C152" s="17"/>
      <c r="D152" s="17"/>
      <c r="E152" s="17"/>
      <c r="F152" s="18"/>
      <c r="G152" s="2"/>
      <c r="H152" s="35"/>
      <c r="I152" s="19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</row>
    <row r="154">
      <c r="A154" s="2"/>
      <c r="B154" s="115" t="s">
        <v>119</v>
      </c>
      <c r="C154" s="18"/>
      <c r="D154" s="2"/>
      <c r="E154" s="26" t="s">
        <v>60</v>
      </c>
      <c r="F154" s="18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</row>
    <row r="155">
      <c r="A155" s="56">
        <f t="shared" ref="A155:A158" si="79">C155/$C$159</f>
        <v>0.6109052095</v>
      </c>
      <c r="B155" s="4" t="s">
        <v>18</v>
      </c>
      <c r="C155" s="58">
        <f>SUM(C15,G15)</f>
        <v>19686253</v>
      </c>
      <c r="D155" s="2"/>
      <c r="E155" s="4" t="s">
        <v>18</v>
      </c>
      <c r="F155" s="58">
        <f>SUM(C15,G15)</f>
        <v>19686253</v>
      </c>
      <c r="G155" s="56">
        <f t="shared" ref="G155:G158" si="80">F155/$F$159</f>
        <v>0.7250465251</v>
      </c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</row>
    <row r="156">
      <c r="A156" s="56">
        <f t="shared" si="79"/>
        <v>0.3486354544</v>
      </c>
      <c r="B156" s="4" t="s">
        <v>115</v>
      </c>
      <c r="C156" s="58">
        <f>SUM(C33,G33)</f>
        <v>11234682</v>
      </c>
      <c r="D156" s="2"/>
      <c r="E156" s="4" t="s">
        <v>115</v>
      </c>
      <c r="F156" s="58">
        <f>SUM(C51,G51)</f>
        <v>6161666</v>
      </c>
      <c r="G156" s="56">
        <f t="shared" si="80"/>
        <v>0.2269347306</v>
      </c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</row>
    <row r="157">
      <c r="A157" s="56">
        <f t="shared" si="79"/>
        <v>0.03893777093</v>
      </c>
      <c r="B157" s="4" t="s">
        <v>31</v>
      </c>
      <c r="C157" s="58">
        <f>SUM(C72,G72)</f>
        <v>1254759</v>
      </c>
      <c r="D157" s="2"/>
      <c r="E157" s="4" t="s">
        <v>31</v>
      </c>
      <c r="F157" s="58">
        <f>SUM(C72,G72)</f>
        <v>1254759</v>
      </c>
      <c r="G157" s="56">
        <f t="shared" si="80"/>
        <v>0.04621289042</v>
      </c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</row>
    <row r="158">
      <c r="A158" s="56">
        <f t="shared" si="79"/>
        <v>0.001521565148</v>
      </c>
      <c r="B158" s="4" t="s">
        <v>34</v>
      </c>
      <c r="C158" s="58">
        <f>SUM(C88,G88)</f>
        <v>49032.02</v>
      </c>
      <c r="D158" s="2"/>
      <c r="E158" s="4" t="s">
        <v>34</v>
      </c>
      <c r="F158" s="58">
        <f>SUM(C88,G88)</f>
        <v>49032.02</v>
      </c>
      <c r="G158" s="56">
        <f t="shared" si="80"/>
        <v>0.001805853847</v>
      </c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</row>
    <row r="159">
      <c r="A159" s="2"/>
      <c r="B159" s="20" t="s">
        <v>120</v>
      </c>
      <c r="C159" s="75">
        <f>SUM(C155:C158)</f>
        <v>32224726.02</v>
      </c>
      <c r="D159" s="2"/>
      <c r="E159" s="20" t="s">
        <v>120</v>
      </c>
      <c r="F159" s="75">
        <f>SUM(F155:F158)</f>
        <v>27151710.02</v>
      </c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</row>
    <row r="161">
      <c r="A161" s="2"/>
      <c r="B161" s="26" t="s">
        <v>121</v>
      </c>
      <c r="C161" s="17"/>
      <c r="D161" s="17"/>
      <c r="E161" s="17"/>
      <c r="F161" s="18"/>
      <c r="G161" s="2"/>
      <c r="H161" s="35"/>
      <c r="I161" s="19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</row>
    <row r="163">
      <c r="A163" s="2"/>
      <c r="B163" s="115" t="s">
        <v>119</v>
      </c>
      <c r="C163" s="18"/>
      <c r="D163" s="2"/>
      <c r="E163" s="26" t="s">
        <v>60</v>
      </c>
      <c r="F163" s="18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</row>
    <row r="164">
      <c r="A164" s="56">
        <f t="shared" ref="A164:A165" si="81">C164/$C$166</f>
        <v>0.4932452155</v>
      </c>
      <c r="B164" s="4" t="s">
        <v>19</v>
      </c>
      <c r="C164" s="58">
        <f>SUM(C15,C33,C72,C88)</f>
        <v>15894691.93</v>
      </c>
      <c r="D164" s="2"/>
      <c r="E164" s="4" t="s">
        <v>19</v>
      </c>
      <c r="F164" s="58">
        <f>SUM(C15,C51,C72,C88)</f>
        <v>14915909.93</v>
      </c>
      <c r="G164" s="56">
        <f t="shared" ref="G164:G165" si="82">F164/$F$166</f>
        <v>0.5493543471</v>
      </c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</row>
    <row r="165">
      <c r="A165" s="56">
        <f t="shared" si="81"/>
        <v>0.5067547845</v>
      </c>
      <c r="B165" s="4" t="s">
        <v>122</v>
      </c>
      <c r="C165" s="58">
        <f>SUM(G15,G33,G72,G88)</f>
        <v>16330034.09</v>
      </c>
      <c r="D165" s="2"/>
      <c r="E165" s="4" t="s">
        <v>122</v>
      </c>
      <c r="F165" s="58">
        <f>SUM(G15,G51,G72,G88)</f>
        <v>12235800.09</v>
      </c>
      <c r="G165" s="56">
        <f t="shared" si="82"/>
        <v>0.4506456529</v>
      </c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</row>
    <row r="166">
      <c r="A166" s="2"/>
      <c r="B166" s="20" t="s">
        <v>120</v>
      </c>
      <c r="C166" s="75">
        <f>SUM(C164:C165)</f>
        <v>32224726.02</v>
      </c>
      <c r="D166" s="2"/>
      <c r="E166" s="20" t="s">
        <v>120</v>
      </c>
      <c r="F166" s="75">
        <f>SUM(F164:F165)</f>
        <v>27151710.02</v>
      </c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</row>
    <row r="169">
      <c r="A169" s="46"/>
      <c r="B169" s="46"/>
      <c r="C169" s="46"/>
      <c r="D169" s="46"/>
      <c r="E169" s="46"/>
      <c r="F169" s="46"/>
      <c r="G169" s="46"/>
      <c r="H169" s="46"/>
      <c r="I169" s="46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</row>
  </sheetData>
  <mergeCells count="112">
    <mergeCell ref="S48:T48"/>
    <mergeCell ref="U48:V48"/>
    <mergeCell ref="W48:X48"/>
    <mergeCell ref="B47:H47"/>
    <mergeCell ref="B48:C48"/>
    <mergeCell ref="F48:G48"/>
    <mergeCell ref="K48:L48"/>
    <mergeCell ref="M48:N48"/>
    <mergeCell ref="O48:P48"/>
    <mergeCell ref="Q48:R48"/>
    <mergeCell ref="B3:H3"/>
    <mergeCell ref="B4:C4"/>
    <mergeCell ref="F4:G4"/>
    <mergeCell ref="B29:H29"/>
    <mergeCell ref="B30:C30"/>
    <mergeCell ref="F30:G30"/>
    <mergeCell ref="K38:L38"/>
    <mergeCell ref="B65:H65"/>
    <mergeCell ref="B66:C66"/>
    <mergeCell ref="F66:G66"/>
    <mergeCell ref="B86:H86"/>
    <mergeCell ref="B87:C87"/>
    <mergeCell ref="F87:G87"/>
    <mergeCell ref="B102:H102"/>
    <mergeCell ref="B103:C103"/>
    <mergeCell ref="F103:G103"/>
    <mergeCell ref="B120:C120"/>
    <mergeCell ref="E120:F120"/>
    <mergeCell ref="B122:C122"/>
    <mergeCell ref="E122:F122"/>
    <mergeCell ref="E128:F128"/>
    <mergeCell ref="B146:C146"/>
    <mergeCell ref="E146:F146"/>
    <mergeCell ref="B152:F152"/>
    <mergeCell ref="B154:C154"/>
    <mergeCell ref="E154:F154"/>
    <mergeCell ref="B161:F161"/>
    <mergeCell ref="B163:C163"/>
    <mergeCell ref="E163:F163"/>
    <mergeCell ref="B128:C128"/>
    <mergeCell ref="B132:C132"/>
    <mergeCell ref="E132:F132"/>
    <mergeCell ref="B136:F136"/>
    <mergeCell ref="B138:C138"/>
    <mergeCell ref="E138:F138"/>
    <mergeCell ref="B144:F144"/>
    <mergeCell ref="Z36:Z37"/>
    <mergeCell ref="Z38:Z39"/>
    <mergeCell ref="Z40:Z41"/>
    <mergeCell ref="Z42:Z43"/>
    <mergeCell ref="Z44:Z45"/>
    <mergeCell ref="Z46:Z47"/>
    <mergeCell ref="Z51:Z52"/>
    <mergeCell ref="Z86:Z87"/>
    <mergeCell ref="Z88:Z89"/>
    <mergeCell ref="Z90:Z91"/>
    <mergeCell ref="Z92:Z93"/>
    <mergeCell ref="Z53:Z54"/>
    <mergeCell ref="Z55:Z56"/>
    <mergeCell ref="Z57:Z58"/>
    <mergeCell ref="Z59:Z60"/>
    <mergeCell ref="Z61:Z62"/>
    <mergeCell ref="Z66:Z67"/>
    <mergeCell ref="Z68:Z69"/>
    <mergeCell ref="M2:N2"/>
    <mergeCell ref="O2:P2"/>
    <mergeCell ref="Q2:R2"/>
    <mergeCell ref="S2:T2"/>
    <mergeCell ref="U2:V2"/>
    <mergeCell ref="W2:X2"/>
    <mergeCell ref="Z3:Z4"/>
    <mergeCell ref="Z5:Z6"/>
    <mergeCell ref="Z7:Z8"/>
    <mergeCell ref="Z9:Z10"/>
    <mergeCell ref="Z11:Z12"/>
    <mergeCell ref="Z13:Z14"/>
    <mergeCell ref="AB19:AD19"/>
    <mergeCell ref="AF19:AH19"/>
    <mergeCell ref="M38:N38"/>
    <mergeCell ref="O38:P38"/>
    <mergeCell ref="Q38:R38"/>
    <mergeCell ref="S38:T38"/>
    <mergeCell ref="U38:V38"/>
    <mergeCell ref="W38:X38"/>
    <mergeCell ref="Z21:Z22"/>
    <mergeCell ref="Z23:Z24"/>
    <mergeCell ref="Z25:Z26"/>
    <mergeCell ref="Z27:Z28"/>
    <mergeCell ref="Z29:Z30"/>
    <mergeCell ref="Z31:Z32"/>
    <mergeCell ref="Z35:AA35"/>
    <mergeCell ref="K50:L50"/>
    <mergeCell ref="M50:N50"/>
    <mergeCell ref="O50:P50"/>
    <mergeCell ref="Q50:R50"/>
    <mergeCell ref="S50:T50"/>
    <mergeCell ref="U50:V50"/>
    <mergeCell ref="W50:X50"/>
    <mergeCell ref="Z50:AA50"/>
    <mergeCell ref="Z82:Z83"/>
    <mergeCell ref="Z84:Z85"/>
    <mergeCell ref="AF86:AF87"/>
    <mergeCell ref="AF88:AF89"/>
    <mergeCell ref="AF90:AF91"/>
    <mergeCell ref="AF92:AF93"/>
    <mergeCell ref="Z70:Z71"/>
    <mergeCell ref="Z72:Z73"/>
    <mergeCell ref="Z74:Z75"/>
    <mergeCell ref="Z76:Z77"/>
    <mergeCell ref="AF81:AG81"/>
    <mergeCell ref="AF82:AF83"/>
    <mergeCell ref="AF84:AF85"/>
  </mergeCells>
  <conditionalFormatting sqref="D19 H19 AH32:AH78 D37 H37 D55 H55 AJ72:AJ94 D76 H76 D92 H92 D108 H108">
    <cfRule type="cellIs" dxfId="0" priority="1" operator="lessThan">
      <formula>0</formula>
    </cfRule>
  </conditionalFormatting>
  <conditionalFormatting sqref="D19 H19 AH32:AH78 D37 H37 D55 H55 AJ72:AJ94 D76 H76 D92 H92 D108 H108">
    <cfRule type="cellIs" dxfId="1" priority="2" operator="greaterThan">
      <formula>0</formula>
    </cfRule>
  </conditionalFormatting>
  <conditionalFormatting sqref="D25 H25 D43 H43 D61 H61 AD72:AD94 D82 H82 D98 H98 D114 H114">
    <cfRule type="cellIs" dxfId="0" priority="3" operator="greaterThan">
      <formula>0</formula>
    </cfRule>
  </conditionalFormatting>
  <conditionalFormatting sqref="D25 H25 D43 H43 D61 H61 AD72:AD94 D82 H82 D98 H98 D114 H114">
    <cfRule type="cellIs" dxfId="1" priority="4" operator="lessThan">
      <formula>0</formula>
    </cfRule>
  </conditionalFormatting>
  <conditionalFormatting sqref="AD20:AD33 AH20:AH33 D27 H27 D45 H45 D63 H63 D84 H84 D100 H100 D116 H116">
    <cfRule type="cellIs" dxfId="0" priority="5" operator="greaterThan">
      <formula>1</formula>
    </cfRule>
  </conditionalFormatting>
  <conditionalFormatting sqref="AD20:AD33 AH20:AH33 D27 H27 D45 H45 D63 H63 D84 H84 D100 H100 D116 H116">
    <cfRule type="cellIs" dxfId="1" priority="6" operator="lessThan">
      <formula>1</formula>
    </cfRule>
  </conditionalFormatting>
  <conditionalFormatting sqref="H101 H104:H128">
    <cfRule type="cellIs" dxfId="0" priority="7" operator="greaterThan">
      <formula>1</formula>
    </cfRule>
  </conditionalFormatting>
  <conditionalFormatting sqref="H101 H104:H128">
    <cfRule type="cellIs" dxfId="1" priority="8" operator="lessThan">
      <formula>1</formula>
    </cfRule>
  </conditionalFormatting>
  <conditionalFormatting sqref="H125:H136">
    <cfRule type="cellIs" dxfId="0" priority="9" operator="greaterThan">
      <formula>1</formula>
    </cfRule>
  </conditionalFormatting>
  <conditionalFormatting sqref="H125:H136">
    <cfRule type="cellIs" dxfId="1" priority="10" operator="lessThan">
      <formula>1</formula>
    </cfRule>
  </conditionalFormatting>
  <conditionalFormatting sqref="H135:H154 H157:H159 H161:H163">
    <cfRule type="cellIs" dxfId="0" priority="11" operator="lessThan">
      <formula>1</formula>
    </cfRule>
  </conditionalFormatting>
  <conditionalFormatting sqref="H135:H154 H157:H159 H161:H163">
    <cfRule type="cellIs" dxfId="1" priority="12" operator="greaterThan">
      <formula>1</formula>
    </cfRule>
  </conditionalFormatting>
  <conditionalFormatting sqref="L47 M47:X51 L49">
    <cfRule type="cellIs" dxfId="0" priority="13" operator="greaterThan">
      <formula>0</formula>
    </cfRule>
  </conditionalFormatting>
  <conditionalFormatting sqref="L47 M47:X51 L49">
    <cfRule type="cellIs" dxfId="1" priority="14" operator="lessThan">
      <formula>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5"/>
    <col customWidth="1" min="3" max="4" width="15.63"/>
    <col customWidth="1" min="5" max="5" width="23.0"/>
    <col customWidth="1" min="6" max="6" width="23.5"/>
    <col customWidth="1" min="7" max="8" width="15.63"/>
    <col customWidth="1" min="11" max="11" width="28.88"/>
    <col customWidth="1" min="12" max="12" width="16.38"/>
    <col customWidth="1" min="13" max="22" width="16.25"/>
    <col customWidth="1" min="24" max="24" width="14.88"/>
    <col customWidth="1" min="25" max="25" width="12.13"/>
    <col customWidth="1" min="26" max="27" width="16.5"/>
    <col customWidth="1" min="28" max="28" width="15.38"/>
    <col customWidth="1" min="30" max="30" width="17.13"/>
    <col customWidth="1" min="34" max="34" width="15.25"/>
  </cols>
  <sheetData>
    <row r="1">
      <c r="A1" s="1"/>
      <c r="B1" s="2" t="s">
        <v>0</v>
      </c>
      <c r="C1" s="3">
        <v>31.0</v>
      </c>
      <c r="D1" s="2"/>
      <c r="E1" s="2"/>
      <c r="F1" s="2" t="s">
        <v>1</v>
      </c>
      <c r="G1" s="3">
        <v>31.0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4" t="s">
        <v>135</v>
      </c>
      <c r="T1" s="4"/>
      <c r="U1" s="2"/>
      <c r="V1" s="2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</row>
    <row r="2">
      <c r="A2" s="2" t="s">
        <v>2</v>
      </c>
      <c r="B2" s="6">
        <v>45961.0</v>
      </c>
      <c r="C2" s="2"/>
      <c r="D2" s="2"/>
      <c r="E2" s="2"/>
      <c r="F2" s="2"/>
      <c r="G2" s="2"/>
      <c r="H2" s="2"/>
      <c r="I2" s="2"/>
      <c r="J2" s="2"/>
      <c r="K2" s="2"/>
      <c r="L2" s="2"/>
      <c r="M2" s="7" t="s">
        <v>3</v>
      </c>
      <c r="O2" s="8" t="s">
        <v>4</v>
      </c>
      <c r="Q2" s="9" t="s">
        <v>5</v>
      </c>
      <c r="S2" s="10" t="s">
        <v>6</v>
      </c>
      <c r="U2" s="131" t="s">
        <v>7</v>
      </c>
      <c r="W2" s="5"/>
      <c r="X2" s="5"/>
      <c r="Y2" s="5"/>
      <c r="Z2" s="14" t="s">
        <v>10</v>
      </c>
      <c r="AA2" s="15" t="s">
        <v>11</v>
      </c>
      <c r="AB2" s="14" t="s">
        <v>12</v>
      </c>
      <c r="AC2" s="5"/>
      <c r="AD2" s="14" t="s">
        <v>13</v>
      </c>
      <c r="AE2" s="14" t="s">
        <v>14</v>
      </c>
      <c r="AF2" s="14" t="s">
        <v>15</v>
      </c>
      <c r="AG2" s="14" t="s">
        <v>16</v>
      </c>
      <c r="AH2" s="14" t="s">
        <v>17</v>
      </c>
      <c r="AI2" s="5"/>
    </row>
    <row r="3">
      <c r="A3" s="2"/>
      <c r="B3" s="16" t="s">
        <v>18</v>
      </c>
      <c r="C3" s="17"/>
      <c r="D3" s="17"/>
      <c r="E3" s="17"/>
      <c r="F3" s="17"/>
      <c r="G3" s="17"/>
      <c r="H3" s="18"/>
      <c r="I3" s="2"/>
      <c r="J3" s="2"/>
      <c r="K3" s="2"/>
      <c r="L3" s="2"/>
      <c r="M3" s="19" t="s">
        <v>19</v>
      </c>
      <c r="N3" s="19" t="s">
        <v>20</v>
      </c>
      <c r="O3" s="19" t="s">
        <v>19</v>
      </c>
      <c r="P3" s="19" t="s">
        <v>20</v>
      </c>
      <c r="Q3" s="19" t="s">
        <v>19</v>
      </c>
      <c r="R3" s="19" t="s">
        <v>20</v>
      </c>
      <c r="S3" s="19" t="s">
        <v>19</v>
      </c>
      <c r="T3" s="19" t="s">
        <v>20</v>
      </c>
      <c r="U3" s="19" t="s">
        <v>19</v>
      </c>
      <c r="V3" s="19" t="s">
        <v>20</v>
      </c>
      <c r="W3" s="5"/>
      <c r="X3" s="21" t="s">
        <v>24</v>
      </c>
      <c r="Y3" s="22" t="s">
        <v>19</v>
      </c>
      <c r="Z3" s="23">
        <f>D39</f>
        <v>35109564</v>
      </c>
      <c r="AA3" s="24"/>
      <c r="AB3" s="25">
        <f t="shared" ref="AB3:AB12" si="1">Z3-AA3</f>
        <v>35109564</v>
      </c>
      <c r="AC3" s="24"/>
      <c r="AD3" s="23">
        <f>O35</f>
        <v>73239180</v>
      </c>
      <c r="AE3" s="24"/>
      <c r="AF3" s="23">
        <f>10362+543489</f>
        <v>553851</v>
      </c>
      <c r="AG3" s="24"/>
      <c r="AH3" s="23">
        <f t="shared" ref="AH3:AH12" si="2">AD3-SUM(AE3:AG3)</f>
        <v>72685329</v>
      </c>
      <c r="AI3" s="5"/>
    </row>
    <row r="4">
      <c r="A4" s="2"/>
      <c r="B4" s="26" t="s">
        <v>136</v>
      </c>
      <c r="C4" s="17"/>
      <c r="D4" s="27">
        <v>45961.0</v>
      </c>
      <c r="E4" s="2"/>
      <c r="F4" s="26" t="s">
        <v>137</v>
      </c>
      <c r="G4" s="17"/>
      <c r="H4" s="28">
        <f>$D$4</f>
        <v>45961</v>
      </c>
      <c r="I4" s="2"/>
      <c r="J4" s="47"/>
      <c r="K4" s="29">
        <v>45931.0</v>
      </c>
      <c r="L4" s="30">
        <f t="shared" ref="L4:L34" si="3">SUM(M4:V4)</f>
        <v>9327513</v>
      </c>
      <c r="M4" s="31">
        <v>1219043.0</v>
      </c>
      <c r="N4" s="31">
        <v>2362845.0</v>
      </c>
      <c r="O4" s="31">
        <v>1619662.0</v>
      </c>
      <c r="P4" s="31">
        <v>3885289.0</v>
      </c>
      <c r="Q4" s="32">
        <v>31999.0</v>
      </c>
      <c r="R4" s="32">
        <v>129144.0</v>
      </c>
      <c r="S4" s="32">
        <v>3220.0</v>
      </c>
      <c r="T4" s="32">
        <v>13046.0</v>
      </c>
      <c r="U4" s="124"/>
      <c r="V4" s="31">
        <v>63265.0</v>
      </c>
      <c r="W4" s="5"/>
      <c r="Y4" s="22" t="s">
        <v>27</v>
      </c>
      <c r="Z4" s="23">
        <f>H39</f>
        <v>109216574</v>
      </c>
      <c r="AA4" s="24"/>
      <c r="AB4" s="25">
        <f t="shared" si="1"/>
        <v>109216574</v>
      </c>
      <c r="AC4" s="24"/>
      <c r="AD4" s="23">
        <f>P35</f>
        <v>126203637</v>
      </c>
      <c r="AE4" s="24"/>
      <c r="AF4" s="23">
        <f>13403+1106583</f>
        <v>1119986</v>
      </c>
      <c r="AG4" s="24"/>
      <c r="AH4" s="23">
        <f t="shared" si="2"/>
        <v>125083651</v>
      </c>
      <c r="AI4" s="5"/>
    </row>
    <row r="5">
      <c r="A5" s="35">
        <f t="shared" ref="A5:A11" si="4">IFERROR(C5/$C$15, " ")</f>
        <v>0.8734086333</v>
      </c>
      <c r="B5" s="36" t="s">
        <v>28</v>
      </c>
      <c r="C5" s="37">
        <v>7267352.0</v>
      </c>
      <c r="D5" s="38"/>
      <c r="E5" s="2"/>
      <c r="F5" s="36" t="s">
        <v>28</v>
      </c>
      <c r="G5" s="32">
        <v>6415627.0</v>
      </c>
      <c r="H5" s="108"/>
      <c r="I5" s="35">
        <f t="shared" ref="I5:I7" si="5">IFERROR(G5/$G$15, " ")</f>
        <v>0.768797816</v>
      </c>
      <c r="J5" s="47"/>
      <c r="K5" s="29">
        <v>45932.0</v>
      </c>
      <c r="L5" s="30">
        <f t="shared" si="3"/>
        <v>8799539.1</v>
      </c>
      <c r="M5" s="32">
        <v>1102784.0</v>
      </c>
      <c r="N5" s="32">
        <v>2059145.1</v>
      </c>
      <c r="O5" s="31">
        <v>1579881.0</v>
      </c>
      <c r="P5" s="31">
        <v>3811545.0</v>
      </c>
      <c r="Q5" s="32">
        <v>31912.0</v>
      </c>
      <c r="R5" s="32">
        <v>133083.0</v>
      </c>
      <c r="S5" s="32">
        <v>3804.0</v>
      </c>
      <c r="T5" s="32">
        <v>18066.0</v>
      </c>
      <c r="U5" s="124"/>
      <c r="V5" s="31">
        <v>59319.0</v>
      </c>
      <c r="W5" s="5"/>
      <c r="X5" s="21" t="s">
        <v>18</v>
      </c>
      <c r="Y5" s="22" t="s">
        <v>19</v>
      </c>
      <c r="Z5" s="23">
        <f>D21</f>
        <v>26956516</v>
      </c>
      <c r="AA5" s="24"/>
      <c r="AB5" s="25">
        <f t="shared" si="1"/>
        <v>26956516</v>
      </c>
      <c r="AC5" s="24"/>
      <c r="AD5" s="23">
        <f>M35</f>
        <v>45495371</v>
      </c>
      <c r="AE5" s="23">
        <f>AD5/46857*(2461+58)</f>
        <v>2445799.764</v>
      </c>
      <c r="AF5" s="23">
        <f>7569+335741</f>
        <v>343310</v>
      </c>
      <c r="AG5" s="24"/>
      <c r="AH5" s="23">
        <f t="shared" si="2"/>
        <v>42706261.24</v>
      </c>
      <c r="AI5" s="5"/>
    </row>
    <row r="6">
      <c r="A6" s="35">
        <f t="shared" si="4"/>
        <v>0.1119435219</v>
      </c>
      <c r="B6" s="39" t="s">
        <v>29</v>
      </c>
      <c r="C6" s="32">
        <v>931446.0</v>
      </c>
      <c r="D6" s="40"/>
      <c r="E6" s="2"/>
      <c r="F6" s="39" t="s">
        <v>29</v>
      </c>
      <c r="G6" s="32">
        <v>1337891.0</v>
      </c>
      <c r="H6" s="132"/>
      <c r="I6" s="35">
        <f t="shared" si="5"/>
        <v>0.160322238</v>
      </c>
      <c r="J6" s="47"/>
      <c r="K6" s="29">
        <v>45933.0</v>
      </c>
      <c r="L6" s="30">
        <f t="shared" si="3"/>
        <v>8467185</v>
      </c>
      <c r="M6" s="32">
        <v>1040727.0</v>
      </c>
      <c r="N6" s="31">
        <v>2063434.0</v>
      </c>
      <c r="O6" s="32">
        <v>1409576.0</v>
      </c>
      <c r="P6" s="32">
        <v>3697124.0</v>
      </c>
      <c r="Q6" s="32">
        <v>25720.0</v>
      </c>
      <c r="R6" s="32">
        <v>128548.0</v>
      </c>
      <c r="S6" s="32">
        <v>5762.0</v>
      </c>
      <c r="T6" s="32">
        <v>18986.0</v>
      </c>
      <c r="U6" s="124"/>
      <c r="V6" s="31">
        <v>77308.0</v>
      </c>
      <c r="W6" s="5"/>
      <c r="Y6" s="22" t="s">
        <v>27</v>
      </c>
      <c r="Z6" s="23">
        <f>H21</f>
        <v>54265632</v>
      </c>
      <c r="AA6" s="24"/>
      <c r="AB6" s="25">
        <f t="shared" si="1"/>
        <v>54265632</v>
      </c>
      <c r="AC6" s="24"/>
      <c r="AD6" s="23">
        <f>N35</f>
        <v>74046375.3</v>
      </c>
      <c r="AE6" s="23">
        <f>AD6/80565*(3586+124)</f>
        <v>3409818.809</v>
      </c>
      <c r="AF6" s="23">
        <f>8231+482814</f>
        <v>491045</v>
      </c>
      <c r="AG6" s="23"/>
      <c r="AH6" s="23">
        <f t="shared" si="2"/>
        <v>70145511.49</v>
      </c>
      <c r="AI6" s="5"/>
    </row>
    <row r="7">
      <c r="A7" s="35">
        <f t="shared" si="4"/>
        <v>0</v>
      </c>
      <c r="B7" s="41" t="s">
        <v>30</v>
      </c>
      <c r="C7" s="32">
        <v>0.0</v>
      </c>
      <c r="D7" s="40"/>
      <c r="E7" s="2"/>
      <c r="F7" s="41" t="s">
        <v>30</v>
      </c>
      <c r="G7" s="32">
        <v>68409.0</v>
      </c>
      <c r="H7" s="40"/>
      <c r="I7" s="35">
        <f t="shared" si="5"/>
        <v>0.008197591567</v>
      </c>
      <c r="J7" s="47"/>
      <c r="K7" s="29">
        <v>45934.0</v>
      </c>
      <c r="L7" s="30">
        <f t="shared" si="3"/>
        <v>8597094</v>
      </c>
      <c r="M7" s="32">
        <v>1031952.0</v>
      </c>
      <c r="N7" s="32">
        <v>2082398.0</v>
      </c>
      <c r="O7" s="32">
        <v>1503918.0</v>
      </c>
      <c r="P7" s="32">
        <v>3725867.0</v>
      </c>
      <c r="Q7" s="32">
        <v>33975.0</v>
      </c>
      <c r="R7" s="32">
        <v>132302.0</v>
      </c>
      <c r="S7" s="32">
        <v>9912.0</v>
      </c>
      <c r="T7" s="32">
        <v>24414.0</v>
      </c>
      <c r="U7" s="124"/>
      <c r="V7" s="31">
        <v>52356.0</v>
      </c>
      <c r="W7" s="5"/>
      <c r="X7" s="21" t="s">
        <v>31</v>
      </c>
      <c r="Y7" s="22" t="s">
        <v>19</v>
      </c>
      <c r="Z7" s="23">
        <f>D78</f>
        <v>811287</v>
      </c>
      <c r="AA7" s="24"/>
      <c r="AB7" s="25">
        <f t="shared" si="1"/>
        <v>811287</v>
      </c>
      <c r="AC7" s="24"/>
      <c r="AD7" s="23">
        <f>Q35</f>
        <v>1604498</v>
      </c>
      <c r="AE7" s="23"/>
      <c r="AF7" s="23">
        <f>453+68626</f>
        <v>69079</v>
      </c>
      <c r="AG7" s="24"/>
      <c r="AH7" s="23">
        <f t="shared" si="2"/>
        <v>1535419</v>
      </c>
      <c r="AI7" s="5"/>
    </row>
    <row r="8">
      <c r="A8" s="35">
        <f t="shared" si="4"/>
        <v>0.0007268638445</v>
      </c>
      <c r="B8" s="133" t="s">
        <v>32</v>
      </c>
      <c r="C8" s="32">
        <v>6048.0</v>
      </c>
      <c r="D8" s="42"/>
      <c r="E8" s="2"/>
      <c r="F8" s="133" t="s">
        <v>32</v>
      </c>
      <c r="G8" s="32">
        <v>12641.0</v>
      </c>
      <c r="H8" s="132"/>
      <c r="I8" s="35"/>
      <c r="J8" s="47"/>
      <c r="K8" s="29">
        <v>45935.0</v>
      </c>
      <c r="L8" s="30">
        <f t="shared" si="3"/>
        <v>10490847</v>
      </c>
      <c r="M8" s="32">
        <v>1130542.0</v>
      </c>
      <c r="N8" s="32">
        <v>2423173.0</v>
      </c>
      <c r="O8" s="32">
        <v>1581435.0</v>
      </c>
      <c r="P8" s="32">
        <v>5098431.0</v>
      </c>
      <c r="Q8" s="32">
        <v>25693.0</v>
      </c>
      <c r="R8" s="32">
        <v>137323.0</v>
      </c>
      <c r="S8" s="32">
        <v>11312.0</v>
      </c>
      <c r="T8" s="32">
        <v>16470.0</v>
      </c>
      <c r="U8" s="124"/>
      <c r="V8" s="31">
        <v>66468.0</v>
      </c>
      <c r="W8" s="5"/>
      <c r="Y8" s="22" t="s">
        <v>27</v>
      </c>
      <c r="Z8" s="23">
        <f>H78</f>
        <v>3339067</v>
      </c>
      <c r="AA8" s="24"/>
      <c r="AB8" s="25">
        <f t="shared" si="1"/>
        <v>3339067</v>
      </c>
      <c r="AC8" s="24"/>
      <c r="AD8" s="23">
        <f>R35</f>
        <v>4572310</v>
      </c>
      <c r="AE8" s="23"/>
      <c r="AF8" s="23">
        <f>99255</f>
        <v>99255</v>
      </c>
      <c r="AG8" s="24"/>
      <c r="AH8" s="23">
        <f t="shared" si="2"/>
        <v>4473055</v>
      </c>
      <c r="AI8" s="5"/>
    </row>
    <row r="9">
      <c r="A9" s="35">
        <f t="shared" si="4"/>
        <v>0.0107762853</v>
      </c>
      <c r="B9" s="41" t="s">
        <v>33</v>
      </c>
      <c r="C9" s="32">
        <v>89666.0</v>
      </c>
      <c r="D9" s="40"/>
      <c r="E9" s="2"/>
      <c r="F9" s="41" t="s">
        <v>33</v>
      </c>
      <c r="G9" s="32">
        <v>155215.0</v>
      </c>
      <c r="H9" s="132"/>
      <c r="I9" s="35">
        <f t="shared" ref="I9:I11" si="6">IFERROR(G9/$G$15, " ")</f>
        <v>0.01859973359</v>
      </c>
      <c r="J9" s="47"/>
      <c r="K9" s="29">
        <v>45936.0</v>
      </c>
      <c r="L9" s="30">
        <f t="shared" si="3"/>
        <v>9607909</v>
      </c>
      <c r="M9" s="32">
        <v>1092833.0</v>
      </c>
      <c r="N9" s="31">
        <v>2212456.0</v>
      </c>
      <c r="O9" s="32">
        <v>1632248.0</v>
      </c>
      <c r="P9" s="32">
        <v>4412919.0</v>
      </c>
      <c r="Q9" s="31">
        <v>37318.0</v>
      </c>
      <c r="R9" s="31">
        <v>142155.0</v>
      </c>
      <c r="S9" s="31">
        <v>5424.0</v>
      </c>
      <c r="T9" s="31">
        <v>21560.0</v>
      </c>
      <c r="U9" s="124"/>
      <c r="V9" s="31">
        <v>50996.0</v>
      </c>
      <c r="W9" s="5"/>
      <c r="X9" s="44" t="s">
        <v>34</v>
      </c>
      <c r="Y9" s="22" t="s">
        <v>19</v>
      </c>
      <c r="Z9" s="45">
        <f>S42</f>
        <v>101466</v>
      </c>
      <c r="AA9" s="46"/>
      <c r="AB9" s="25">
        <f t="shared" si="1"/>
        <v>101466</v>
      </c>
      <c r="AC9" s="46"/>
      <c r="AD9" s="23">
        <f>S35</f>
        <v>262675</v>
      </c>
      <c r="AE9" s="23"/>
      <c r="AF9" s="23">
        <f>2205+29263</f>
        <v>31468</v>
      </c>
      <c r="AG9" s="24"/>
      <c r="AH9" s="23">
        <f t="shared" si="2"/>
        <v>231207</v>
      </c>
      <c r="AI9" s="5"/>
    </row>
    <row r="10">
      <c r="A10" s="35">
        <f t="shared" si="4"/>
        <v>0</v>
      </c>
      <c r="B10" s="41" t="s">
        <v>35</v>
      </c>
      <c r="C10" s="31">
        <v>0.0</v>
      </c>
      <c r="D10" s="40"/>
      <c r="E10" s="2"/>
      <c r="F10" s="41" t="s">
        <v>35</v>
      </c>
      <c r="G10" s="31">
        <v>0.0</v>
      </c>
      <c r="H10" s="40"/>
      <c r="I10" s="35">
        <f t="shared" si="6"/>
        <v>0</v>
      </c>
      <c r="J10" s="47"/>
      <c r="K10" s="29">
        <v>45937.0</v>
      </c>
      <c r="L10" s="30">
        <f t="shared" si="3"/>
        <v>9718589</v>
      </c>
      <c r="M10" s="32">
        <v>1186794.0</v>
      </c>
      <c r="N10" s="31">
        <v>2380755.0</v>
      </c>
      <c r="O10" s="32">
        <v>1762281.0</v>
      </c>
      <c r="P10" s="32">
        <v>4098091.0</v>
      </c>
      <c r="Q10" s="31">
        <v>52374.0</v>
      </c>
      <c r="R10" s="31">
        <v>158829.0</v>
      </c>
      <c r="S10" s="31">
        <v>8214.0</v>
      </c>
      <c r="T10" s="31">
        <v>30484.0</v>
      </c>
      <c r="U10" s="124"/>
      <c r="V10" s="31">
        <v>40767.0</v>
      </c>
      <c r="W10" s="5"/>
      <c r="Y10" s="22" t="s">
        <v>27</v>
      </c>
      <c r="Z10" s="45">
        <f>T42</f>
        <v>364665</v>
      </c>
      <c r="AA10" s="46"/>
      <c r="AB10" s="25">
        <f t="shared" si="1"/>
        <v>364665</v>
      </c>
      <c r="AC10" s="46"/>
      <c r="AD10" s="23">
        <f>T35</f>
        <v>827330</v>
      </c>
      <c r="AE10" s="23"/>
      <c r="AF10" s="23">
        <f>650+78467</f>
        <v>79117</v>
      </c>
      <c r="AG10" s="24"/>
      <c r="AH10" s="23">
        <f t="shared" si="2"/>
        <v>748213</v>
      </c>
      <c r="AI10" s="5"/>
    </row>
    <row r="11">
      <c r="A11" s="35">
        <f t="shared" si="4"/>
        <v>0.003004562849</v>
      </c>
      <c r="B11" s="39" t="s">
        <v>36</v>
      </c>
      <c r="C11" s="32">
        <v>25000.0</v>
      </c>
      <c r="D11" s="42"/>
      <c r="E11" s="2"/>
      <c r="F11" s="39" t="s">
        <v>36</v>
      </c>
      <c r="G11" s="32">
        <v>19600.0</v>
      </c>
      <c r="H11" s="132"/>
      <c r="I11" s="35">
        <f t="shared" si="6"/>
        <v>0.002348708426</v>
      </c>
      <c r="J11" s="47"/>
      <c r="K11" s="29">
        <v>45938.0</v>
      </c>
      <c r="L11" s="30">
        <f t="shared" si="3"/>
        <v>9122470</v>
      </c>
      <c r="M11" s="32">
        <v>1246419.0</v>
      </c>
      <c r="N11" s="31">
        <v>2112887.0</v>
      </c>
      <c r="O11" s="32">
        <v>1753064.0</v>
      </c>
      <c r="P11" s="32">
        <v>3784105.0</v>
      </c>
      <c r="Q11" s="31">
        <v>41212.0</v>
      </c>
      <c r="R11" s="31">
        <v>107197.0</v>
      </c>
      <c r="S11" s="31">
        <v>5750.0</v>
      </c>
      <c r="T11" s="31">
        <v>24631.0</v>
      </c>
      <c r="U11" s="124"/>
      <c r="V11" s="31">
        <v>47205.0</v>
      </c>
      <c r="W11" s="5"/>
      <c r="X11" s="44" t="s">
        <v>37</v>
      </c>
      <c r="Y11" s="22" t="s">
        <v>19</v>
      </c>
      <c r="Z11" s="45">
        <f>U42</f>
        <v>0</v>
      </c>
      <c r="AA11" s="46"/>
      <c r="AB11" s="25">
        <f t="shared" si="1"/>
        <v>0</v>
      </c>
      <c r="AC11" s="46"/>
      <c r="AD11" s="23">
        <f>U35</f>
        <v>0</v>
      </c>
      <c r="AE11" s="23"/>
      <c r="AF11" s="23"/>
      <c r="AG11" s="24"/>
      <c r="AH11" s="23">
        <f t="shared" si="2"/>
        <v>0</v>
      </c>
      <c r="AI11" s="5"/>
    </row>
    <row r="12">
      <c r="A12" s="46"/>
      <c r="B12" s="134" t="s">
        <v>38</v>
      </c>
      <c r="C12" s="32">
        <v>0.0</v>
      </c>
      <c r="D12" s="49"/>
      <c r="E12" s="46"/>
      <c r="F12" s="134" t="s">
        <v>38</v>
      </c>
      <c r="G12" s="32">
        <v>328642.0</v>
      </c>
      <c r="H12" s="49"/>
      <c r="I12" s="46"/>
      <c r="J12" s="47"/>
      <c r="K12" s="29">
        <v>45939.0</v>
      </c>
      <c r="L12" s="30">
        <f t="shared" si="3"/>
        <v>9534994.1</v>
      </c>
      <c r="M12" s="32">
        <v>1260469.0</v>
      </c>
      <c r="N12" s="31">
        <v>2341390.1</v>
      </c>
      <c r="O12" s="32">
        <v>1925588.0</v>
      </c>
      <c r="P12" s="32">
        <v>3726511.0</v>
      </c>
      <c r="Q12" s="31">
        <v>45762.0</v>
      </c>
      <c r="R12" s="31">
        <v>119085.0</v>
      </c>
      <c r="S12" s="31">
        <v>7602.0</v>
      </c>
      <c r="T12" s="31">
        <v>23781.0</v>
      </c>
      <c r="U12" s="124"/>
      <c r="V12" s="31">
        <v>84806.0</v>
      </c>
      <c r="W12" s="5"/>
      <c r="Y12" s="22" t="s">
        <v>27</v>
      </c>
      <c r="Z12" s="45">
        <f>V42</f>
        <v>996378</v>
      </c>
      <c r="AA12" s="46"/>
      <c r="AB12" s="25">
        <f t="shared" si="1"/>
        <v>996378</v>
      </c>
      <c r="AC12" s="46"/>
      <c r="AD12" s="23">
        <f>V35</f>
        <v>1794605</v>
      </c>
      <c r="AE12" s="23"/>
      <c r="AF12" s="50">
        <f>3436+83000</f>
        <v>86436</v>
      </c>
      <c r="AG12" s="24"/>
      <c r="AH12" s="23">
        <f t="shared" si="2"/>
        <v>1708169</v>
      </c>
      <c r="AI12" s="5"/>
    </row>
    <row r="13">
      <c r="A13" s="46"/>
      <c r="B13" s="134" t="s">
        <v>39</v>
      </c>
      <c r="C13" s="32">
        <v>9.0</v>
      </c>
      <c r="D13" s="49"/>
      <c r="E13" s="46"/>
      <c r="F13" s="134" t="s">
        <v>39</v>
      </c>
      <c r="G13" s="135">
        <v>126.0</v>
      </c>
      <c r="H13" s="49"/>
      <c r="I13" s="46"/>
      <c r="J13" s="47"/>
      <c r="K13" s="29">
        <v>45940.0</v>
      </c>
      <c r="L13" s="30">
        <f t="shared" si="3"/>
        <v>9593651</v>
      </c>
      <c r="M13" s="32">
        <v>1305862.0</v>
      </c>
      <c r="N13" s="31">
        <v>2607713.0</v>
      </c>
      <c r="O13" s="31">
        <v>1705165.0</v>
      </c>
      <c r="P13" s="32">
        <v>3568083.0</v>
      </c>
      <c r="Q13" s="31">
        <v>38187.0</v>
      </c>
      <c r="R13" s="31">
        <v>263857.0</v>
      </c>
      <c r="S13" s="31">
        <v>6675.0</v>
      </c>
      <c r="T13" s="31">
        <v>27525.0</v>
      </c>
      <c r="U13" s="124"/>
      <c r="V13" s="43">
        <v>70584.0</v>
      </c>
      <c r="W13" s="5"/>
      <c r="X13" s="46"/>
      <c r="Y13" s="51" t="s">
        <v>40</v>
      </c>
      <c r="Z13" s="52">
        <f t="shared" ref="Z13:AB13" si="7">SUM(Z3:Z12)</f>
        <v>231161149</v>
      </c>
      <c r="AA13" s="52">
        <f t="shared" si="7"/>
        <v>0</v>
      </c>
      <c r="AB13" s="52">
        <f t="shared" si="7"/>
        <v>231161149</v>
      </c>
      <c r="AC13" s="5"/>
      <c r="AD13" s="52">
        <f t="shared" ref="AD13:AH13" si="8">SUM(AD3:AD12)</f>
        <v>328045981.3</v>
      </c>
      <c r="AE13" s="52">
        <f t="shared" si="8"/>
        <v>5855618.573</v>
      </c>
      <c r="AF13" s="52">
        <f t="shared" si="8"/>
        <v>2873547</v>
      </c>
      <c r="AG13" s="52">
        <f t="shared" si="8"/>
        <v>0</v>
      </c>
      <c r="AH13" s="52">
        <f t="shared" si="8"/>
        <v>319316815.7</v>
      </c>
      <c r="AI13" s="5"/>
    </row>
    <row r="14">
      <c r="A14" s="46"/>
      <c r="B14" s="134" t="s">
        <v>41</v>
      </c>
      <c r="C14" s="32">
        <v>1157.0</v>
      </c>
      <c r="D14" s="49"/>
      <c r="E14" s="46"/>
      <c r="F14" s="134" t="s">
        <v>41</v>
      </c>
      <c r="G14" s="135">
        <v>6861.0</v>
      </c>
      <c r="H14" s="49"/>
      <c r="I14" s="46"/>
      <c r="J14" s="47"/>
      <c r="K14" s="29">
        <v>45941.0</v>
      </c>
      <c r="L14" s="30">
        <f t="shared" si="3"/>
        <v>9106229</v>
      </c>
      <c r="M14" s="32">
        <v>1178482.0</v>
      </c>
      <c r="N14" s="31">
        <v>2340674.0</v>
      </c>
      <c r="O14" s="31">
        <v>1648022.0</v>
      </c>
      <c r="P14" s="32">
        <v>3569774.0</v>
      </c>
      <c r="Q14" s="31">
        <v>60455.0</v>
      </c>
      <c r="R14" s="31">
        <v>199755.0</v>
      </c>
      <c r="S14" s="31">
        <v>6679.0</v>
      </c>
      <c r="T14" s="31">
        <v>21773.0</v>
      </c>
      <c r="U14" s="124"/>
      <c r="V14" s="31">
        <v>80615.0</v>
      </c>
      <c r="W14" s="5"/>
      <c r="X14" s="46"/>
      <c r="Y14" s="46"/>
      <c r="Z14" s="46"/>
      <c r="AA14" s="46"/>
      <c r="AB14" s="46"/>
      <c r="AC14" s="46"/>
      <c r="AD14" s="46"/>
      <c r="AE14" s="46"/>
      <c r="AF14" s="82">
        <f>AF13/AD13</f>
        <v>0.008759586045</v>
      </c>
      <c r="AG14" s="46"/>
      <c r="AH14" s="46"/>
      <c r="AI14" s="5"/>
    </row>
    <row r="15">
      <c r="A15" s="2"/>
      <c r="B15" s="41" t="s">
        <v>42</v>
      </c>
      <c r="C15" s="30">
        <f>SUM(C5:C14)</f>
        <v>8320678</v>
      </c>
      <c r="D15" s="40"/>
      <c r="E15" s="2"/>
      <c r="F15" s="41" t="s">
        <v>42</v>
      </c>
      <c r="G15" s="30">
        <f>SUM(G5:G14)</f>
        <v>8345012</v>
      </c>
      <c r="H15" s="40"/>
      <c r="I15" s="2"/>
      <c r="J15" s="47"/>
      <c r="K15" s="29">
        <v>45942.0</v>
      </c>
      <c r="L15" s="30">
        <f t="shared" si="3"/>
        <v>10552985.1</v>
      </c>
      <c r="M15" s="32">
        <v>1224254.0</v>
      </c>
      <c r="N15" s="31">
        <v>2639505.1</v>
      </c>
      <c r="O15" s="31">
        <v>1968752.0</v>
      </c>
      <c r="P15" s="32">
        <v>4363983.0</v>
      </c>
      <c r="Q15" s="31">
        <v>52899.0</v>
      </c>
      <c r="R15" s="31">
        <v>187287.0</v>
      </c>
      <c r="S15" s="31">
        <v>4832.0</v>
      </c>
      <c r="T15" s="31">
        <v>35435.0</v>
      </c>
      <c r="U15" s="124"/>
      <c r="V15" s="31">
        <v>76038.0</v>
      </c>
      <c r="W15" s="5"/>
      <c r="X15" s="5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5"/>
    </row>
    <row r="16">
      <c r="A16" s="2"/>
      <c r="B16" s="41" t="s">
        <v>43</v>
      </c>
      <c r="C16" s="2"/>
      <c r="D16" s="54">
        <f>M35</f>
        <v>45495371</v>
      </c>
      <c r="E16" s="2"/>
      <c r="F16" s="41" t="s">
        <v>43</v>
      </c>
      <c r="G16" s="2"/>
      <c r="H16" s="54">
        <f>N35</f>
        <v>74046375.3</v>
      </c>
      <c r="I16" s="2"/>
      <c r="J16" s="47"/>
      <c r="K16" s="29">
        <v>45943.0</v>
      </c>
      <c r="L16" s="30">
        <f t="shared" si="3"/>
        <v>9838514</v>
      </c>
      <c r="M16" s="32">
        <v>1194391.0</v>
      </c>
      <c r="N16" s="31">
        <v>2585888.0</v>
      </c>
      <c r="O16" s="31">
        <v>1943228.0</v>
      </c>
      <c r="P16" s="32">
        <v>3804228.0</v>
      </c>
      <c r="Q16" s="31">
        <v>56209.0</v>
      </c>
      <c r="R16" s="31">
        <v>166899.0</v>
      </c>
      <c r="S16" s="31">
        <v>7885.0</v>
      </c>
      <c r="T16" s="31">
        <v>21803.0</v>
      </c>
      <c r="U16" s="124"/>
      <c r="V16" s="43">
        <v>57983.0</v>
      </c>
      <c r="W16" s="5"/>
      <c r="X16" s="5"/>
      <c r="Y16" s="5"/>
      <c r="Z16" s="5"/>
      <c r="AA16" s="5"/>
      <c r="AB16" s="5"/>
      <c r="AC16" s="55"/>
      <c r="AD16" s="55"/>
      <c r="AE16" s="5"/>
      <c r="AF16" s="5"/>
      <c r="AG16" s="5"/>
      <c r="AH16" s="5"/>
      <c r="AI16" s="5"/>
    </row>
    <row r="17">
      <c r="A17" s="2"/>
      <c r="B17" s="41" t="s">
        <v>44</v>
      </c>
      <c r="C17" s="56"/>
      <c r="D17" s="57">
        <f>C15/D16</f>
        <v>0.1828906506</v>
      </c>
      <c r="E17" s="58"/>
      <c r="F17" s="41" t="s">
        <v>44</v>
      </c>
      <c r="G17" s="56"/>
      <c r="H17" s="57">
        <f>G15/H16</f>
        <v>0.1126998042</v>
      </c>
      <c r="I17" s="2"/>
      <c r="J17" s="47"/>
      <c r="K17" s="29">
        <v>45944.0</v>
      </c>
      <c r="L17" s="30">
        <f t="shared" si="3"/>
        <v>9131740</v>
      </c>
      <c r="M17" s="32">
        <v>1286473.0</v>
      </c>
      <c r="N17" s="31">
        <v>2469992.0</v>
      </c>
      <c r="O17" s="31">
        <v>1908827.0</v>
      </c>
      <c r="P17" s="32">
        <v>3130653.0</v>
      </c>
      <c r="Q17" s="31">
        <v>44696.0</v>
      </c>
      <c r="R17" s="31">
        <v>189093.0</v>
      </c>
      <c r="S17" s="31">
        <v>2172.0</v>
      </c>
      <c r="T17" s="31">
        <v>22119.0</v>
      </c>
      <c r="U17" s="124"/>
      <c r="V17" s="31">
        <v>77715.0</v>
      </c>
      <c r="W17" s="5"/>
      <c r="X17" s="5"/>
      <c r="Y17" s="5"/>
      <c r="Z17" s="14" t="s">
        <v>45</v>
      </c>
      <c r="AC17" s="55"/>
      <c r="AD17" s="14" t="s">
        <v>46</v>
      </c>
      <c r="AG17" s="55"/>
      <c r="AH17" s="24"/>
      <c r="AI17" s="5"/>
    </row>
    <row r="18">
      <c r="A18" s="35">
        <f>D17/C18</f>
        <v>0.892149515</v>
      </c>
      <c r="B18" s="41" t="s">
        <v>47</v>
      </c>
      <c r="C18" s="59">
        <v>0.205</v>
      </c>
      <c r="D18" s="54">
        <f>D16*C18</f>
        <v>9326551.055</v>
      </c>
      <c r="E18" s="2"/>
      <c r="F18" s="41" t="s">
        <v>47</v>
      </c>
      <c r="G18" s="59">
        <v>0.115</v>
      </c>
      <c r="H18" s="54">
        <f>H16*G18</f>
        <v>8515333.16</v>
      </c>
      <c r="I18" s="35">
        <f>H17/G18</f>
        <v>0.9799982976</v>
      </c>
      <c r="J18" s="47"/>
      <c r="K18" s="29">
        <v>45945.0</v>
      </c>
      <c r="L18" s="30">
        <f t="shared" si="3"/>
        <v>9806979</v>
      </c>
      <c r="M18" s="31">
        <v>1553038.0</v>
      </c>
      <c r="N18" s="31">
        <v>2780838.0</v>
      </c>
      <c r="O18" s="31">
        <v>2019424.0</v>
      </c>
      <c r="P18" s="32">
        <v>3164830.0</v>
      </c>
      <c r="Q18" s="31">
        <v>62843.0</v>
      </c>
      <c r="R18" s="31">
        <v>126457.0</v>
      </c>
      <c r="S18" s="31">
        <v>6301.0</v>
      </c>
      <c r="T18" s="31">
        <v>23854.0</v>
      </c>
      <c r="U18" s="124"/>
      <c r="V18" s="31">
        <v>69394.0</v>
      </c>
      <c r="W18" s="5"/>
      <c r="X18" s="55"/>
      <c r="Y18" s="55"/>
      <c r="Z18" s="14" t="s">
        <v>10</v>
      </c>
      <c r="AA18" s="14" t="s">
        <v>13</v>
      </c>
      <c r="AB18" s="14" t="s">
        <v>48</v>
      </c>
      <c r="AC18" s="5"/>
      <c r="AD18" s="14" t="s">
        <v>12</v>
      </c>
      <c r="AE18" s="14" t="s">
        <v>17</v>
      </c>
      <c r="AF18" s="14" t="s">
        <v>48</v>
      </c>
      <c r="AG18" s="5"/>
      <c r="AH18" s="5"/>
      <c r="AI18" s="5"/>
    </row>
    <row r="19">
      <c r="A19" s="2"/>
      <c r="B19" s="60" t="s">
        <v>49</v>
      </c>
      <c r="C19" s="61"/>
      <c r="D19" s="62">
        <f>C15-D18</f>
        <v>-1005873.055</v>
      </c>
      <c r="E19" s="58"/>
      <c r="F19" s="77" t="s">
        <v>50</v>
      </c>
      <c r="G19" s="61"/>
      <c r="H19" s="62">
        <f>G15-H18</f>
        <v>-170321.1595</v>
      </c>
      <c r="I19" s="2"/>
      <c r="J19" s="2"/>
      <c r="K19" s="29">
        <v>45946.0</v>
      </c>
      <c r="L19" s="30">
        <f t="shared" si="3"/>
        <v>9949012.6</v>
      </c>
      <c r="M19" s="31">
        <v>1413970.0</v>
      </c>
      <c r="N19" s="31">
        <v>2635921.6</v>
      </c>
      <c r="O19" s="31">
        <v>2112643.0</v>
      </c>
      <c r="P19" s="32">
        <v>3442793.0</v>
      </c>
      <c r="Q19" s="31">
        <v>60686.0</v>
      </c>
      <c r="R19" s="31">
        <v>178766.0</v>
      </c>
      <c r="S19" s="31">
        <v>10033.0</v>
      </c>
      <c r="T19" s="31">
        <v>28153.0</v>
      </c>
      <c r="U19" s="124"/>
      <c r="V19" s="31">
        <v>66047.0</v>
      </c>
      <c r="W19" s="5"/>
      <c r="X19" s="21" t="s">
        <v>24</v>
      </c>
      <c r="Y19" s="22" t="s">
        <v>19</v>
      </c>
      <c r="Z19" s="25">
        <f t="shared" ref="Z19:Z28" si="9">Z3</f>
        <v>35109564</v>
      </c>
      <c r="AA19" s="23">
        <f t="shared" ref="AA19:AA28" si="10">AD3</f>
        <v>73239180</v>
      </c>
      <c r="AB19" s="63">
        <f t="shared" ref="AB19:AB29" si="11">IFERROR(AA19/Z19, " ")</f>
        <v>2.086017929</v>
      </c>
      <c r="AC19" s="5"/>
      <c r="AD19" s="23">
        <f t="shared" ref="AD19:AD28" si="12">AB3</f>
        <v>35109564</v>
      </c>
      <c r="AE19" s="23">
        <f t="shared" ref="AE19:AE28" si="13">AH3</f>
        <v>72685329</v>
      </c>
      <c r="AF19" s="63">
        <f t="shared" ref="AF19:AF29" si="14">IFERROR(AE19/AD19, " ")</f>
        <v>2.070242997</v>
      </c>
      <c r="AG19" s="5"/>
      <c r="AH19" s="5"/>
      <c r="AI19" s="5"/>
    </row>
    <row r="20">
      <c r="A20" s="2"/>
      <c r="B20" s="2"/>
      <c r="C20" s="2"/>
      <c r="D20" s="2"/>
      <c r="E20" s="56"/>
      <c r="F20" s="2"/>
      <c r="G20" s="2"/>
      <c r="H20" s="2"/>
      <c r="I20" s="2"/>
      <c r="J20" s="58"/>
      <c r="K20" s="29">
        <v>45947.0</v>
      </c>
      <c r="L20" s="30">
        <f t="shared" si="3"/>
        <v>9471728</v>
      </c>
      <c r="M20" s="31">
        <v>1331642.0</v>
      </c>
      <c r="N20" s="31">
        <v>2527647.0</v>
      </c>
      <c r="O20" s="31">
        <v>2089733.0</v>
      </c>
      <c r="P20" s="31">
        <v>3233115.0</v>
      </c>
      <c r="Q20" s="31">
        <v>50518.0</v>
      </c>
      <c r="R20" s="31">
        <v>148368.0</v>
      </c>
      <c r="S20" s="31">
        <v>6861.0</v>
      </c>
      <c r="T20" s="31">
        <v>21734.0</v>
      </c>
      <c r="U20" s="124"/>
      <c r="V20" s="31">
        <v>62110.0</v>
      </c>
      <c r="W20" s="5"/>
      <c r="Y20" s="22" t="s">
        <v>27</v>
      </c>
      <c r="Z20" s="25">
        <f t="shared" si="9"/>
        <v>109216574</v>
      </c>
      <c r="AA20" s="23">
        <f t="shared" si="10"/>
        <v>126203637</v>
      </c>
      <c r="AB20" s="63">
        <f t="shared" si="11"/>
        <v>1.155535578</v>
      </c>
      <c r="AC20" s="5"/>
      <c r="AD20" s="23">
        <f t="shared" si="12"/>
        <v>109216574</v>
      </c>
      <c r="AE20" s="23">
        <f t="shared" si="13"/>
        <v>125083651</v>
      </c>
      <c r="AF20" s="63">
        <f t="shared" si="14"/>
        <v>1.145280853</v>
      </c>
      <c r="AG20" s="5"/>
      <c r="AH20" s="5"/>
      <c r="AI20" s="5"/>
    </row>
    <row r="21">
      <c r="A21" s="2"/>
      <c r="B21" s="58" t="s">
        <v>51</v>
      </c>
      <c r="C21" s="58"/>
      <c r="D21" s="64">
        <f>M42</f>
        <v>26956516</v>
      </c>
      <c r="E21" s="31">
        <v>4.0E7</v>
      </c>
      <c r="F21" s="58" t="s">
        <v>51</v>
      </c>
      <c r="G21" s="58"/>
      <c r="H21" s="65">
        <f>N42</f>
        <v>54265632</v>
      </c>
      <c r="I21" s="2"/>
      <c r="J21" s="58"/>
      <c r="K21" s="29">
        <v>45948.0</v>
      </c>
      <c r="L21" s="30">
        <f t="shared" si="3"/>
        <v>9897958</v>
      </c>
      <c r="M21" s="31">
        <v>1426287.0</v>
      </c>
      <c r="N21" s="31">
        <v>2341601.0</v>
      </c>
      <c r="O21" s="31">
        <v>2033321.0</v>
      </c>
      <c r="P21" s="31">
        <v>3808165.0</v>
      </c>
      <c r="Q21" s="31">
        <v>48733.0</v>
      </c>
      <c r="R21" s="31">
        <v>152718.0</v>
      </c>
      <c r="S21" s="31">
        <v>8767.0</v>
      </c>
      <c r="T21" s="31">
        <v>26578.0</v>
      </c>
      <c r="U21" s="124"/>
      <c r="V21" s="43">
        <v>51788.0</v>
      </c>
      <c r="W21" s="5"/>
      <c r="X21" s="21" t="s">
        <v>18</v>
      </c>
      <c r="Y21" s="22" t="s">
        <v>19</v>
      </c>
      <c r="Z21" s="25">
        <f t="shared" si="9"/>
        <v>26956516</v>
      </c>
      <c r="AA21" s="23">
        <f t="shared" si="10"/>
        <v>45495371</v>
      </c>
      <c r="AB21" s="63">
        <f t="shared" si="11"/>
        <v>1.687731864</v>
      </c>
      <c r="AC21" s="5"/>
      <c r="AD21" s="23">
        <f t="shared" si="12"/>
        <v>26956516</v>
      </c>
      <c r="AE21" s="23">
        <f t="shared" si="13"/>
        <v>42706261.24</v>
      </c>
      <c r="AF21" s="63">
        <f t="shared" si="14"/>
        <v>1.584264867</v>
      </c>
      <c r="AG21" s="5"/>
      <c r="AH21" s="5"/>
      <c r="AI21" s="5"/>
    </row>
    <row r="22">
      <c r="A22" s="2"/>
      <c r="B22" s="2" t="s">
        <v>52</v>
      </c>
      <c r="C22" s="2"/>
      <c r="D22" s="30">
        <f>D16/$C$1</f>
        <v>1467592.613</v>
      </c>
      <c r="E22" s="58">
        <f>E21-D16</f>
        <v>-5495371</v>
      </c>
      <c r="F22" s="2" t="s">
        <v>52</v>
      </c>
      <c r="G22" s="2"/>
      <c r="H22" s="30">
        <f>H16/$C$1</f>
        <v>2388592.752</v>
      </c>
      <c r="I22" s="58"/>
      <c r="J22" s="58"/>
      <c r="K22" s="29">
        <v>45949.0</v>
      </c>
      <c r="L22" s="30">
        <f t="shared" si="3"/>
        <v>11311455</v>
      </c>
      <c r="M22" s="31">
        <v>1492787.0</v>
      </c>
      <c r="N22" s="31">
        <v>2553560.0</v>
      </c>
      <c r="O22" s="31">
        <v>2552011.0</v>
      </c>
      <c r="P22" s="31">
        <v>4393980.0</v>
      </c>
      <c r="Q22" s="31">
        <v>43210.0</v>
      </c>
      <c r="R22" s="31">
        <v>158887.0</v>
      </c>
      <c r="S22" s="31">
        <v>9127.0</v>
      </c>
      <c r="T22" s="31">
        <v>41179.0</v>
      </c>
      <c r="U22" s="124"/>
      <c r="V22" s="43">
        <v>66714.0</v>
      </c>
      <c r="W22" s="5"/>
      <c r="Y22" s="22" t="s">
        <v>27</v>
      </c>
      <c r="Z22" s="25">
        <f t="shared" si="9"/>
        <v>54265632</v>
      </c>
      <c r="AA22" s="23">
        <f t="shared" si="10"/>
        <v>74046375.3</v>
      </c>
      <c r="AB22" s="63">
        <f t="shared" si="11"/>
        <v>1.364516962</v>
      </c>
      <c r="AC22" s="24"/>
      <c r="AD22" s="23">
        <f t="shared" si="12"/>
        <v>54265632</v>
      </c>
      <c r="AE22" s="23">
        <f t="shared" si="13"/>
        <v>70145511.49</v>
      </c>
      <c r="AF22" s="63">
        <f t="shared" si="14"/>
        <v>1.292632351</v>
      </c>
      <c r="AG22" s="24"/>
      <c r="AH22" s="24"/>
      <c r="AI22" s="5"/>
    </row>
    <row r="23">
      <c r="A23" s="2"/>
      <c r="B23" s="2" t="s">
        <v>53</v>
      </c>
      <c r="C23" s="2"/>
      <c r="D23" s="30">
        <f>D21/$G$1*$C$1</f>
        <v>26956516</v>
      </c>
      <c r="E23" s="2" t="str">
        <f>E22/(G1-C1)</f>
        <v>#DIV/0!</v>
      </c>
      <c r="F23" s="2" t="s">
        <v>53</v>
      </c>
      <c r="G23" s="2"/>
      <c r="H23" s="30">
        <f>H21/$G$1*$C$1</f>
        <v>54265632</v>
      </c>
      <c r="I23" s="2"/>
      <c r="J23" s="47"/>
      <c r="K23" s="29">
        <v>45950.0</v>
      </c>
      <c r="L23" s="30">
        <f t="shared" si="3"/>
        <v>11133284.1</v>
      </c>
      <c r="M23" s="31">
        <v>1710277.0</v>
      </c>
      <c r="N23" s="31">
        <v>2407202.1</v>
      </c>
      <c r="O23" s="31">
        <v>2796271.0</v>
      </c>
      <c r="P23" s="31">
        <v>3845205.0</v>
      </c>
      <c r="Q23" s="31">
        <v>97212.0</v>
      </c>
      <c r="R23" s="31">
        <v>163717.0</v>
      </c>
      <c r="S23" s="31">
        <v>7253.0</v>
      </c>
      <c r="T23" s="31">
        <v>35089.0</v>
      </c>
      <c r="U23" s="124"/>
      <c r="V23" s="43">
        <v>71058.0</v>
      </c>
      <c r="W23" s="5"/>
      <c r="X23" s="21" t="s">
        <v>31</v>
      </c>
      <c r="Y23" s="22" t="s">
        <v>19</v>
      </c>
      <c r="Z23" s="25">
        <f t="shared" si="9"/>
        <v>811287</v>
      </c>
      <c r="AA23" s="23">
        <f t="shared" si="10"/>
        <v>1604498</v>
      </c>
      <c r="AB23" s="63">
        <f t="shared" si="11"/>
        <v>1.977719352</v>
      </c>
      <c r="AC23" s="24"/>
      <c r="AD23" s="23">
        <f t="shared" si="12"/>
        <v>811287</v>
      </c>
      <c r="AE23" s="23">
        <f t="shared" si="13"/>
        <v>1535419</v>
      </c>
      <c r="AF23" s="63">
        <f t="shared" si="14"/>
        <v>1.892571926</v>
      </c>
      <c r="AG23" s="24"/>
      <c r="AH23" s="24"/>
      <c r="AI23" s="5"/>
    </row>
    <row r="24">
      <c r="A24" s="2"/>
      <c r="B24" s="2" t="s">
        <v>54</v>
      </c>
      <c r="C24" s="2"/>
      <c r="D24" s="30" t="str">
        <f>(D21-D16)/($G$1-$C$1)</f>
        <v>#DIV/0!</v>
      </c>
      <c r="E24" s="2"/>
      <c r="F24" s="2" t="s">
        <v>54</v>
      </c>
      <c r="G24" s="2"/>
      <c r="H24" s="30" t="str">
        <f>(H21-H16)/($G$1-$C$1)</f>
        <v>#DIV/0!</v>
      </c>
      <c r="I24" s="2"/>
      <c r="J24" s="58"/>
      <c r="K24" s="29">
        <v>45951.0</v>
      </c>
      <c r="L24" s="30">
        <f t="shared" si="3"/>
        <v>11829779</v>
      </c>
      <c r="M24" s="31">
        <v>1809603.0</v>
      </c>
      <c r="N24" s="31">
        <v>2496151.0</v>
      </c>
      <c r="O24" s="31">
        <v>3022180.0</v>
      </c>
      <c r="P24" s="31">
        <v>4171463.0</v>
      </c>
      <c r="Q24" s="31">
        <v>68050.0</v>
      </c>
      <c r="R24" s="31">
        <v>151117.0</v>
      </c>
      <c r="S24" s="31">
        <v>9461.0</v>
      </c>
      <c r="T24" s="31">
        <v>38580.0</v>
      </c>
      <c r="U24" s="124"/>
      <c r="V24" s="43">
        <v>63174.0</v>
      </c>
      <c r="W24" s="5"/>
      <c r="Y24" s="22" t="s">
        <v>27</v>
      </c>
      <c r="Z24" s="25">
        <f t="shared" si="9"/>
        <v>3339067</v>
      </c>
      <c r="AA24" s="23">
        <f t="shared" si="10"/>
        <v>4572310</v>
      </c>
      <c r="AB24" s="63">
        <f t="shared" si="11"/>
        <v>1.369337602</v>
      </c>
      <c r="AC24" s="24"/>
      <c r="AD24" s="23">
        <f t="shared" si="12"/>
        <v>3339067</v>
      </c>
      <c r="AE24" s="23">
        <f t="shared" si="13"/>
        <v>4473055</v>
      </c>
      <c r="AF24" s="63">
        <f t="shared" si="14"/>
        <v>1.339612233</v>
      </c>
      <c r="AG24" s="24"/>
      <c r="AH24" s="24"/>
      <c r="AI24" s="5"/>
    </row>
    <row r="25">
      <c r="A25" s="2"/>
      <c r="B25" s="2" t="s">
        <v>55</v>
      </c>
      <c r="C25" s="2"/>
      <c r="D25" s="30">
        <f>D16-D23</f>
        <v>18538855</v>
      </c>
      <c r="E25" s="2"/>
      <c r="F25" s="2" t="s">
        <v>55</v>
      </c>
      <c r="G25" s="2"/>
      <c r="H25" s="30">
        <f>H16-H23</f>
        <v>19780743.3</v>
      </c>
      <c r="I25" s="2"/>
      <c r="J25" s="47"/>
      <c r="K25" s="29">
        <v>45952.0</v>
      </c>
      <c r="L25" s="30">
        <f t="shared" si="3"/>
        <v>12960039</v>
      </c>
      <c r="M25" s="31">
        <v>1926981.0</v>
      </c>
      <c r="N25" s="31">
        <v>2445286.0</v>
      </c>
      <c r="O25" s="31">
        <v>3264604.0</v>
      </c>
      <c r="P25" s="31">
        <v>5057768.0</v>
      </c>
      <c r="Q25" s="31">
        <v>57231.0</v>
      </c>
      <c r="R25" s="31">
        <v>123923.0</v>
      </c>
      <c r="S25" s="31">
        <v>7204.0</v>
      </c>
      <c r="T25" s="31">
        <v>24050.0</v>
      </c>
      <c r="U25" s="124"/>
      <c r="V25" s="43">
        <v>52992.0</v>
      </c>
      <c r="W25" s="5"/>
      <c r="X25" s="44" t="s">
        <v>34</v>
      </c>
      <c r="Y25" s="22" t="s">
        <v>19</v>
      </c>
      <c r="Z25" s="25">
        <f t="shared" si="9"/>
        <v>101466</v>
      </c>
      <c r="AA25" s="23">
        <f t="shared" si="10"/>
        <v>262675</v>
      </c>
      <c r="AB25" s="63">
        <f t="shared" si="11"/>
        <v>2.588798218</v>
      </c>
      <c r="AC25" s="46"/>
      <c r="AD25" s="23">
        <f t="shared" si="12"/>
        <v>101466</v>
      </c>
      <c r="AE25" s="23">
        <f t="shared" si="13"/>
        <v>231207</v>
      </c>
      <c r="AF25" s="63">
        <f t="shared" si="14"/>
        <v>2.278664774</v>
      </c>
      <c r="AG25" s="46"/>
      <c r="AH25" s="46"/>
      <c r="AI25" s="5"/>
    </row>
    <row r="26">
      <c r="A26" s="2"/>
      <c r="B26" s="2" t="s">
        <v>56</v>
      </c>
      <c r="C26" s="2"/>
      <c r="D26" s="30">
        <f>D16/$C$1*$G$1</f>
        <v>45495371</v>
      </c>
      <c r="E26" s="56"/>
      <c r="F26" s="2" t="s">
        <v>56</v>
      </c>
      <c r="G26" s="2"/>
      <c r="H26" s="30">
        <f>H16/$C$1*$G$1</f>
        <v>74046375.3</v>
      </c>
      <c r="I26" s="2"/>
      <c r="J26" s="56"/>
      <c r="K26" s="29">
        <v>45953.0</v>
      </c>
      <c r="L26" s="30">
        <f t="shared" si="3"/>
        <v>12188480.1</v>
      </c>
      <c r="M26" s="31">
        <v>1827161.0</v>
      </c>
      <c r="N26" s="31">
        <v>2667559.1</v>
      </c>
      <c r="O26" s="31">
        <v>2948725.0</v>
      </c>
      <c r="P26" s="31">
        <v>4482936.0</v>
      </c>
      <c r="Q26" s="31">
        <v>70335.0</v>
      </c>
      <c r="R26" s="31">
        <v>122345.0</v>
      </c>
      <c r="S26" s="31">
        <v>9051.0</v>
      </c>
      <c r="T26" s="31">
        <v>17055.0</v>
      </c>
      <c r="U26" s="124"/>
      <c r="V26" s="31">
        <v>43313.0</v>
      </c>
      <c r="W26" s="5"/>
      <c r="Y26" s="22" t="s">
        <v>27</v>
      </c>
      <c r="Z26" s="25">
        <f t="shared" si="9"/>
        <v>364665</v>
      </c>
      <c r="AA26" s="23">
        <f t="shared" si="10"/>
        <v>827330</v>
      </c>
      <c r="AB26" s="63">
        <f t="shared" si="11"/>
        <v>2.268739802</v>
      </c>
      <c r="AC26" s="46"/>
      <c r="AD26" s="23">
        <f t="shared" si="12"/>
        <v>364665</v>
      </c>
      <c r="AE26" s="23">
        <f t="shared" si="13"/>
        <v>748213</v>
      </c>
      <c r="AF26" s="63">
        <f t="shared" si="14"/>
        <v>2.051781772</v>
      </c>
      <c r="AG26" s="46"/>
      <c r="AH26" s="46"/>
      <c r="AI26" s="5"/>
    </row>
    <row r="27">
      <c r="A27" s="2"/>
      <c r="B27" s="66" t="s">
        <v>57</v>
      </c>
      <c r="C27" s="66"/>
      <c r="D27" s="67">
        <f>D26/D21</f>
        <v>1.687731864</v>
      </c>
      <c r="E27" s="2"/>
      <c r="F27" s="66" t="s">
        <v>57</v>
      </c>
      <c r="G27" s="66"/>
      <c r="H27" s="67">
        <f>H26/H21</f>
        <v>1.364516962</v>
      </c>
      <c r="I27" s="2"/>
      <c r="J27" s="47"/>
      <c r="K27" s="29">
        <v>45954.0</v>
      </c>
      <c r="L27" s="30">
        <f t="shared" si="3"/>
        <v>11343390</v>
      </c>
      <c r="M27" s="31">
        <v>1760641.0</v>
      </c>
      <c r="N27" s="31">
        <v>2293737.0</v>
      </c>
      <c r="O27" s="31">
        <v>2989814.0</v>
      </c>
      <c r="P27" s="31">
        <v>4019797.0</v>
      </c>
      <c r="Q27" s="31">
        <v>72665.0</v>
      </c>
      <c r="R27" s="31">
        <v>130254.0</v>
      </c>
      <c r="S27" s="31">
        <v>6377.0</v>
      </c>
      <c r="T27" s="31">
        <v>22042.0</v>
      </c>
      <c r="U27" s="124"/>
      <c r="V27" s="31">
        <v>48063.0</v>
      </c>
      <c r="W27" s="5"/>
      <c r="X27" s="44" t="s">
        <v>37</v>
      </c>
      <c r="Y27" s="22" t="s">
        <v>19</v>
      </c>
      <c r="Z27" s="25">
        <f t="shared" si="9"/>
        <v>0</v>
      </c>
      <c r="AA27" s="23">
        <f t="shared" si="10"/>
        <v>0</v>
      </c>
      <c r="AB27" s="63" t="str">
        <f t="shared" si="11"/>
        <v> </v>
      </c>
      <c r="AC27" s="46"/>
      <c r="AD27" s="23">
        <f t="shared" si="12"/>
        <v>0</v>
      </c>
      <c r="AE27" s="23">
        <f t="shared" si="13"/>
        <v>0</v>
      </c>
      <c r="AF27" s="63" t="str">
        <f t="shared" si="14"/>
        <v> </v>
      </c>
      <c r="AG27" s="46"/>
      <c r="AH27" s="46"/>
      <c r="AI27" s="5"/>
    </row>
    <row r="28">
      <c r="A28" s="2"/>
      <c r="B28" s="2"/>
      <c r="C28" s="2"/>
      <c r="D28" s="2"/>
      <c r="E28" s="2"/>
      <c r="F28" s="2"/>
      <c r="G28" s="2"/>
      <c r="H28" s="2"/>
      <c r="I28" s="2"/>
      <c r="J28" s="47"/>
      <c r="K28" s="29">
        <v>45955.0</v>
      </c>
      <c r="L28" s="30">
        <f t="shared" si="3"/>
        <v>12578271</v>
      </c>
      <c r="M28" s="31">
        <v>1824647.0</v>
      </c>
      <c r="N28" s="31">
        <v>2288475.0</v>
      </c>
      <c r="O28" s="31">
        <v>3637013.0</v>
      </c>
      <c r="P28" s="31">
        <v>4554963.0</v>
      </c>
      <c r="Q28" s="31">
        <v>73465.0</v>
      </c>
      <c r="R28" s="31">
        <v>117808.0</v>
      </c>
      <c r="S28" s="31">
        <v>8952.0</v>
      </c>
      <c r="T28" s="31">
        <v>20231.0</v>
      </c>
      <c r="U28" s="124"/>
      <c r="V28" s="31">
        <v>52717.0</v>
      </c>
      <c r="W28" s="5"/>
      <c r="Y28" s="22" t="s">
        <v>27</v>
      </c>
      <c r="Z28" s="25">
        <f t="shared" si="9"/>
        <v>996378</v>
      </c>
      <c r="AA28" s="23">
        <f t="shared" si="10"/>
        <v>1794605</v>
      </c>
      <c r="AB28" s="63">
        <f t="shared" si="11"/>
        <v>1.801128688</v>
      </c>
      <c r="AC28" s="46"/>
      <c r="AD28" s="23">
        <f t="shared" si="12"/>
        <v>996378</v>
      </c>
      <c r="AE28" s="23">
        <f t="shared" si="13"/>
        <v>1708169</v>
      </c>
      <c r="AF28" s="63">
        <f t="shared" si="14"/>
        <v>1.714378479</v>
      </c>
      <c r="AG28" s="46"/>
      <c r="AH28" s="46"/>
      <c r="AI28" s="5"/>
    </row>
    <row r="29">
      <c r="A29" s="2"/>
      <c r="B29" s="68" t="s">
        <v>58</v>
      </c>
      <c r="C29" s="17"/>
      <c r="D29" s="17"/>
      <c r="E29" s="17"/>
      <c r="F29" s="17"/>
      <c r="G29" s="17"/>
      <c r="H29" s="18"/>
      <c r="I29" s="2"/>
      <c r="J29" s="30"/>
      <c r="K29" s="29">
        <v>45956.0</v>
      </c>
      <c r="L29" s="30">
        <f t="shared" si="3"/>
        <v>13090943.1</v>
      </c>
      <c r="M29" s="31">
        <v>2098970.0</v>
      </c>
      <c r="N29" s="31">
        <v>2227084.1</v>
      </c>
      <c r="O29" s="31">
        <v>3743999.0</v>
      </c>
      <c r="P29" s="31">
        <v>4744009.0</v>
      </c>
      <c r="Q29" s="31">
        <v>66327.0</v>
      </c>
      <c r="R29" s="31">
        <v>130758.0</v>
      </c>
      <c r="S29" s="31">
        <v>8661.0</v>
      </c>
      <c r="T29" s="31">
        <v>21114.0</v>
      </c>
      <c r="U29" s="124"/>
      <c r="V29" s="31">
        <v>50021.0</v>
      </c>
      <c r="W29" s="5"/>
      <c r="X29" s="24"/>
      <c r="Y29" s="24"/>
      <c r="Z29" s="52">
        <f t="shared" ref="Z29:AA29" si="15">SUM(Z19:Z28)</f>
        <v>231161149</v>
      </c>
      <c r="AA29" s="52">
        <f t="shared" si="15"/>
        <v>328045981.3</v>
      </c>
      <c r="AB29" s="69">
        <f t="shared" si="11"/>
        <v>1.419122472</v>
      </c>
      <c r="AC29" s="24"/>
      <c r="AD29" s="52">
        <f t="shared" ref="AD29:AE29" si="16">SUM(AD19:AD24)</f>
        <v>229698640</v>
      </c>
      <c r="AE29" s="52">
        <f t="shared" si="16"/>
        <v>316629226.7</v>
      </c>
      <c r="AF29" s="69">
        <f t="shared" si="14"/>
        <v>1.378454947</v>
      </c>
      <c r="AG29" s="24"/>
      <c r="AH29" s="24"/>
      <c r="AI29" s="5"/>
    </row>
    <row r="30">
      <c r="A30" s="2"/>
      <c r="B30" s="70" t="str">
        <f>B4</f>
        <v>Биг–Л / Октябрь | до </v>
      </c>
      <c r="C30" s="17"/>
      <c r="D30" s="28">
        <f>$D$4</f>
        <v>45961</v>
      </c>
      <c r="E30" s="2"/>
      <c r="F30" s="70" t="str">
        <f>F4</f>
        <v>Смарт / Октябрь | до </v>
      </c>
      <c r="G30" s="17"/>
      <c r="H30" s="28">
        <f>$D$4</f>
        <v>45961</v>
      </c>
      <c r="I30" s="2"/>
      <c r="J30" s="30"/>
      <c r="K30" s="29">
        <v>45957.0</v>
      </c>
      <c r="L30" s="30">
        <f t="shared" si="3"/>
        <v>11997117</v>
      </c>
      <c r="M30" s="31">
        <v>1705290.0</v>
      </c>
      <c r="N30" s="31">
        <v>2424895.0</v>
      </c>
      <c r="O30" s="31">
        <v>3582929.0</v>
      </c>
      <c r="P30" s="31">
        <v>4029869.0</v>
      </c>
      <c r="Q30" s="31">
        <v>69148.0</v>
      </c>
      <c r="R30" s="31">
        <v>130889.0</v>
      </c>
      <c r="S30" s="31">
        <v>8313.0</v>
      </c>
      <c r="T30" s="31">
        <v>15566.0</v>
      </c>
      <c r="U30" s="124"/>
      <c r="V30" s="43">
        <v>30218.0</v>
      </c>
      <c r="W30" s="5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5"/>
    </row>
    <row r="31">
      <c r="A31" s="35">
        <f t="shared" ref="A31:A32" si="17">IFERROR(C31/$C$33, " ")</f>
        <v>0.8480284076</v>
      </c>
      <c r="B31" s="41" t="s">
        <v>59</v>
      </c>
      <c r="C31" s="31">
        <v>4244266.0</v>
      </c>
      <c r="D31" s="53"/>
      <c r="E31" s="2"/>
      <c r="F31" s="41" t="s">
        <v>59</v>
      </c>
      <c r="G31" s="31">
        <v>8684753.0</v>
      </c>
      <c r="H31" s="53"/>
      <c r="I31" s="35">
        <f t="shared" ref="I31:I32" si="18">IFERROR(G31/$G$33, " ")</f>
        <v>0.9722099021</v>
      </c>
      <c r="J31" s="47"/>
      <c r="K31" s="29">
        <v>45958.0</v>
      </c>
      <c r="L31" s="30">
        <f t="shared" si="3"/>
        <v>12089133</v>
      </c>
      <c r="M31" s="31">
        <v>1737792.0</v>
      </c>
      <c r="N31" s="31">
        <v>2417236.0</v>
      </c>
      <c r="O31" s="31">
        <v>3308348.0</v>
      </c>
      <c r="P31" s="31">
        <v>4326129.0</v>
      </c>
      <c r="Q31" s="31">
        <v>73327.0</v>
      </c>
      <c r="R31" s="31">
        <v>124751.0</v>
      </c>
      <c r="S31" s="31">
        <v>19878.0</v>
      </c>
      <c r="T31" s="31">
        <v>41587.0</v>
      </c>
      <c r="U31" s="124"/>
      <c r="V31" s="43">
        <v>40085.0</v>
      </c>
      <c r="W31" s="5"/>
      <c r="X31" s="72" t="s">
        <v>60</v>
      </c>
      <c r="Z31" s="14" t="s">
        <v>17</v>
      </c>
      <c r="AA31" s="14" t="s">
        <v>61</v>
      </c>
      <c r="AB31" s="14" t="s">
        <v>62</v>
      </c>
      <c r="AC31" s="46"/>
      <c r="AD31" s="73" t="s">
        <v>63</v>
      </c>
      <c r="AE31" s="73" t="s">
        <v>64</v>
      </c>
      <c r="AF31" s="14" t="s">
        <v>48</v>
      </c>
      <c r="AG31" s="24"/>
      <c r="AH31" s="24"/>
      <c r="AI31" s="5"/>
    </row>
    <row r="32">
      <c r="A32" s="35">
        <f t="shared" si="17"/>
        <v>0.1519715924</v>
      </c>
      <c r="B32" s="39" t="s">
        <v>65</v>
      </c>
      <c r="C32" s="32">
        <v>760597.0</v>
      </c>
      <c r="D32" s="40"/>
      <c r="E32" s="2"/>
      <c r="F32" s="39" t="s">
        <v>65</v>
      </c>
      <c r="G32" s="32">
        <v>248249.0</v>
      </c>
      <c r="H32" s="53"/>
      <c r="I32" s="35">
        <f t="shared" si="18"/>
        <v>0.02779009789</v>
      </c>
      <c r="J32" s="47"/>
      <c r="K32" s="29">
        <v>45959.0</v>
      </c>
      <c r="L32" s="30">
        <f t="shared" si="3"/>
        <v>12392895</v>
      </c>
      <c r="M32" s="31">
        <v>1871922.0</v>
      </c>
      <c r="N32" s="31">
        <v>2364122.0</v>
      </c>
      <c r="O32" s="31">
        <v>3128964.0</v>
      </c>
      <c r="P32" s="31">
        <v>4701256.0</v>
      </c>
      <c r="Q32" s="31">
        <v>50229.0</v>
      </c>
      <c r="R32" s="31">
        <v>183849.0</v>
      </c>
      <c r="S32" s="31">
        <v>17100.0</v>
      </c>
      <c r="T32" s="31">
        <v>39825.0</v>
      </c>
      <c r="U32" s="124"/>
      <c r="V32" s="31">
        <v>35628.0</v>
      </c>
      <c r="W32" s="5"/>
      <c r="X32" s="21" t="s">
        <v>24</v>
      </c>
      <c r="Y32" s="22" t="s">
        <v>19</v>
      </c>
      <c r="Z32" s="23">
        <f t="shared" ref="Z32:Z41" si="19">AH3</f>
        <v>72685329</v>
      </c>
      <c r="AA32" s="23">
        <f>C51</f>
        <v>5001850</v>
      </c>
      <c r="AB32" s="63">
        <f t="shared" ref="AB32:AB42" si="20">AA32/Z32</f>
        <v>0.06881512499</v>
      </c>
      <c r="AC32" s="46"/>
      <c r="AD32" s="63">
        <f>C36</f>
        <v>0.07</v>
      </c>
      <c r="AE32" s="63">
        <f t="shared" ref="AE32:AE42" si="21">AB32</f>
        <v>0.06881512499</v>
      </c>
      <c r="AF32" s="63">
        <f t="shared" ref="AF32:AF42" si="22">AE32/AD32-1</f>
        <v>-0.01692678587</v>
      </c>
      <c r="AG32" s="24"/>
      <c r="AH32" s="24"/>
      <c r="AI32" s="5"/>
    </row>
    <row r="33">
      <c r="A33" s="2"/>
      <c r="B33" s="41" t="s">
        <v>42</v>
      </c>
      <c r="C33" s="30">
        <f>SUM(C31:C32)</f>
        <v>5004863</v>
      </c>
      <c r="D33" s="40"/>
      <c r="E33" s="2"/>
      <c r="F33" s="41" t="s">
        <v>42</v>
      </c>
      <c r="G33" s="30">
        <f>SUM(G31:G32)</f>
        <v>8933002</v>
      </c>
      <c r="H33" s="40"/>
      <c r="I33" s="2"/>
      <c r="J33" s="47"/>
      <c r="K33" s="29">
        <v>45960.0</v>
      </c>
      <c r="L33" s="30">
        <f t="shared" si="3"/>
        <v>12437930.1</v>
      </c>
      <c r="M33" s="31">
        <v>1852921.0</v>
      </c>
      <c r="N33" s="31">
        <v>2304647.1</v>
      </c>
      <c r="O33" s="31">
        <v>3119353.0</v>
      </c>
      <c r="P33" s="31">
        <v>4900410.0</v>
      </c>
      <c r="Q33" s="31">
        <v>26800.0</v>
      </c>
      <c r="R33" s="31">
        <v>120853.0</v>
      </c>
      <c r="S33" s="31">
        <v>17017.0</v>
      </c>
      <c r="T33" s="31">
        <v>56365.0</v>
      </c>
      <c r="U33" s="124"/>
      <c r="V33" s="31">
        <v>39564.0</v>
      </c>
      <c r="W33" s="21"/>
      <c r="Y33" s="22" t="s">
        <v>27</v>
      </c>
      <c r="Z33" s="23">
        <f t="shared" si="19"/>
        <v>125083651</v>
      </c>
      <c r="AA33" s="23">
        <f>G51</f>
        <v>4782522</v>
      </c>
      <c r="AB33" s="63">
        <f t="shared" si="20"/>
        <v>0.03823458911</v>
      </c>
      <c r="AC33" s="46"/>
      <c r="AD33" s="63">
        <f>G36</f>
        <v>0.07</v>
      </c>
      <c r="AE33" s="63">
        <f t="shared" si="21"/>
        <v>0.03823458911</v>
      </c>
      <c r="AF33" s="63">
        <f t="shared" si="22"/>
        <v>-0.4537915842</v>
      </c>
      <c r="AG33" s="5"/>
      <c r="AH33" s="24"/>
      <c r="AI33" s="21"/>
    </row>
    <row r="34">
      <c r="A34" s="2"/>
      <c r="B34" s="41" t="s">
        <v>43</v>
      </c>
      <c r="C34" s="2"/>
      <c r="D34" s="54">
        <f>O35</f>
        <v>73239180</v>
      </c>
      <c r="E34" s="2"/>
      <c r="F34" s="41" t="s">
        <v>43</v>
      </c>
      <c r="G34" s="2"/>
      <c r="H34" s="54">
        <f>P35</f>
        <v>126203637</v>
      </c>
      <c r="I34" s="2"/>
      <c r="J34" s="47"/>
      <c r="K34" s="29">
        <v>45961.0</v>
      </c>
      <c r="L34" s="30">
        <f t="shared" si="3"/>
        <v>11678328</v>
      </c>
      <c r="M34" s="31">
        <v>1650417.0</v>
      </c>
      <c r="N34" s="31">
        <v>2188158.0</v>
      </c>
      <c r="O34" s="31">
        <v>2948201.0</v>
      </c>
      <c r="P34" s="31">
        <v>4650346.0</v>
      </c>
      <c r="Q34" s="31">
        <v>35308.0</v>
      </c>
      <c r="R34" s="31">
        <v>112293.0</v>
      </c>
      <c r="S34" s="31">
        <v>13076.0</v>
      </c>
      <c r="T34" s="31">
        <v>34235.0</v>
      </c>
      <c r="U34" s="124"/>
      <c r="V34" s="31">
        <v>46294.0</v>
      </c>
      <c r="W34" s="5"/>
      <c r="X34" s="21" t="s">
        <v>18</v>
      </c>
      <c r="Y34" s="22" t="s">
        <v>19</v>
      </c>
      <c r="Z34" s="23">
        <f t="shared" si="19"/>
        <v>42706261.24</v>
      </c>
      <c r="AA34" s="23">
        <f>C15</f>
        <v>8320678</v>
      </c>
      <c r="AB34" s="63">
        <f t="shared" si="20"/>
        <v>0.1948350841</v>
      </c>
      <c r="AC34" s="46"/>
      <c r="AD34" s="63">
        <f>C18</f>
        <v>0.205</v>
      </c>
      <c r="AE34" s="63">
        <f t="shared" si="21"/>
        <v>0.1948350841</v>
      </c>
      <c r="AF34" s="63">
        <f t="shared" si="22"/>
        <v>-0.04958495555</v>
      </c>
      <c r="AG34" s="5"/>
      <c r="AH34" s="24"/>
      <c r="AI34" s="5"/>
    </row>
    <row r="35">
      <c r="A35" s="2"/>
      <c r="B35" s="41" t="s">
        <v>44</v>
      </c>
      <c r="C35" s="2"/>
      <c r="D35" s="57">
        <f>C33/D34</f>
        <v>0.06833586886</v>
      </c>
      <c r="E35" s="2"/>
      <c r="F35" s="41" t="s">
        <v>44</v>
      </c>
      <c r="G35" s="2"/>
      <c r="H35" s="57">
        <f>G33/H34</f>
        <v>0.07078244504</v>
      </c>
      <c r="I35" s="2"/>
      <c r="J35" s="47"/>
      <c r="K35" s="75">
        <f>L35/C1</f>
        <v>10582128.43</v>
      </c>
      <c r="L35" s="76">
        <f t="shared" ref="L35:V35" si="23">SUM(L4:L34)</f>
        <v>328045981.3</v>
      </c>
      <c r="M35" s="30">
        <f t="shared" si="23"/>
        <v>45495371</v>
      </c>
      <c r="N35" s="30">
        <f t="shared" si="23"/>
        <v>74046375.3</v>
      </c>
      <c r="O35" s="30">
        <f t="shared" si="23"/>
        <v>73239180</v>
      </c>
      <c r="P35" s="30">
        <f t="shared" si="23"/>
        <v>126203637</v>
      </c>
      <c r="Q35" s="30">
        <f t="shared" si="23"/>
        <v>1604498</v>
      </c>
      <c r="R35" s="30">
        <f t="shared" si="23"/>
        <v>4572310</v>
      </c>
      <c r="S35" s="30">
        <f t="shared" si="23"/>
        <v>262675</v>
      </c>
      <c r="T35" s="30">
        <f t="shared" si="23"/>
        <v>827330</v>
      </c>
      <c r="U35" s="30">
        <f t="shared" si="23"/>
        <v>0</v>
      </c>
      <c r="V35" s="30">
        <f t="shared" si="23"/>
        <v>1794605</v>
      </c>
      <c r="W35" s="5"/>
      <c r="Y35" s="22" t="s">
        <v>27</v>
      </c>
      <c r="Z35" s="23">
        <f t="shared" si="19"/>
        <v>70145511.49</v>
      </c>
      <c r="AA35" s="23">
        <f>G15</f>
        <v>8345012</v>
      </c>
      <c r="AB35" s="63">
        <f t="shared" si="20"/>
        <v>0.1189671559</v>
      </c>
      <c r="AC35" s="46"/>
      <c r="AD35" s="63">
        <f>G18</f>
        <v>0.115</v>
      </c>
      <c r="AE35" s="63">
        <f t="shared" si="21"/>
        <v>0.1189671559</v>
      </c>
      <c r="AF35" s="63">
        <f t="shared" si="22"/>
        <v>0.03449700768</v>
      </c>
      <c r="AG35" s="5"/>
      <c r="AH35" s="24"/>
      <c r="AI35" s="5"/>
    </row>
    <row r="36">
      <c r="A36" s="35">
        <f>D35/C36</f>
        <v>0.976226698</v>
      </c>
      <c r="B36" s="41" t="s">
        <v>47</v>
      </c>
      <c r="C36" s="59">
        <v>0.07</v>
      </c>
      <c r="D36" s="54">
        <f>D34*C36</f>
        <v>5126742.6</v>
      </c>
      <c r="E36" s="2"/>
      <c r="F36" s="41" t="s">
        <v>47</v>
      </c>
      <c r="G36" s="59">
        <v>0.07</v>
      </c>
      <c r="H36" s="54">
        <f>H34*G36</f>
        <v>8834254.59</v>
      </c>
      <c r="I36" s="35">
        <f>H35/G36</f>
        <v>1.011177786</v>
      </c>
      <c r="J36" s="47"/>
      <c r="K36" s="2"/>
      <c r="L36" s="2"/>
      <c r="M36" s="35">
        <f t="shared" ref="M36:V36" si="24">M35/$L$35</f>
        <v>0.1386859574</v>
      </c>
      <c r="N36" s="35">
        <f t="shared" si="24"/>
        <v>0.2257195013</v>
      </c>
      <c r="O36" s="35">
        <f t="shared" si="24"/>
        <v>0.223258885</v>
      </c>
      <c r="P36" s="35">
        <f t="shared" si="24"/>
        <v>0.3847132542</v>
      </c>
      <c r="Q36" s="35">
        <f t="shared" si="24"/>
        <v>0.00489107653</v>
      </c>
      <c r="R36" s="35">
        <f t="shared" si="24"/>
        <v>0.01393801559</v>
      </c>
      <c r="S36" s="35">
        <f t="shared" si="24"/>
        <v>0.0008007261633</v>
      </c>
      <c r="T36" s="35">
        <f t="shared" si="24"/>
        <v>0.00252199401</v>
      </c>
      <c r="U36" s="35">
        <f t="shared" si="24"/>
        <v>0</v>
      </c>
      <c r="V36" s="35">
        <f t="shared" si="24"/>
        <v>0.005470589802</v>
      </c>
      <c r="W36" s="5"/>
      <c r="X36" s="21" t="s">
        <v>31</v>
      </c>
      <c r="Y36" s="22" t="s">
        <v>19</v>
      </c>
      <c r="Z36" s="23">
        <f t="shared" si="19"/>
        <v>1535419</v>
      </c>
      <c r="AA36" s="23">
        <f>C72</f>
        <v>303504</v>
      </c>
      <c r="AB36" s="63">
        <f t="shared" si="20"/>
        <v>0.1976685191</v>
      </c>
      <c r="AC36" s="46"/>
      <c r="AD36" s="63">
        <f>C75</f>
        <v>0.18</v>
      </c>
      <c r="AE36" s="63">
        <f t="shared" si="21"/>
        <v>0.1976685191</v>
      </c>
      <c r="AF36" s="63">
        <f t="shared" si="22"/>
        <v>0.0981584397</v>
      </c>
      <c r="AG36" s="5"/>
      <c r="AH36" s="24"/>
      <c r="AI36" s="5"/>
    </row>
    <row r="37">
      <c r="A37" s="2"/>
      <c r="B37" s="77" t="s">
        <v>50</v>
      </c>
      <c r="C37" s="61"/>
      <c r="D37" s="62">
        <f>C33-D36</f>
        <v>-121879.6</v>
      </c>
      <c r="E37" s="2"/>
      <c r="F37" s="77" t="s">
        <v>50</v>
      </c>
      <c r="G37" s="61"/>
      <c r="H37" s="62">
        <f>G33-H36</f>
        <v>98747.41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5"/>
      <c r="Y37" s="22" t="s">
        <v>27</v>
      </c>
      <c r="Z37" s="23">
        <f t="shared" si="19"/>
        <v>4473055</v>
      </c>
      <c r="AA37" s="23">
        <f>G72</f>
        <v>843245</v>
      </c>
      <c r="AB37" s="63">
        <f t="shared" si="20"/>
        <v>0.1885165731</v>
      </c>
      <c r="AC37" s="46"/>
      <c r="AD37" s="63">
        <f>G75</f>
        <v>0.175</v>
      </c>
      <c r="AE37" s="63">
        <f t="shared" si="21"/>
        <v>0.1885165731</v>
      </c>
      <c r="AF37" s="63">
        <f t="shared" si="22"/>
        <v>0.07723756071</v>
      </c>
      <c r="AG37" s="5"/>
      <c r="AH37" s="24"/>
      <c r="AI37" s="5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66" t="s">
        <v>66</v>
      </c>
      <c r="M38" s="78">
        <f>SUM(M40:N40)/$L$40</f>
        <v>0.3644054587</v>
      </c>
      <c r="N38" s="79"/>
      <c r="O38" s="78">
        <f>SUM(O40:P40)/$L$40</f>
        <v>0.6079721392</v>
      </c>
      <c r="P38" s="79"/>
      <c r="Q38" s="78">
        <f>SUM(Q40:R40)/$L$40</f>
        <v>0.01882909212</v>
      </c>
      <c r="R38" s="79"/>
      <c r="S38" s="78">
        <f>SUM(S40:T40)/$L$40</f>
        <v>0.003322720174</v>
      </c>
      <c r="T38" s="79"/>
      <c r="U38" s="78">
        <f>SUM(U40:V40)/$L$40</f>
        <v>0.005470589802</v>
      </c>
      <c r="V38" s="79"/>
      <c r="W38" s="5"/>
      <c r="X38" s="44" t="s">
        <v>34</v>
      </c>
      <c r="Y38" s="22" t="s">
        <v>19</v>
      </c>
      <c r="Z38" s="23">
        <f t="shared" si="19"/>
        <v>231207</v>
      </c>
      <c r="AA38" s="81">
        <v>0.0</v>
      </c>
      <c r="AB38" s="63">
        <f t="shared" si="20"/>
        <v>0</v>
      </c>
      <c r="AC38" s="46"/>
      <c r="AD38" s="82">
        <f>C91</f>
        <v>0.15</v>
      </c>
      <c r="AE38" s="63">
        <f t="shared" si="21"/>
        <v>0</v>
      </c>
      <c r="AF38" s="63">
        <f t="shared" si="22"/>
        <v>-1</v>
      </c>
      <c r="AG38" s="46"/>
      <c r="AH38" s="46"/>
      <c r="AI38" s="5"/>
    </row>
    <row r="39">
      <c r="A39" s="2"/>
      <c r="B39" s="58" t="s">
        <v>51</v>
      </c>
      <c r="C39" s="58"/>
      <c r="D39" s="64">
        <f>O42</f>
        <v>35109564</v>
      </c>
      <c r="E39" s="2"/>
      <c r="F39" s="58" t="s">
        <v>51</v>
      </c>
      <c r="G39" s="58"/>
      <c r="H39" s="64">
        <f>P42</f>
        <v>109216574</v>
      </c>
      <c r="I39" s="2"/>
      <c r="J39" s="2"/>
      <c r="K39" s="2" t="s">
        <v>67</v>
      </c>
      <c r="L39" s="35">
        <f t="shared" ref="L39:V39" si="25">L40/$L$40</f>
        <v>1</v>
      </c>
      <c r="M39" s="83">
        <f t="shared" si="25"/>
        <v>0.1386859574</v>
      </c>
      <c r="N39" s="84">
        <f t="shared" si="25"/>
        <v>0.2257195013</v>
      </c>
      <c r="O39" s="83">
        <f t="shared" si="25"/>
        <v>0.223258885</v>
      </c>
      <c r="P39" s="84">
        <f t="shared" si="25"/>
        <v>0.3847132542</v>
      </c>
      <c r="Q39" s="83">
        <f t="shared" si="25"/>
        <v>0.00489107653</v>
      </c>
      <c r="R39" s="84">
        <f t="shared" si="25"/>
        <v>0.01393801559</v>
      </c>
      <c r="S39" s="83">
        <f t="shared" si="25"/>
        <v>0.0008007261633</v>
      </c>
      <c r="T39" s="84">
        <f t="shared" si="25"/>
        <v>0.00252199401</v>
      </c>
      <c r="U39" s="83">
        <f t="shared" si="25"/>
        <v>0</v>
      </c>
      <c r="V39" s="84">
        <f t="shared" si="25"/>
        <v>0.005470589802</v>
      </c>
      <c r="W39" s="5"/>
      <c r="Y39" s="22" t="s">
        <v>27</v>
      </c>
      <c r="Z39" s="23">
        <f t="shared" si="19"/>
        <v>748213</v>
      </c>
      <c r="AA39" s="81">
        <v>0.0</v>
      </c>
      <c r="AB39" s="63">
        <f t="shared" si="20"/>
        <v>0</v>
      </c>
      <c r="AC39" s="46"/>
      <c r="AD39" s="82">
        <f>G91</f>
        <v>0.15</v>
      </c>
      <c r="AE39" s="63">
        <f t="shared" si="21"/>
        <v>0</v>
      </c>
      <c r="AF39" s="63">
        <f t="shared" si="22"/>
        <v>-1</v>
      </c>
      <c r="AG39" s="46"/>
      <c r="AH39" s="46"/>
      <c r="AI39" s="5"/>
    </row>
    <row r="40">
      <c r="A40" s="2"/>
      <c r="B40" s="2" t="s">
        <v>52</v>
      </c>
      <c r="C40" s="2"/>
      <c r="D40" s="30">
        <f>D34/$C$1</f>
        <v>2362554.194</v>
      </c>
      <c r="E40" s="2"/>
      <c r="F40" s="2" t="s">
        <v>52</v>
      </c>
      <c r="G40" s="2"/>
      <c r="H40" s="30">
        <f>H34/$C$1</f>
        <v>4071085.065</v>
      </c>
      <c r="I40" s="2"/>
      <c r="J40" s="2"/>
      <c r="K40" s="2" t="s">
        <v>68</v>
      </c>
      <c r="L40" s="76">
        <f t="shared" ref="L40:V40" si="26">L35/$C$1*$G$1</f>
        <v>328045981.3</v>
      </c>
      <c r="M40" s="30">
        <f t="shared" si="26"/>
        <v>45495371</v>
      </c>
      <c r="N40" s="30">
        <f t="shared" si="26"/>
        <v>74046375.3</v>
      </c>
      <c r="O40" s="30">
        <f t="shared" si="26"/>
        <v>73239180</v>
      </c>
      <c r="P40" s="30">
        <f t="shared" si="26"/>
        <v>126203637</v>
      </c>
      <c r="Q40" s="30">
        <f t="shared" si="26"/>
        <v>1604498</v>
      </c>
      <c r="R40" s="30">
        <f t="shared" si="26"/>
        <v>4572310</v>
      </c>
      <c r="S40" s="30">
        <f t="shared" si="26"/>
        <v>262675</v>
      </c>
      <c r="T40" s="30">
        <f t="shared" si="26"/>
        <v>827330</v>
      </c>
      <c r="U40" s="30">
        <f t="shared" si="26"/>
        <v>0</v>
      </c>
      <c r="V40" s="30">
        <f t="shared" si="26"/>
        <v>1794605</v>
      </c>
      <c r="W40" s="5"/>
      <c r="X40" s="44" t="s">
        <v>37</v>
      </c>
      <c r="Y40" s="22" t="s">
        <v>19</v>
      </c>
      <c r="Z40" s="23">
        <f t="shared" si="19"/>
        <v>0</v>
      </c>
      <c r="AA40" s="81">
        <v>0.0</v>
      </c>
      <c r="AB40" s="63" t="str">
        <f t="shared" si="20"/>
        <v>#DIV/0!</v>
      </c>
      <c r="AC40" s="46"/>
      <c r="AD40" s="82">
        <v>0.0</v>
      </c>
      <c r="AE40" s="63" t="str">
        <f t="shared" si="21"/>
        <v>#DIV/0!</v>
      </c>
      <c r="AF40" s="63" t="str">
        <f t="shared" si="22"/>
        <v>#DIV/0!</v>
      </c>
      <c r="AG40" s="46"/>
      <c r="AH40" s="46"/>
      <c r="AI40" s="5"/>
    </row>
    <row r="41">
      <c r="A41" s="2"/>
      <c r="B41" s="2" t="s">
        <v>53</v>
      </c>
      <c r="C41" s="2"/>
      <c r="D41" s="30">
        <f>D39/$G$1*$C$1</f>
        <v>35109564</v>
      </c>
      <c r="E41" s="2"/>
      <c r="F41" s="2" t="s">
        <v>53</v>
      </c>
      <c r="G41" s="2"/>
      <c r="H41" s="30">
        <f>H39/$G$1*$C$1</f>
        <v>109216574</v>
      </c>
      <c r="I41" s="2"/>
      <c r="J41" s="2"/>
      <c r="K41" s="2" t="s">
        <v>52</v>
      </c>
      <c r="L41" s="76">
        <f t="shared" ref="L41:V41" si="27">L35/$C$1</f>
        <v>10582128.43</v>
      </c>
      <c r="M41" s="30">
        <f t="shared" si="27"/>
        <v>1467592.613</v>
      </c>
      <c r="N41" s="30">
        <f t="shared" si="27"/>
        <v>2388592.752</v>
      </c>
      <c r="O41" s="30">
        <f t="shared" si="27"/>
        <v>2362554.194</v>
      </c>
      <c r="P41" s="30">
        <f t="shared" si="27"/>
        <v>4071085.065</v>
      </c>
      <c r="Q41" s="30">
        <f t="shared" si="27"/>
        <v>51758</v>
      </c>
      <c r="R41" s="30">
        <f t="shared" si="27"/>
        <v>147493.871</v>
      </c>
      <c r="S41" s="30">
        <f t="shared" si="27"/>
        <v>8473.387097</v>
      </c>
      <c r="T41" s="30">
        <f t="shared" si="27"/>
        <v>26688.06452</v>
      </c>
      <c r="U41" s="30">
        <f t="shared" si="27"/>
        <v>0</v>
      </c>
      <c r="V41" s="30">
        <f t="shared" si="27"/>
        <v>57890.48387</v>
      </c>
      <c r="W41" s="5"/>
      <c r="Y41" s="22" t="s">
        <v>27</v>
      </c>
      <c r="Z41" s="23">
        <f t="shared" si="19"/>
        <v>1708169</v>
      </c>
      <c r="AA41" s="81">
        <v>0.0</v>
      </c>
      <c r="AB41" s="63">
        <f t="shared" si="20"/>
        <v>0</v>
      </c>
      <c r="AC41" s="46"/>
      <c r="AD41" s="82">
        <v>0.0</v>
      </c>
      <c r="AE41" s="63">
        <f t="shared" si="21"/>
        <v>0</v>
      </c>
      <c r="AF41" s="63" t="str">
        <f t="shared" si="22"/>
        <v>#DIV/0!</v>
      </c>
      <c r="AG41" s="46"/>
      <c r="AH41" s="46"/>
      <c r="AI41" s="5"/>
    </row>
    <row r="42">
      <c r="A42" s="2"/>
      <c r="B42" s="2" t="s">
        <v>54</v>
      </c>
      <c r="C42" s="2"/>
      <c r="D42" s="30" t="str">
        <f>(D39-D34)/($G$1-$C$1)</f>
        <v>#DIV/0!</v>
      </c>
      <c r="E42" s="2"/>
      <c r="F42" s="2" t="s">
        <v>54</v>
      </c>
      <c r="G42" s="2"/>
      <c r="H42" s="30" t="str">
        <f>(H39-H34)/($G$1-$C$1)</f>
        <v>#DIV/0!</v>
      </c>
      <c r="I42" s="2"/>
      <c r="J42" s="2"/>
      <c r="K42" s="2" t="s">
        <v>69</v>
      </c>
      <c r="L42" s="76">
        <f>SUM(M42:V42)</f>
        <v>231161149</v>
      </c>
      <c r="M42" s="30">
        <f>'Сентябрь 25'!M35</f>
        <v>26956516</v>
      </c>
      <c r="N42" s="30">
        <f>'Сентябрь 25'!N35</f>
        <v>54265632</v>
      </c>
      <c r="O42" s="30">
        <f>'Сентябрь 25'!O35</f>
        <v>35109564</v>
      </c>
      <c r="P42" s="30">
        <f>'Сентябрь 25'!P35</f>
        <v>109216574</v>
      </c>
      <c r="Q42" s="30">
        <f>'Сентябрь 25'!Q35</f>
        <v>811287</v>
      </c>
      <c r="R42" s="30">
        <f>'Сентябрь 25'!R35</f>
        <v>3339067</v>
      </c>
      <c r="S42" s="30">
        <f>'Сентябрь 25'!S35</f>
        <v>101466</v>
      </c>
      <c r="T42" s="30">
        <f>'Сентябрь 25'!T35</f>
        <v>364665</v>
      </c>
      <c r="U42" s="30">
        <f>'Сентябрь 25'!U35</f>
        <v>0</v>
      </c>
      <c r="V42" s="30">
        <f>'Сентябрь 25'!V35</f>
        <v>996378</v>
      </c>
      <c r="W42" s="5"/>
      <c r="X42" s="5"/>
      <c r="Y42" s="5"/>
      <c r="Z42" s="52">
        <f t="shared" ref="Z42:AA42" si="28">SUM(Z32:Z41)</f>
        <v>319316815.7</v>
      </c>
      <c r="AA42" s="52">
        <f t="shared" si="28"/>
        <v>27596811</v>
      </c>
      <c r="AB42" s="69">
        <f t="shared" si="20"/>
        <v>0.08642454653</v>
      </c>
      <c r="AC42" s="46"/>
      <c r="AD42" s="69">
        <f>F124</f>
        <v>0.1013186409</v>
      </c>
      <c r="AE42" s="69">
        <f t="shared" si="21"/>
        <v>0.08642454653</v>
      </c>
      <c r="AF42" s="69">
        <f t="shared" si="22"/>
        <v>-0.1470025086</v>
      </c>
      <c r="AG42" s="5"/>
      <c r="AH42" s="5"/>
      <c r="AI42" s="5"/>
    </row>
    <row r="43">
      <c r="A43" s="2"/>
      <c r="B43" s="2" t="s">
        <v>55</v>
      </c>
      <c r="C43" s="2"/>
      <c r="D43" s="30">
        <f>D34-D41</f>
        <v>38129616</v>
      </c>
      <c r="E43" s="2"/>
      <c r="F43" s="2" t="s">
        <v>55</v>
      </c>
      <c r="G43" s="2"/>
      <c r="H43" s="30">
        <f>H34-H41</f>
        <v>16987063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5"/>
      <c r="X43" s="46"/>
      <c r="Y43" s="46"/>
      <c r="Z43" s="46"/>
      <c r="AA43" s="46"/>
      <c r="AB43" s="46"/>
      <c r="AC43" s="46"/>
      <c r="AD43" s="46"/>
      <c r="AE43" s="46"/>
      <c r="AF43" s="46"/>
      <c r="AG43" s="55"/>
      <c r="AH43" s="55"/>
      <c r="AI43" s="5"/>
    </row>
    <row r="44">
      <c r="A44" s="2"/>
      <c r="B44" s="2" t="s">
        <v>56</v>
      </c>
      <c r="C44" s="2"/>
      <c r="D44" s="30">
        <f>D34/$C$1*$G$1</f>
        <v>73239180</v>
      </c>
      <c r="E44" s="2"/>
      <c r="F44" s="2" t="s">
        <v>56</v>
      </c>
      <c r="G44" s="2"/>
      <c r="H44" s="30">
        <f>H34/$C$1*$G$1</f>
        <v>126203637</v>
      </c>
      <c r="I44" s="2"/>
      <c r="J44" s="2"/>
      <c r="K44" s="2" t="s">
        <v>74</v>
      </c>
      <c r="L44" s="35">
        <f t="shared" ref="L44:V44" si="29">L40/L42-1</f>
        <v>0.4191224724</v>
      </c>
      <c r="M44" s="86">
        <f t="shared" si="29"/>
        <v>0.6877318642</v>
      </c>
      <c r="N44" s="87">
        <f t="shared" si="29"/>
        <v>0.3645169617</v>
      </c>
      <c r="O44" s="86">
        <f t="shared" si="29"/>
        <v>1.086017929</v>
      </c>
      <c r="P44" s="87">
        <f t="shared" si="29"/>
        <v>0.1555355783</v>
      </c>
      <c r="Q44" s="86">
        <f t="shared" si="29"/>
        <v>0.9777193521</v>
      </c>
      <c r="R44" s="87">
        <f t="shared" si="29"/>
        <v>0.3693376024</v>
      </c>
      <c r="S44" s="86">
        <f t="shared" si="29"/>
        <v>1.588798218</v>
      </c>
      <c r="T44" s="87">
        <f t="shared" si="29"/>
        <v>1.268739802</v>
      </c>
      <c r="U44" s="86" t="str">
        <f t="shared" si="29"/>
        <v>#DIV/0!</v>
      </c>
      <c r="V44" s="87">
        <f t="shared" si="29"/>
        <v>0.8011286881</v>
      </c>
      <c r="W44" s="5"/>
      <c r="X44" s="72" t="s">
        <v>71</v>
      </c>
      <c r="Z44" s="14" t="s">
        <v>17</v>
      </c>
      <c r="AA44" s="14" t="s">
        <v>61</v>
      </c>
      <c r="AB44" s="14" t="s">
        <v>62</v>
      </c>
      <c r="AC44" s="24"/>
      <c r="AD44" s="73" t="s">
        <v>63</v>
      </c>
      <c r="AE44" s="73" t="s">
        <v>64</v>
      </c>
      <c r="AF44" s="14" t="s">
        <v>48</v>
      </c>
      <c r="AG44" s="5"/>
      <c r="AH44" s="5"/>
      <c r="AI44" s="5"/>
    </row>
    <row r="45">
      <c r="A45" s="2"/>
      <c r="B45" s="66" t="s">
        <v>57</v>
      </c>
      <c r="C45" s="66"/>
      <c r="D45" s="67">
        <f>D44/D39</f>
        <v>2.086017929</v>
      </c>
      <c r="E45" s="2"/>
      <c r="F45" s="66" t="s">
        <v>57</v>
      </c>
      <c r="G45" s="66"/>
      <c r="H45" s="67">
        <f>H44/H39</f>
        <v>1.155535578</v>
      </c>
      <c r="I45" s="2"/>
      <c r="J45" s="2"/>
      <c r="K45" s="19" t="s">
        <v>75</v>
      </c>
      <c r="M45" s="89">
        <f>SUM(M40:N40)/SUM(M42:N42)-1</f>
        <v>0.4717875511</v>
      </c>
      <c r="N45" s="90"/>
      <c r="O45" s="89">
        <f>SUM(O40:P40)/SUM(O42:P42)-1</f>
        <v>0.3818897932</v>
      </c>
      <c r="P45" s="90"/>
      <c r="Q45" s="89">
        <f>SUM(Q40:R40)/SUM(Q42:R42)-1</f>
        <v>0.4882605195</v>
      </c>
      <c r="R45" s="90"/>
      <c r="S45" s="89">
        <f>SUM(S40:T40)/SUM(S42:T42)-1</f>
        <v>1.33840916</v>
      </c>
      <c r="T45" s="90"/>
      <c r="U45" s="89">
        <f>SUM(U40:V40)/SUM(U42:V42)-1</f>
        <v>0.8011286881</v>
      </c>
      <c r="V45" s="90"/>
      <c r="W45" s="5"/>
      <c r="X45" s="21" t="s">
        <v>24</v>
      </c>
      <c r="Y45" s="22" t="s">
        <v>19</v>
      </c>
      <c r="Z45" s="23">
        <f t="shared" ref="Z45:Z54" si="31">Z32</f>
        <v>72685329</v>
      </c>
      <c r="AA45" s="23">
        <f>C33</f>
        <v>5004863</v>
      </c>
      <c r="AB45" s="63">
        <f t="shared" ref="AB45:AB55" si="32">AA45/Z45</f>
        <v>0.06885657765</v>
      </c>
      <c r="AC45" s="24"/>
      <c r="AD45" s="63">
        <f t="shared" ref="AD45:AD55" si="33">AD32</f>
        <v>0.07</v>
      </c>
      <c r="AE45" s="63">
        <f t="shared" ref="AE45:AE55" si="34">AB45</f>
        <v>0.06885657765</v>
      </c>
      <c r="AF45" s="63">
        <f t="shared" ref="AF45:AF55" si="35">AE45/AD45-1</f>
        <v>-0.01633460506</v>
      </c>
      <c r="AG45" s="5"/>
      <c r="AH45" s="5"/>
      <c r="AI45" s="5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 t="s">
        <v>76</v>
      </c>
      <c r="L46" s="30">
        <f t="shared" ref="L46:V46" si="30">L40-L42</f>
        <v>96884832.3</v>
      </c>
      <c r="M46" s="93">
        <f t="shared" si="30"/>
        <v>18538855</v>
      </c>
      <c r="N46" s="94">
        <f t="shared" si="30"/>
        <v>19780743.3</v>
      </c>
      <c r="O46" s="93">
        <f t="shared" si="30"/>
        <v>38129616</v>
      </c>
      <c r="P46" s="94">
        <f t="shared" si="30"/>
        <v>16987063</v>
      </c>
      <c r="Q46" s="93">
        <f t="shared" si="30"/>
        <v>793211</v>
      </c>
      <c r="R46" s="94">
        <f t="shared" si="30"/>
        <v>1233243</v>
      </c>
      <c r="S46" s="95">
        <f t="shared" si="30"/>
        <v>161209</v>
      </c>
      <c r="T46" s="54">
        <f t="shared" si="30"/>
        <v>462665</v>
      </c>
      <c r="U46" s="95">
        <f t="shared" si="30"/>
        <v>0</v>
      </c>
      <c r="V46" s="54">
        <f t="shared" si="30"/>
        <v>798227</v>
      </c>
      <c r="W46" s="5"/>
      <c r="Y46" s="22" t="s">
        <v>27</v>
      </c>
      <c r="Z46" s="23">
        <f t="shared" si="31"/>
        <v>125083651</v>
      </c>
      <c r="AA46" s="23">
        <f>G33</f>
        <v>8933002</v>
      </c>
      <c r="AB46" s="63">
        <f t="shared" si="32"/>
        <v>0.07141622369</v>
      </c>
      <c r="AC46" s="24"/>
      <c r="AD46" s="63">
        <f t="shared" si="33"/>
        <v>0.07</v>
      </c>
      <c r="AE46" s="63">
        <f t="shared" si="34"/>
        <v>0.07141622369</v>
      </c>
      <c r="AF46" s="63">
        <f t="shared" si="35"/>
        <v>0.02023176703</v>
      </c>
      <c r="AG46" s="55"/>
      <c r="AH46" s="55"/>
      <c r="AI46" s="5"/>
    </row>
    <row r="47">
      <c r="A47" s="2"/>
      <c r="B47" s="68" t="s">
        <v>73</v>
      </c>
      <c r="C47" s="17"/>
      <c r="D47" s="17"/>
      <c r="E47" s="17"/>
      <c r="F47" s="17"/>
      <c r="G47" s="17"/>
      <c r="H47" s="18"/>
      <c r="I47" s="2"/>
      <c r="J47" s="2"/>
      <c r="K47" s="19" t="s">
        <v>78</v>
      </c>
      <c r="M47" s="97">
        <f>SUM(M40:N40)-SUM(M42:N42)</f>
        <v>38319598.3</v>
      </c>
      <c r="N47" s="90"/>
      <c r="O47" s="97">
        <f>SUM(O40:P40)-SUM(O42:P42)</f>
        <v>55116679</v>
      </c>
      <c r="P47" s="90"/>
      <c r="Q47" s="97">
        <f>SUM(Q40:R40)-SUM(Q42:R42)</f>
        <v>2026454</v>
      </c>
      <c r="R47" s="90"/>
      <c r="S47" s="97">
        <f>SUM(S40:T40)-SUM(S42:T42)</f>
        <v>623874</v>
      </c>
      <c r="T47" s="90"/>
      <c r="U47" s="97">
        <f>SUM(U40:V40)-SUM(U42:V42)</f>
        <v>798227</v>
      </c>
      <c r="V47" s="90"/>
      <c r="W47" s="5"/>
      <c r="X47" s="21" t="s">
        <v>18</v>
      </c>
      <c r="Y47" s="22" t="s">
        <v>19</v>
      </c>
      <c r="Z47" s="23">
        <f t="shared" si="31"/>
        <v>42706261.24</v>
      </c>
      <c r="AA47" s="23">
        <f t="shared" ref="AA47:AA54" si="36">AA34</f>
        <v>8320678</v>
      </c>
      <c r="AB47" s="63">
        <f t="shared" si="32"/>
        <v>0.1948350841</v>
      </c>
      <c r="AC47" s="24"/>
      <c r="AD47" s="63">
        <f t="shared" si="33"/>
        <v>0.205</v>
      </c>
      <c r="AE47" s="63">
        <f t="shared" si="34"/>
        <v>0.1948350841</v>
      </c>
      <c r="AF47" s="63">
        <f t="shared" si="35"/>
        <v>-0.04958495555</v>
      </c>
      <c r="AG47" s="55"/>
      <c r="AH47" s="55"/>
      <c r="AI47" s="5"/>
    </row>
    <row r="48">
      <c r="A48" s="2"/>
      <c r="B48" s="70" t="str">
        <f>B30</f>
        <v>Биг–Л / Октябрь | до </v>
      </c>
      <c r="C48" s="17"/>
      <c r="D48" s="28">
        <f>$D$4</f>
        <v>45961</v>
      </c>
      <c r="E48" s="2"/>
      <c r="F48" s="70" t="str">
        <f>F30</f>
        <v>Смарт / Октябрь | до </v>
      </c>
      <c r="G48" s="17"/>
      <c r="H48" s="28">
        <f>$D$4</f>
        <v>45961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5"/>
      <c r="Y48" s="22" t="s">
        <v>27</v>
      </c>
      <c r="Z48" s="23">
        <f t="shared" si="31"/>
        <v>70145511.49</v>
      </c>
      <c r="AA48" s="23">
        <f t="shared" si="36"/>
        <v>8345012</v>
      </c>
      <c r="AB48" s="63">
        <f t="shared" si="32"/>
        <v>0.1189671559</v>
      </c>
      <c r="AC48" s="24"/>
      <c r="AD48" s="63">
        <f t="shared" si="33"/>
        <v>0.115</v>
      </c>
      <c r="AE48" s="63">
        <f t="shared" si="34"/>
        <v>0.1189671559</v>
      </c>
      <c r="AF48" s="63">
        <f t="shared" si="35"/>
        <v>0.03449700768</v>
      </c>
      <c r="AG48" s="55"/>
      <c r="AH48" s="55"/>
      <c r="AI48" s="5"/>
    </row>
    <row r="49">
      <c r="A49" s="35">
        <f t="shared" ref="A49:A50" si="38">IFERROR(C49/$C$33, " ")</f>
        <v>0.8474263931</v>
      </c>
      <c r="B49" s="41" t="s">
        <v>59</v>
      </c>
      <c r="C49" s="31">
        <v>4241253.0</v>
      </c>
      <c r="D49" s="53"/>
      <c r="E49" s="2"/>
      <c r="F49" s="41" t="s">
        <v>59</v>
      </c>
      <c r="G49" s="31">
        <v>4534273.0</v>
      </c>
      <c r="H49" s="53"/>
      <c r="I49" s="35">
        <f t="shared" ref="I49:I50" si="39">IFERROR(G49/$G$33, " ")</f>
        <v>0.5075866993</v>
      </c>
      <c r="J49" s="2"/>
      <c r="K49" s="2" t="s">
        <v>79</v>
      </c>
      <c r="L49" s="99">
        <v>3.5E8</v>
      </c>
      <c r="M49" s="30">
        <f t="shared" ref="M49:V49" si="37">$L$49*M36</f>
        <v>48540085.1</v>
      </c>
      <c r="N49" s="30">
        <f t="shared" si="37"/>
        <v>79001825.45</v>
      </c>
      <c r="O49" s="30">
        <f t="shared" si="37"/>
        <v>78140609.74</v>
      </c>
      <c r="P49" s="30">
        <f t="shared" si="37"/>
        <v>134649639</v>
      </c>
      <c r="Q49" s="30">
        <f t="shared" si="37"/>
        <v>1711876.786</v>
      </c>
      <c r="R49" s="30">
        <f t="shared" si="37"/>
        <v>4878305.455</v>
      </c>
      <c r="S49" s="30">
        <f t="shared" si="37"/>
        <v>280254.1572</v>
      </c>
      <c r="T49" s="30">
        <f t="shared" si="37"/>
        <v>882697.9037</v>
      </c>
      <c r="U49" s="30">
        <f t="shared" si="37"/>
        <v>0</v>
      </c>
      <c r="V49" s="30">
        <f t="shared" si="37"/>
        <v>1914706.431</v>
      </c>
      <c r="W49" s="5"/>
      <c r="X49" s="21" t="s">
        <v>31</v>
      </c>
      <c r="Y49" s="22" t="s">
        <v>19</v>
      </c>
      <c r="Z49" s="23">
        <f t="shared" si="31"/>
        <v>1535419</v>
      </c>
      <c r="AA49" s="23">
        <f t="shared" si="36"/>
        <v>303504</v>
      </c>
      <c r="AB49" s="63">
        <f t="shared" si="32"/>
        <v>0.1976685191</v>
      </c>
      <c r="AC49" s="24"/>
      <c r="AD49" s="63">
        <f t="shared" si="33"/>
        <v>0.18</v>
      </c>
      <c r="AE49" s="63">
        <f t="shared" si="34"/>
        <v>0.1976685191</v>
      </c>
      <c r="AF49" s="63">
        <f t="shared" si="35"/>
        <v>0.0981584397</v>
      </c>
      <c r="AG49" s="55"/>
      <c r="AH49" s="55"/>
      <c r="AI49" s="5"/>
    </row>
    <row r="50">
      <c r="A50" s="35">
        <f t="shared" si="38"/>
        <v>0.1519715924</v>
      </c>
      <c r="B50" s="41" t="s">
        <v>77</v>
      </c>
      <c r="C50" s="30">
        <f>C32</f>
        <v>760597</v>
      </c>
      <c r="D50" s="40"/>
      <c r="E50" s="2"/>
      <c r="F50" s="41" t="s">
        <v>77</v>
      </c>
      <c r="G50" s="30">
        <f>G32</f>
        <v>248249</v>
      </c>
      <c r="H50" s="53"/>
      <c r="I50" s="35">
        <f t="shared" si="39"/>
        <v>0.02779009789</v>
      </c>
      <c r="J50" s="2"/>
      <c r="K50" s="2" t="s">
        <v>80</v>
      </c>
      <c r="L50" s="76">
        <f t="shared" ref="L50:V50" si="40">L49-L35</f>
        <v>21954018.7</v>
      </c>
      <c r="M50" s="30">
        <f t="shared" si="40"/>
        <v>3044714.103</v>
      </c>
      <c r="N50" s="30">
        <f t="shared" si="40"/>
        <v>4955450.152</v>
      </c>
      <c r="O50" s="30">
        <f t="shared" si="40"/>
        <v>4901429.735</v>
      </c>
      <c r="P50" s="30">
        <f t="shared" si="40"/>
        <v>8446001.977</v>
      </c>
      <c r="Q50" s="30">
        <f t="shared" si="40"/>
        <v>107378.7856</v>
      </c>
      <c r="R50" s="30">
        <f t="shared" si="40"/>
        <v>305995.4548</v>
      </c>
      <c r="S50" s="30">
        <f t="shared" si="40"/>
        <v>17579.15716</v>
      </c>
      <c r="T50" s="30">
        <f t="shared" si="40"/>
        <v>55367.90367</v>
      </c>
      <c r="U50" s="30">
        <f t="shared" si="40"/>
        <v>0</v>
      </c>
      <c r="V50" s="30">
        <f t="shared" si="40"/>
        <v>120101.4308</v>
      </c>
      <c r="W50" s="5"/>
      <c r="Y50" s="22" t="s">
        <v>27</v>
      </c>
      <c r="Z50" s="23">
        <f t="shared" si="31"/>
        <v>4473055</v>
      </c>
      <c r="AA50" s="23">
        <f t="shared" si="36"/>
        <v>843245</v>
      </c>
      <c r="AB50" s="63">
        <f t="shared" si="32"/>
        <v>0.1885165731</v>
      </c>
      <c r="AC50" s="24"/>
      <c r="AD50" s="63">
        <f t="shared" si="33"/>
        <v>0.175</v>
      </c>
      <c r="AE50" s="63">
        <f t="shared" si="34"/>
        <v>0.1885165731</v>
      </c>
      <c r="AF50" s="63">
        <f t="shared" si="35"/>
        <v>0.07723756071</v>
      </c>
      <c r="AG50" s="55"/>
      <c r="AH50" s="55"/>
      <c r="AI50" s="5"/>
    </row>
    <row r="51">
      <c r="A51" s="2"/>
      <c r="B51" s="41" t="s">
        <v>42</v>
      </c>
      <c r="C51" s="30">
        <f>SUM(C49:C50)</f>
        <v>5001850</v>
      </c>
      <c r="D51" s="40"/>
      <c r="E51" s="2"/>
      <c r="F51" s="41" t="s">
        <v>42</v>
      </c>
      <c r="G51" s="30">
        <f>SUM(G49:G50)</f>
        <v>4782522</v>
      </c>
      <c r="H51" s="40"/>
      <c r="I51" s="2"/>
      <c r="J51" s="2"/>
      <c r="K51" s="2" t="s">
        <v>81</v>
      </c>
      <c r="L51" s="76" t="str">
        <f>SUM(M51:V51)</f>
        <v>#DIV/0!</v>
      </c>
      <c r="M51" s="30" t="str">
        <f t="shared" ref="M51:V51" si="41">M50/($G$1-$C$1)</f>
        <v>#DIV/0!</v>
      </c>
      <c r="N51" s="30" t="str">
        <f t="shared" si="41"/>
        <v>#DIV/0!</v>
      </c>
      <c r="O51" s="30" t="str">
        <f t="shared" si="41"/>
        <v>#DIV/0!</v>
      </c>
      <c r="P51" s="30" t="str">
        <f t="shared" si="41"/>
        <v>#DIV/0!</v>
      </c>
      <c r="Q51" s="30" t="str">
        <f t="shared" si="41"/>
        <v>#DIV/0!</v>
      </c>
      <c r="R51" s="30" t="str">
        <f t="shared" si="41"/>
        <v>#DIV/0!</v>
      </c>
      <c r="S51" s="30" t="str">
        <f t="shared" si="41"/>
        <v>#DIV/0!</v>
      </c>
      <c r="T51" s="30" t="str">
        <f t="shared" si="41"/>
        <v>#DIV/0!</v>
      </c>
      <c r="U51" s="30" t="str">
        <f t="shared" si="41"/>
        <v>#DIV/0!</v>
      </c>
      <c r="V51" s="30" t="str">
        <f t="shared" si="41"/>
        <v>#DIV/0!</v>
      </c>
      <c r="W51" s="5"/>
      <c r="X51" s="44" t="s">
        <v>34</v>
      </c>
      <c r="Y51" s="22" t="s">
        <v>19</v>
      </c>
      <c r="Z51" s="23">
        <f t="shared" si="31"/>
        <v>231207</v>
      </c>
      <c r="AA51" s="23">
        <f t="shared" si="36"/>
        <v>0</v>
      </c>
      <c r="AB51" s="63">
        <f t="shared" si="32"/>
        <v>0</v>
      </c>
      <c r="AC51" s="46"/>
      <c r="AD51" s="63">
        <f t="shared" si="33"/>
        <v>0.15</v>
      </c>
      <c r="AE51" s="63">
        <f t="shared" si="34"/>
        <v>0</v>
      </c>
      <c r="AF51" s="63">
        <f t="shared" si="35"/>
        <v>-1</v>
      </c>
      <c r="AG51" s="46"/>
      <c r="AH51" s="46"/>
      <c r="AI51" s="5"/>
    </row>
    <row r="52">
      <c r="A52" s="2"/>
      <c r="B52" s="41" t="s">
        <v>43</v>
      </c>
      <c r="C52" s="2"/>
      <c r="D52" s="54">
        <f>O35</f>
        <v>73239180</v>
      </c>
      <c r="E52" s="2"/>
      <c r="F52" s="41" t="s">
        <v>43</v>
      </c>
      <c r="G52" s="2"/>
      <c r="H52" s="54">
        <f>P35</f>
        <v>126203637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5"/>
      <c r="Y52" s="22" t="s">
        <v>27</v>
      </c>
      <c r="Z52" s="23">
        <f t="shared" si="31"/>
        <v>748213</v>
      </c>
      <c r="AA52" s="23">
        <f t="shared" si="36"/>
        <v>0</v>
      </c>
      <c r="AB52" s="63">
        <f t="shared" si="32"/>
        <v>0</v>
      </c>
      <c r="AC52" s="46"/>
      <c r="AD52" s="63">
        <f t="shared" si="33"/>
        <v>0.15</v>
      </c>
      <c r="AE52" s="63">
        <f t="shared" si="34"/>
        <v>0</v>
      </c>
      <c r="AF52" s="63">
        <f t="shared" si="35"/>
        <v>-1</v>
      </c>
      <c r="AG52" s="46"/>
      <c r="AH52" s="46"/>
      <c r="AI52" s="5"/>
    </row>
    <row r="53">
      <c r="A53" s="2"/>
      <c r="B53" s="41" t="s">
        <v>44</v>
      </c>
      <c r="C53" s="2"/>
      <c r="D53" s="57">
        <f>C51/D52</f>
        <v>0.06829472968</v>
      </c>
      <c r="E53" s="2"/>
      <c r="F53" s="41" t="s">
        <v>44</v>
      </c>
      <c r="G53" s="2"/>
      <c r="H53" s="57">
        <f>G51/H52</f>
        <v>0.03789527872</v>
      </c>
      <c r="I53" s="2"/>
      <c r="J53" s="2"/>
      <c r="K53" s="2"/>
      <c r="L53" s="2"/>
      <c r="M53" s="2"/>
      <c r="N53" s="31">
        <v>1.2E8</v>
      </c>
      <c r="O53" s="100"/>
      <c r="P53" s="2"/>
      <c r="Q53" s="2"/>
      <c r="R53" s="2"/>
      <c r="S53" s="2"/>
      <c r="T53" s="2"/>
      <c r="U53" s="2"/>
      <c r="V53" s="2"/>
      <c r="W53" s="5"/>
      <c r="X53" s="44" t="s">
        <v>37</v>
      </c>
      <c r="Y53" s="22" t="s">
        <v>19</v>
      </c>
      <c r="Z53" s="23">
        <f t="shared" si="31"/>
        <v>0</v>
      </c>
      <c r="AA53" s="23">
        <f t="shared" si="36"/>
        <v>0</v>
      </c>
      <c r="AB53" s="63" t="str">
        <f t="shared" si="32"/>
        <v>#DIV/0!</v>
      </c>
      <c r="AC53" s="46"/>
      <c r="AD53" s="63">
        <f t="shared" si="33"/>
        <v>0</v>
      </c>
      <c r="AE53" s="63" t="str">
        <f t="shared" si="34"/>
        <v>#DIV/0!</v>
      </c>
      <c r="AF53" s="63" t="str">
        <f t="shared" si="35"/>
        <v>#DIV/0!</v>
      </c>
      <c r="AG53" s="46"/>
      <c r="AH53" s="46"/>
      <c r="AI53" s="5"/>
    </row>
    <row r="54">
      <c r="A54" s="35">
        <f>D53/C54</f>
        <v>0.9756389954</v>
      </c>
      <c r="B54" s="41" t="s">
        <v>47</v>
      </c>
      <c r="C54" s="59">
        <v>0.07</v>
      </c>
      <c r="D54" s="54">
        <f>D52*C54</f>
        <v>5126742.6</v>
      </c>
      <c r="E54" s="2"/>
      <c r="F54" s="41" t="s">
        <v>47</v>
      </c>
      <c r="G54" s="59">
        <v>0.07</v>
      </c>
      <c r="H54" s="57">
        <f>H52*G54</f>
        <v>8834254.59</v>
      </c>
      <c r="I54" s="35">
        <f>H53/G54</f>
        <v>0.5413611246</v>
      </c>
      <c r="J54" s="2"/>
      <c r="K54" s="2"/>
      <c r="L54" s="2"/>
      <c r="M54" s="4"/>
      <c r="N54" s="58">
        <f>N53-SUM(M35:N35)</f>
        <v>458253.7</v>
      </c>
      <c r="O54" s="2"/>
      <c r="P54" s="2"/>
      <c r="Q54" s="2"/>
      <c r="R54" s="2"/>
      <c r="S54" s="2"/>
      <c r="T54" s="2"/>
      <c r="U54" s="2"/>
      <c r="V54" s="2"/>
      <c r="W54" s="5"/>
      <c r="Y54" s="22" t="s">
        <v>27</v>
      </c>
      <c r="Z54" s="23">
        <f t="shared" si="31"/>
        <v>1708169</v>
      </c>
      <c r="AA54" s="23">
        <f t="shared" si="36"/>
        <v>0</v>
      </c>
      <c r="AB54" s="63">
        <f t="shared" si="32"/>
        <v>0</v>
      </c>
      <c r="AC54" s="46"/>
      <c r="AD54" s="63">
        <f t="shared" si="33"/>
        <v>0</v>
      </c>
      <c r="AE54" s="63">
        <f t="shared" si="34"/>
        <v>0</v>
      </c>
      <c r="AF54" s="63" t="str">
        <f t="shared" si="35"/>
        <v>#DIV/0!</v>
      </c>
      <c r="AG54" s="46"/>
      <c r="AH54" s="46"/>
      <c r="AI54" s="5"/>
    </row>
    <row r="55">
      <c r="A55" s="2"/>
      <c r="B55" s="77" t="s">
        <v>50</v>
      </c>
      <c r="C55" s="61"/>
      <c r="D55" s="62">
        <f>C51-D54</f>
        <v>-124892.6</v>
      </c>
      <c r="E55" s="2"/>
      <c r="F55" s="77" t="s">
        <v>50</v>
      </c>
      <c r="G55" s="61"/>
      <c r="H55" s="62">
        <f>G51-H54</f>
        <v>-4051732.59</v>
      </c>
      <c r="I55" s="2"/>
      <c r="J55" s="2"/>
      <c r="K55" s="2"/>
      <c r="L55" s="2"/>
      <c r="M55" s="56">
        <f>M35/SUM(M35:N35)</f>
        <v>0.3805814488</v>
      </c>
      <c r="N55" s="56">
        <f>N35/SUM(M35:N35)</f>
        <v>0.6194185512</v>
      </c>
      <c r="O55" s="2"/>
      <c r="P55" s="2"/>
      <c r="Q55" s="2"/>
      <c r="R55" s="2"/>
      <c r="S55" s="2"/>
      <c r="T55" s="2"/>
      <c r="U55" s="2"/>
      <c r="V55" s="2"/>
      <c r="W55" s="5"/>
      <c r="X55" s="5"/>
      <c r="Y55" s="5"/>
      <c r="Z55" s="52">
        <f t="shared" ref="Z55:AA55" si="42">SUM(Z45:Z54)</f>
        <v>319316815.7</v>
      </c>
      <c r="AA55" s="52">
        <f t="shared" si="42"/>
        <v>31750304</v>
      </c>
      <c r="AB55" s="69">
        <f t="shared" si="32"/>
        <v>0.0994319824</v>
      </c>
      <c r="AC55" s="5"/>
      <c r="AD55" s="69">
        <f t="shared" si="33"/>
        <v>0.1013186409</v>
      </c>
      <c r="AE55" s="69">
        <f t="shared" si="34"/>
        <v>0.0994319824</v>
      </c>
      <c r="AF55" s="69">
        <f t="shared" si="35"/>
        <v>-0.01862104057</v>
      </c>
      <c r="AG55" s="55"/>
      <c r="AH55" s="24"/>
      <c r="AI55" s="5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58">
        <f>N54*M55</f>
        <v>174402.8571</v>
      </c>
      <c r="N56" s="58">
        <f>N54*N55</f>
        <v>283850.8429</v>
      </c>
      <c r="O56" s="2"/>
      <c r="P56" s="2"/>
      <c r="Q56" s="2"/>
      <c r="R56" s="2"/>
      <c r="S56" s="2"/>
      <c r="T56" s="2"/>
      <c r="U56" s="2"/>
      <c r="V56" s="2"/>
      <c r="W56" s="5"/>
      <c r="X56" s="55"/>
      <c r="Y56" s="55"/>
      <c r="Z56" s="55"/>
      <c r="AA56" s="55"/>
      <c r="AB56" s="55"/>
      <c r="AC56" s="55"/>
      <c r="AD56" s="55"/>
      <c r="AE56" s="55"/>
      <c r="AF56" s="55"/>
      <c r="AG56" s="5"/>
      <c r="AH56" s="5"/>
      <c r="AI56" s="5"/>
    </row>
    <row r="57">
      <c r="A57" s="2"/>
      <c r="B57" s="58" t="s">
        <v>51</v>
      </c>
      <c r="C57" s="58"/>
      <c r="D57" s="64">
        <f>O42</f>
        <v>35109564</v>
      </c>
      <c r="E57" s="2"/>
      <c r="F57" s="58" t="s">
        <v>51</v>
      </c>
      <c r="G57" s="58"/>
      <c r="H57" s="64">
        <f>P42</f>
        <v>109216574</v>
      </c>
      <c r="I57" s="2"/>
      <c r="J57" s="2"/>
      <c r="K57" s="2"/>
      <c r="L57" s="2" t="str">
        <f>SUM(M57:N57)</f>
        <v>#DIV/0!</v>
      </c>
      <c r="M57" s="2" t="str">
        <f>M56/(G1-C1)</f>
        <v>#DIV/0!</v>
      </c>
      <c r="N57" s="2" t="str">
        <f>N56/(G1-C1)</f>
        <v>#DIV/0!</v>
      </c>
      <c r="O57" s="2"/>
      <c r="P57" s="2"/>
      <c r="Q57" s="2"/>
      <c r="R57" s="2"/>
      <c r="S57" s="2"/>
      <c r="T57" s="2"/>
      <c r="U57" s="2"/>
      <c r="V57" s="2"/>
      <c r="W57" s="5"/>
      <c r="X57" s="5"/>
      <c r="Y57" s="5"/>
      <c r="Z57" s="14" t="s">
        <v>12</v>
      </c>
      <c r="AA57" s="14" t="s">
        <v>17</v>
      </c>
      <c r="AB57" s="101" t="s">
        <v>48</v>
      </c>
      <c r="AC57" s="5"/>
      <c r="AD57" s="14" t="s">
        <v>63</v>
      </c>
      <c r="AE57" s="14" t="s">
        <v>64</v>
      </c>
      <c r="AF57" s="101" t="s">
        <v>48</v>
      </c>
      <c r="AG57" s="5"/>
      <c r="AH57" s="5"/>
      <c r="AI57" s="5"/>
    </row>
    <row r="58">
      <c r="A58" s="2"/>
      <c r="B58" s="2" t="s">
        <v>52</v>
      </c>
      <c r="C58" s="2"/>
      <c r="D58" s="30">
        <f>D52/$C$1</f>
        <v>2362554.194</v>
      </c>
      <c r="E58" s="2"/>
      <c r="F58" s="2" t="s">
        <v>52</v>
      </c>
      <c r="G58" s="2"/>
      <c r="H58" s="30">
        <f>H52/$C$1</f>
        <v>4071085.065</v>
      </c>
      <c r="I58" s="2"/>
      <c r="J58" s="2"/>
      <c r="K58" s="2"/>
      <c r="L58" s="2"/>
      <c r="M58" s="56"/>
      <c r="N58" s="56"/>
      <c r="O58" s="2"/>
      <c r="P58" s="2"/>
      <c r="Q58" s="2"/>
      <c r="R58" s="2"/>
      <c r="S58" s="2"/>
      <c r="T58" s="2"/>
      <c r="U58" s="2"/>
      <c r="V58" s="2"/>
      <c r="W58" s="5"/>
      <c r="X58" s="21" t="s">
        <v>24</v>
      </c>
      <c r="Y58" s="22" t="s">
        <v>19</v>
      </c>
      <c r="Z58" s="23">
        <f t="shared" ref="Z58:Z68" si="44">AB3</f>
        <v>35109564</v>
      </c>
      <c r="AA58" s="23">
        <f t="shared" ref="AA58:AA68" si="45">AH3</f>
        <v>72685329</v>
      </c>
      <c r="AB58" s="63">
        <f t="shared" ref="AB58:AB68" si="46">IFERROR(AA58/Z58, " ")</f>
        <v>2.070242997</v>
      </c>
      <c r="AC58" s="5"/>
      <c r="AD58" s="63">
        <f t="shared" ref="AD58:AE58" si="43">AD45</f>
        <v>0.07</v>
      </c>
      <c r="AE58" s="63">
        <f t="shared" si="43"/>
        <v>0.06885657765</v>
      </c>
      <c r="AF58" s="63">
        <f t="shared" ref="AF58:AF68" si="48">AE58/AD58-1</f>
        <v>-0.01633460506</v>
      </c>
      <c r="AG58" s="5"/>
      <c r="AH58" s="5"/>
      <c r="AI58" s="5"/>
    </row>
    <row r="59">
      <c r="A59" s="2"/>
      <c r="B59" s="2" t="s">
        <v>53</v>
      </c>
      <c r="C59" s="2"/>
      <c r="D59" s="30">
        <f>D57/$G$1*$C$1</f>
        <v>35109564</v>
      </c>
      <c r="E59" s="2"/>
      <c r="F59" s="2" t="s">
        <v>53</v>
      </c>
      <c r="G59" s="2"/>
      <c r="H59" s="30">
        <f>H57/$G$1*$C$1</f>
        <v>109216574</v>
      </c>
      <c r="I59" s="2"/>
      <c r="J59" s="2"/>
      <c r="K59" s="2"/>
      <c r="L59" s="2"/>
      <c r="M59" s="4"/>
      <c r="N59" s="4"/>
      <c r="O59" s="4"/>
      <c r="P59" s="4"/>
      <c r="Q59" s="4"/>
      <c r="R59" s="4"/>
      <c r="S59" s="4"/>
      <c r="T59" s="4"/>
      <c r="U59" s="4"/>
      <c r="V59" s="4"/>
      <c r="W59" s="5"/>
      <c r="Y59" s="22" t="s">
        <v>27</v>
      </c>
      <c r="Z59" s="23">
        <f t="shared" si="44"/>
        <v>109216574</v>
      </c>
      <c r="AA59" s="23">
        <f t="shared" si="45"/>
        <v>125083651</v>
      </c>
      <c r="AB59" s="63">
        <f t="shared" si="46"/>
        <v>1.145280853</v>
      </c>
      <c r="AC59" s="55"/>
      <c r="AD59" s="63">
        <f t="shared" ref="AD59:AE59" si="47">AD46</f>
        <v>0.07</v>
      </c>
      <c r="AE59" s="63">
        <f t="shared" si="47"/>
        <v>0.07141622369</v>
      </c>
      <c r="AF59" s="63">
        <f t="shared" si="48"/>
        <v>0.02023176703</v>
      </c>
      <c r="AG59" s="5"/>
      <c r="AH59" s="5"/>
      <c r="AI59" s="5"/>
    </row>
    <row r="60">
      <c r="A60" s="2"/>
      <c r="B60" s="2" t="s">
        <v>54</v>
      </c>
      <c r="C60" s="2"/>
      <c r="D60" s="30" t="str">
        <f>(D57-D52)/($G$1-$C$1)</f>
        <v>#DIV/0!</v>
      </c>
      <c r="E60" s="2"/>
      <c r="F60" s="2" t="s">
        <v>54</v>
      </c>
      <c r="G60" s="2"/>
      <c r="H60" s="30" t="str">
        <f>(H57-H52)/($G$1-$C$1)</f>
        <v>#DIV/0!</v>
      </c>
      <c r="I60" s="2"/>
      <c r="J60" s="2"/>
      <c r="K60" s="2"/>
      <c r="L60" s="2"/>
      <c r="M60" s="2"/>
      <c r="N60" s="114"/>
      <c r="O60" s="2"/>
      <c r="P60" s="2"/>
      <c r="Q60" s="2"/>
      <c r="R60" s="2"/>
      <c r="S60" s="2"/>
      <c r="T60" s="2"/>
      <c r="U60" s="2"/>
      <c r="V60" s="2"/>
      <c r="W60" s="5"/>
      <c r="X60" s="21" t="s">
        <v>18</v>
      </c>
      <c r="Y60" s="22" t="s">
        <v>19</v>
      </c>
      <c r="Z60" s="23">
        <f t="shared" si="44"/>
        <v>26956516</v>
      </c>
      <c r="AA60" s="23">
        <f t="shared" si="45"/>
        <v>42706261.24</v>
      </c>
      <c r="AB60" s="63">
        <f t="shared" si="46"/>
        <v>1.584264867</v>
      </c>
      <c r="AC60" s="55"/>
      <c r="AD60" s="63">
        <f t="shared" ref="AD60:AE60" si="49">AD47</f>
        <v>0.205</v>
      </c>
      <c r="AE60" s="63">
        <f t="shared" si="49"/>
        <v>0.1948350841</v>
      </c>
      <c r="AF60" s="63">
        <f t="shared" si="48"/>
        <v>-0.04958495555</v>
      </c>
      <c r="AG60" s="5"/>
      <c r="AH60" s="5"/>
      <c r="AI60" s="46"/>
    </row>
    <row r="61">
      <c r="A61" s="2"/>
      <c r="B61" s="2" t="s">
        <v>55</v>
      </c>
      <c r="C61" s="2"/>
      <c r="D61" s="30">
        <f>D52-D59</f>
        <v>38129616</v>
      </c>
      <c r="E61" s="2"/>
      <c r="F61" s="2" t="s">
        <v>55</v>
      </c>
      <c r="G61" s="2"/>
      <c r="H61" s="30">
        <f>H52-H59</f>
        <v>16987063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5"/>
      <c r="Y61" s="22" t="s">
        <v>27</v>
      </c>
      <c r="Z61" s="23">
        <f t="shared" si="44"/>
        <v>54265632</v>
      </c>
      <c r="AA61" s="23">
        <f t="shared" si="45"/>
        <v>70145511.49</v>
      </c>
      <c r="AB61" s="63">
        <f t="shared" si="46"/>
        <v>1.292632351</v>
      </c>
      <c r="AC61" s="55"/>
      <c r="AD61" s="63">
        <f t="shared" ref="AD61:AE61" si="50">AD48</f>
        <v>0.115</v>
      </c>
      <c r="AE61" s="63">
        <f t="shared" si="50"/>
        <v>0.1189671559</v>
      </c>
      <c r="AF61" s="63">
        <f t="shared" si="48"/>
        <v>0.03449700768</v>
      </c>
      <c r="AG61" s="5"/>
      <c r="AH61" s="5"/>
      <c r="AI61" s="46"/>
    </row>
    <row r="62">
      <c r="A62" s="2"/>
      <c r="B62" s="2" t="s">
        <v>56</v>
      </c>
      <c r="C62" s="2"/>
      <c r="D62" s="30">
        <f>D52/$C$1*$G$1</f>
        <v>73239180</v>
      </c>
      <c r="E62" s="2"/>
      <c r="F62" s="2" t="s">
        <v>56</v>
      </c>
      <c r="G62" s="2"/>
      <c r="H62" s="30">
        <f>H52/$C$1*$G$1</f>
        <v>126203637</v>
      </c>
      <c r="I62" s="2"/>
      <c r="J62" s="2"/>
      <c r="K62" s="2"/>
      <c r="L62" s="2"/>
      <c r="M62" s="4" t="s">
        <v>138</v>
      </c>
      <c r="N62" s="136">
        <v>30.0</v>
      </c>
      <c r="O62" s="2"/>
      <c r="P62" s="2"/>
      <c r="Q62" s="2"/>
      <c r="R62" s="2"/>
      <c r="S62" s="2"/>
      <c r="T62" s="2"/>
      <c r="U62" s="2"/>
      <c r="V62" s="2"/>
      <c r="W62" s="5"/>
      <c r="X62" s="21" t="s">
        <v>31</v>
      </c>
      <c r="Y62" s="22" t="s">
        <v>19</v>
      </c>
      <c r="Z62" s="23">
        <f t="shared" si="44"/>
        <v>811287</v>
      </c>
      <c r="AA62" s="23">
        <f t="shared" si="45"/>
        <v>1535419</v>
      </c>
      <c r="AB62" s="63">
        <f t="shared" si="46"/>
        <v>1.892571926</v>
      </c>
      <c r="AC62" s="55"/>
      <c r="AD62" s="63">
        <f t="shared" ref="AD62:AE62" si="51">AD49</f>
        <v>0.18</v>
      </c>
      <c r="AE62" s="63">
        <f t="shared" si="51"/>
        <v>0.1976685191</v>
      </c>
      <c r="AF62" s="63">
        <f t="shared" si="48"/>
        <v>0.0981584397</v>
      </c>
      <c r="AG62" s="5"/>
      <c r="AH62" s="5"/>
      <c r="AI62" s="46"/>
    </row>
    <row r="63">
      <c r="A63" s="2"/>
      <c r="B63" s="66" t="s">
        <v>57</v>
      </c>
      <c r="C63" s="66"/>
      <c r="D63" s="67">
        <f>D62/D57</f>
        <v>2.086017929</v>
      </c>
      <c r="E63" s="2"/>
      <c r="F63" s="66" t="s">
        <v>57</v>
      </c>
      <c r="G63" s="66"/>
      <c r="H63" s="67">
        <f>H62/H57</f>
        <v>1.155535578</v>
      </c>
      <c r="I63" s="2"/>
      <c r="J63" s="2"/>
      <c r="K63" s="2"/>
      <c r="L63" s="2"/>
      <c r="M63" s="4" t="s">
        <v>139</v>
      </c>
      <c r="N63" s="137">
        <v>2.1E8</v>
      </c>
      <c r="O63" s="2"/>
      <c r="P63" s="2"/>
      <c r="Q63" s="2"/>
      <c r="R63" s="2"/>
      <c r="S63" s="2"/>
      <c r="T63" s="2"/>
      <c r="U63" s="2"/>
      <c r="V63" s="2"/>
      <c r="W63" s="5"/>
      <c r="Y63" s="22" t="s">
        <v>27</v>
      </c>
      <c r="Z63" s="23">
        <f t="shared" si="44"/>
        <v>3339067</v>
      </c>
      <c r="AA63" s="23">
        <f t="shared" si="45"/>
        <v>4473055</v>
      </c>
      <c r="AB63" s="63">
        <f t="shared" si="46"/>
        <v>1.339612233</v>
      </c>
      <c r="AC63" s="55"/>
      <c r="AD63" s="63">
        <f t="shared" ref="AD63:AE63" si="52">AD50</f>
        <v>0.175</v>
      </c>
      <c r="AE63" s="63">
        <f t="shared" si="52"/>
        <v>0.1885165731</v>
      </c>
      <c r="AF63" s="63">
        <f t="shared" si="48"/>
        <v>0.07723756071</v>
      </c>
      <c r="AG63" s="5"/>
      <c r="AH63" s="5"/>
      <c r="AI63" s="46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56">
        <f t="shared" ref="M64:N64" si="53">M55</f>
        <v>0.3805814488</v>
      </c>
      <c r="N64" s="56">
        <f t="shared" si="53"/>
        <v>0.6194185512</v>
      </c>
      <c r="O64" s="2"/>
      <c r="P64" s="2"/>
      <c r="Q64" s="2"/>
      <c r="R64" s="2"/>
      <c r="S64" s="2"/>
      <c r="T64" s="2"/>
      <c r="U64" s="2"/>
      <c r="V64" s="2"/>
      <c r="W64" s="5"/>
      <c r="X64" s="44" t="s">
        <v>34</v>
      </c>
      <c r="Y64" s="22" t="s">
        <v>19</v>
      </c>
      <c r="Z64" s="23">
        <f t="shared" si="44"/>
        <v>101466</v>
      </c>
      <c r="AA64" s="23">
        <f t="shared" si="45"/>
        <v>231207</v>
      </c>
      <c r="AB64" s="63">
        <f t="shared" si="46"/>
        <v>2.278664774</v>
      </c>
      <c r="AC64" s="46"/>
      <c r="AD64" s="63">
        <f t="shared" ref="AD64:AE64" si="54">AD51</f>
        <v>0.15</v>
      </c>
      <c r="AE64" s="63">
        <f t="shared" si="54"/>
        <v>0</v>
      </c>
      <c r="AF64" s="63">
        <f t="shared" si="48"/>
        <v>-1</v>
      </c>
      <c r="AG64" s="46"/>
      <c r="AH64" s="46"/>
      <c r="AI64" s="46"/>
    </row>
    <row r="65">
      <c r="A65" s="2"/>
      <c r="B65" s="102" t="s">
        <v>31</v>
      </c>
      <c r="C65" s="17"/>
      <c r="D65" s="17"/>
      <c r="E65" s="17"/>
      <c r="F65" s="17"/>
      <c r="G65" s="17"/>
      <c r="H65" s="18"/>
      <c r="I65" s="2"/>
      <c r="J65" s="2"/>
      <c r="K65" s="56"/>
      <c r="L65" s="2"/>
      <c r="M65" s="138">
        <f t="shared" ref="M65:N65" si="55">$N$63*M64</f>
        <v>79922104.25</v>
      </c>
      <c r="N65" s="138">
        <f t="shared" si="55"/>
        <v>130077895.8</v>
      </c>
      <c r="O65" s="2"/>
      <c r="P65" s="2"/>
      <c r="Q65" s="2"/>
      <c r="R65" s="2"/>
      <c r="S65" s="2"/>
      <c r="T65" s="2"/>
      <c r="U65" s="2"/>
      <c r="V65" s="2"/>
      <c r="W65" s="5"/>
      <c r="Y65" s="22" t="s">
        <v>27</v>
      </c>
      <c r="Z65" s="23">
        <f t="shared" si="44"/>
        <v>364665</v>
      </c>
      <c r="AA65" s="23">
        <f t="shared" si="45"/>
        <v>748213</v>
      </c>
      <c r="AB65" s="63">
        <f t="shared" si="46"/>
        <v>2.051781772</v>
      </c>
      <c r="AC65" s="46"/>
      <c r="AD65" s="63">
        <f t="shared" ref="AD65:AE65" si="56">AD52</f>
        <v>0.15</v>
      </c>
      <c r="AE65" s="63">
        <f t="shared" si="56"/>
        <v>0</v>
      </c>
      <c r="AF65" s="63">
        <f t="shared" si="48"/>
        <v>-1</v>
      </c>
      <c r="AG65" s="46"/>
      <c r="AH65" s="46"/>
      <c r="AI65" s="46"/>
    </row>
    <row r="66">
      <c r="A66" s="2"/>
      <c r="B66" s="70" t="str">
        <f>B30</f>
        <v>Биг–Л / Октябрь | до </v>
      </c>
      <c r="C66" s="17"/>
      <c r="D66" s="28">
        <f>$D$4</f>
        <v>45961</v>
      </c>
      <c r="E66" s="2"/>
      <c r="F66" s="70" t="str">
        <f>F30</f>
        <v>Смарт / Октябрь | до </v>
      </c>
      <c r="G66" s="17"/>
      <c r="H66" s="28">
        <f>$D$4</f>
        <v>45961</v>
      </c>
      <c r="I66" s="2"/>
      <c r="J66" s="2"/>
      <c r="K66" s="56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5"/>
      <c r="X66" s="44" t="s">
        <v>37</v>
      </c>
      <c r="Y66" s="22" t="s">
        <v>19</v>
      </c>
      <c r="Z66" s="23">
        <f t="shared" si="44"/>
        <v>0</v>
      </c>
      <c r="AA66" s="23">
        <f t="shared" si="45"/>
        <v>0</v>
      </c>
      <c r="AB66" s="63" t="str">
        <f t="shared" si="46"/>
        <v> </v>
      </c>
      <c r="AC66" s="46"/>
      <c r="AD66" s="63">
        <f t="shared" ref="AD66:AE66" si="57">AD53</f>
        <v>0</v>
      </c>
      <c r="AE66" s="63" t="str">
        <f t="shared" si="57"/>
        <v>#DIV/0!</v>
      </c>
      <c r="AF66" s="63" t="str">
        <f t="shared" si="48"/>
        <v>#DIV/0!</v>
      </c>
      <c r="AG66" s="46"/>
      <c r="AH66" s="46"/>
      <c r="AI66" s="46"/>
    </row>
    <row r="67">
      <c r="A67" s="35">
        <f t="shared" ref="A67:A71" si="60">IFERROR(C67/$C$72, " ")</f>
        <v>0.9356845379</v>
      </c>
      <c r="B67" s="41" t="s">
        <v>82</v>
      </c>
      <c r="C67" s="31">
        <v>283984.0</v>
      </c>
      <c r="D67" s="53"/>
      <c r="E67" s="2"/>
      <c r="F67" s="41" t="s">
        <v>82</v>
      </c>
      <c r="G67" s="31">
        <v>821998.0</v>
      </c>
      <c r="H67" s="53"/>
      <c r="I67" s="35">
        <f t="shared" ref="I67:I71" si="61">IFERROR(G67/$G$72, " ")</f>
        <v>0.9748032897</v>
      </c>
      <c r="J67" s="2"/>
      <c r="K67" s="56"/>
      <c r="L67" s="138">
        <f>SUM(M67:N67)</f>
        <v>7000000</v>
      </c>
      <c r="M67" s="138">
        <f t="shared" ref="M67:N67" si="58">M65/$N$62</f>
        <v>2664070.142</v>
      </c>
      <c r="N67" s="138">
        <f t="shared" si="58"/>
        <v>4335929.858</v>
      </c>
      <c r="O67" s="2"/>
      <c r="P67" s="2"/>
      <c r="Q67" s="2"/>
      <c r="R67" s="2"/>
      <c r="S67" s="2"/>
      <c r="T67" s="2"/>
      <c r="U67" s="2"/>
      <c r="V67" s="2"/>
      <c r="W67" s="5"/>
      <c r="Y67" s="22" t="s">
        <v>27</v>
      </c>
      <c r="Z67" s="23">
        <f t="shared" si="44"/>
        <v>996378</v>
      </c>
      <c r="AA67" s="23">
        <f t="shared" si="45"/>
        <v>1708169</v>
      </c>
      <c r="AB67" s="63">
        <f t="shared" si="46"/>
        <v>1.714378479</v>
      </c>
      <c r="AC67" s="46"/>
      <c r="AD67" s="63">
        <f t="shared" ref="AD67:AE67" si="59">AD54</f>
        <v>0</v>
      </c>
      <c r="AE67" s="63">
        <f t="shared" si="59"/>
        <v>0</v>
      </c>
      <c r="AF67" s="63" t="str">
        <f t="shared" si="48"/>
        <v>#DIV/0!</v>
      </c>
      <c r="AG67" s="46"/>
      <c r="AH67" s="46"/>
      <c r="AI67" s="46"/>
    </row>
    <row r="68">
      <c r="A68" s="35">
        <f t="shared" si="60"/>
        <v>0.06431546207</v>
      </c>
      <c r="B68" s="41" t="s">
        <v>83</v>
      </c>
      <c r="C68" s="32">
        <v>19520.0</v>
      </c>
      <c r="D68" s="74"/>
      <c r="E68" s="2"/>
      <c r="F68" s="41" t="s">
        <v>83</v>
      </c>
      <c r="G68" s="32">
        <v>21247.0</v>
      </c>
      <c r="H68" s="40"/>
      <c r="I68" s="35">
        <f t="shared" si="61"/>
        <v>0.02519671033</v>
      </c>
      <c r="J68" s="2"/>
      <c r="K68" s="56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5"/>
      <c r="X68" s="55"/>
      <c r="Y68" s="55"/>
      <c r="Z68" s="103">
        <f t="shared" si="44"/>
        <v>231161149</v>
      </c>
      <c r="AA68" s="103">
        <f t="shared" si="45"/>
        <v>319316815.7</v>
      </c>
      <c r="AB68" s="104">
        <f t="shared" si="46"/>
        <v>1.38136022</v>
      </c>
      <c r="AC68" s="55"/>
      <c r="AD68" s="69">
        <f t="shared" ref="AD68:AE68" si="62">AD55</f>
        <v>0.1013186409</v>
      </c>
      <c r="AE68" s="69">
        <f t="shared" si="62"/>
        <v>0.0994319824</v>
      </c>
      <c r="AF68" s="69">
        <f t="shared" si="48"/>
        <v>-0.01862104057</v>
      </c>
      <c r="AG68" s="5"/>
      <c r="AH68" s="5"/>
      <c r="AI68" s="46"/>
    </row>
    <row r="69">
      <c r="A69" s="35">
        <f t="shared" si="60"/>
        <v>0</v>
      </c>
      <c r="B69" s="41" t="s">
        <v>84</v>
      </c>
      <c r="C69" s="32"/>
      <c r="D69" s="53"/>
      <c r="E69" s="2"/>
      <c r="F69" s="41" t="s">
        <v>84</v>
      </c>
      <c r="G69" s="32"/>
      <c r="H69" s="53"/>
      <c r="I69" s="35">
        <f t="shared" si="61"/>
        <v>0</v>
      </c>
      <c r="J69" s="2"/>
      <c r="K69" s="56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</row>
    <row r="70">
      <c r="A70" s="35">
        <f t="shared" si="60"/>
        <v>0</v>
      </c>
      <c r="B70" s="41" t="s">
        <v>85</v>
      </c>
      <c r="C70" s="30"/>
      <c r="D70" s="53"/>
      <c r="E70" s="2"/>
      <c r="F70" s="41" t="s">
        <v>85</v>
      </c>
      <c r="G70" s="30"/>
      <c r="H70" s="53"/>
      <c r="I70" s="35">
        <f t="shared" si="61"/>
        <v>0</v>
      </c>
      <c r="J70" s="2"/>
      <c r="K70" s="56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5"/>
      <c r="X70" s="5"/>
      <c r="Y70" s="5"/>
      <c r="Z70" s="105" t="s">
        <v>86</v>
      </c>
      <c r="AA70" s="105" t="s">
        <v>87</v>
      </c>
      <c r="AB70" s="51"/>
      <c r="AC70" s="51"/>
      <c r="AD70" s="51"/>
      <c r="AE70" s="51"/>
      <c r="AF70" s="51" t="str">
        <f t="shared" ref="AF70:AG70" si="63">Z70</f>
        <v>Сентябрь</v>
      </c>
      <c r="AG70" s="51" t="str">
        <f t="shared" si="63"/>
        <v>Октябрь</v>
      </c>
      <c r="AH70" s="5"/>
      <c r="AI70" s="5"/>
    </row>
    <row r="71">
      <c r="A71" s="35">
        <f t="shared" si="60"/>
        <v>0</v>
      </c>
      <c r="B71" s="41" t="s">
        <v>88</v>
      </c>
      <c r="C71" s="58"/>
      <c r="D71" s="53"/>
      <c r="E71" s="2"/>
      <c r="F71" s="41" t="s">
        <v>88</v>
      </c>
      <c r="G71" s="58"/>
      <c r="H71" s="53"/>
      <c r="I71" s="35">
        <f t="shared" si="61"/>
        <v>0</v>
      </c>
      <c r="J71" s="2"/>
      <c r="K71" s="56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5"/>
      <c r="X71" s="5"/>
      <c r="Y71" s="5"/>
      <c r="Z71" s="14" t="s">
        <v>17</v>
      </c>
      <c r="AA71" s="14" t="s">
        <v>17</v>
      </c>
      <c r="AB71" s="14" t="s">
        <v>48</v>
      </c>
      <c r="AC71" s="5"/>
      <c r="AD71" s="72" t="s">
        <v>71</v>
      </c>
      <c r="AF71" s="14" t="s">
        <v>64</v>
      </c>
      <c r="AG71" s="14" t="s">
        <v>64</v>
      </c>
      <c r="AH71" s="14" t="s">
        <v>48</v>
      </c>
      <c r="AI71" s="5"/>
    </row>
    <row r="72">
      <c r="A72" s="2"/>
      <c r="B72" s="41" t="s">
        <v>42</v>
      </c>
      <c r="C72" s="30">
        <f>SUM(C67:C71)</f>
        <v>303504</v>
      </c>
      <c r="D72" s="53"/>
      <c r="E72" s="2"/>
      <c r="F72" s="41" t="s">
        <v>42</v>
      </c>
      <c r="G72" s="30">
        <f>SUM(G67:G71)</f>
        <v>843245</v>
      </c>
      <c r="H72" s="53"/>
      <c r="I72" s="2"/>
      <c r="J72" s="2"/>
      <c r="K72" s="56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5"/>
      <c r="X72" s="21" t="s">
        <v>24</v>
      </c>
      <c r="Y72" s="22" t="s">
        <v>19</v>
      </c>
      <c r="Z72" s="23">
        <f>'Сентябрь 25'!AA72</f>
        <v>34886232</v>
      </c>
      <c r="AA72" s="23">
        <f t="shared" ref="AA72:AA81" si="64">AA58</f>
        <v>72685329</v>
      </c>
      <c r="AB72" s="63">
        <f t="shared" ref="AB72:AB82" si="65">AA72/Z72-1</f>
        <v>1.08349612</v>
      </c>
      <c r="AC72" s="5"/>
      <c r="AD72" s="21" t="s">
        <v>24</v>
      </c>
      <c r="AE72" s="22" t="s">
        <v>19</v>
      </c>
      <c r="AF72" s="63">
        <f>'Сентябрь 25'!AG72</f>
        <v>0.06874047045</v>
      </c>
      <c r="AG72" s="63">
        <f t="shared" ref="AG72:AG81" si="66">AE45</f>
        <v>0.06885657765</v>
      </c>
      <c r="AH72" s="63">
        <f t="shared" ref="AH72:AH82" si="67">AG72/AF72-1</f>
        <v>0.001689066025</v>
      </c>
      <c r="AI72" s="5"/>
    </row>
    <row r="73">
      <c r="A73" s="2"/>
      <c r="B73" s="41" t="s">
        <v>43</v>
      </c>
      <c r="C73" s="58"/>
      <c r="D73" s="54">
        <f>Q35</f>
        <v>1604498</v>
      </c>
      <c r="E73" s="2"/>
      <c r="F73" s="41" t="s">
        <v>43</v>
      </c>
      <c r="G73" s="58"/>
      <c r="H73" s="54">
        <f>R35</f>
        <v>4572310</v>
      </c>
      <c r="I73" s="2"/>
      <c r="J73" s="2"/>
      <c r="K73" s="56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5"/>
      <c r="Y73" s="22" t="s">
        <v>27</v>
      </c>
      <c r="Z73" s="23">
        <f>'Сентябрь 25'!AA73</f>
        <v>108267871</v>
      </c>
      <c r="AA73" s="23">
        <f t="shared" si="64"/>
        <v>125083651</v>
      </c>
      <c r="AB73" s="63">
        <f t="shared" si="65"/>
        <v>0.1553164373</v>
      </c>
      <c r="AC73" s="5"/>
      <c r="AE73" s="22" t="s">
        <v>27</v>
      </c>
      <c r="AF73" s="63">
        <f>'Сентябрь 25'!AG73</f>
        <v>0.06166203268</v>
      </c>
      <c r="AG73" s="63">
        <f t="shared" si="66"/>
        <v>0.07141622369</v>
      </c>
      <c r="AH73" s="63">
        <f t="shared" si="67"/>
        <v>0.1581879576</v>
      </c>
      <c r="AI73" s="5"/>
    </row>
    <row r="74">
      <c r="A74" s="2"/>
      <c r="B74" s="41" t="s">
        <v>44</v>
      </c>
      <c r="C74" s="2"/>
      <c r="D74" s="57">
        <f>C72/D73</f>
        <v>0.1891582289</v>
      </c>
      <c r="E74" s="2"/>
      <c r="F74" s="41" t="s">
        <v>44</v>
      </c>
      <c r="G74" s="2"/>
      <c r="H74" s="57">
        <f>G72/H73</f>
        <v>0.1844242844</v>
      </c>
      <c r="I74" s="2"/>
      <c r="J74" s="2"/>
      <c r="K74" s="56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5"/>
      <c r="X74" s="21" t="s">
        <v>18</v>
      </c>
      <c r="Y74" s="22" t="s">
        <v>19</v>
      </c>
      <c r="Z74" s="23">
        <f>'Сентябрь 25'!AA74</f>
        <v>25030992.89</v>
      </c>
      <c r="AA74" s="23">
        <f t="shared" si="64"/>
        <v>42706261.24</v>
      </c>
      <c r="AB74" s="63">
        <f t="shared" si="65"/>
        <v>0.7061353268</v>
      </c>
      <c r="AC74" s="5"/>
      <c r="AD74" s="21" t="s">
        <v>18</v>
      </c>
      <c r="AE74" s="22" t="s">
        <v>19</v>
      </c>
      <c r="AF74" s="63">
        <f>'Сентябрь 25'!AG74</f>
        <v>0.2317335163</v>
      </c>
      <c r="AG74" s="63">
        <f t="shared" si="66"/>
        <v>0.1948350841</v>
      </c>
      <c r="AH74" s="63">
        <f t="shared" si="67"/>
        <v>-0.1592278614</v>
      </c>
      <c r="AI74" s="5"/>
    </row>
    <row r="75">
      <c r="A75" s="35">
        <f>D74/C75</f>
        <v>1.05087905</v>
      </c>
      <c r="B75" s="41" t="s">
        <v>47</v>
      </c>
      <c r="C75" s="35">
        <v>0.18</v>
      </c>
      <c r="D75" s="54">
        <f>D73*C75</f>
        <v>288809.64</v>
      </c>
      <c r="E75" s="2"/>
      <c r="F75" s="41" t="s">
        <v>47</v>
      </c>
      <c r="G75" s="35">
        <v>0.175</v>
      </c>
      <c r="H75" s="54">
        <f>H73*G75</f>
        <v>800154.25</v>
      </c>
      <c r="I75" s="35">
        <f>H74/G75</f>
        <v>1.053853054</v>
      </c>
      <c r="J75" s="2"/>
      <c r="K75" s="56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5"/>
      <c r="Y75" s="22" t="s">
        <v>27</v>
      </c>
      <c r="Z75" s="23">
        <f>'Сентябрь 25'!AA75</f>
        <v>50514009.88</v>
      </c>
      <c r="AA75" s="23">
        <f t="shared" si="64"/>
        <v>70145511.49</v>
      </c>
      <c r="AB75" s="63">
        <f t="shared" si="65"/>
        <v>0.3886347897</v>
      </c>
      <c r="AC75" s="5"/>
      <c r="AE75" s="22" t="s">
        <v>27</v>
      </c>
      <c r="AF75" s="63">
        <f>'Сентябрь 25'!AG75</f>
        <v>0.1198836722</v>
      </c>
      <c r="AG75" s="63">
        <f t="shared" si="66"/>
        <v>0.1189671559</v>
      </c>
      <c r="AH75" s="63">
        <f t="shared" si="67"/>
        <v>-0.00764504669</v>
      </c>
      <c r="AI75" s="5"/>
    </row>
    <row r="76">
      <c r="A76" s="2"/>
      <c r="B76" s="77" t="s">
        <v>50</v>
      </c>
      <c r="C76" s="61"/>
      <c r="D76" s="62">
        <f>C72-D75</f>
        <v>14694.36</v>
      </c>
      <c r="E76" s="2"/>
      <c r="F76" s="77" t="s">
        <v>50</v>
      </c>
      <c r="G76" s="61"/>
      <c r="H76" s="62">
        <f>G72-H75</f>
        <v>43090.75</v>
      </c>
      <c r="I76" s="2"/>
      <c r="J76" s="2"/>
      <c r="K76" s="56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5"/>
      <c r="X76" s="21" t="s">
        <v>31</v>
      </c>
      <c r="Y76" s="22" t="s">
        <v>19</v>
      </c>
      <c r="Z76" s="23">
        <f>'Сентябрь 25'!AA76</f>
        <v>-4890173.226</v>
      </c>
      <c r="AA76" s="23">
        <f t="shared" si="64"/>
        <v>1535419</v>
      </c>
      <c r="AB76" s="63">
        <f t="shared" si="65"/>
        <v>-1.313980493</v>
      </c>
      <c r="AC76" s="5"/>
      <c r="AD76" s="21" t="s">
        <v>31</v>
      </c>
      <c r="AE76" s="22" t="s">
        <v>19</v>
      </c>
      <c r="AF76" s="63">
        <f>'Сентябрь 25'!AG76</f>
        <v>-0.03474784883</v>
      </c>
      <c r="AG76" s="63">
        <f t="shared" si="66"/>
        <v>0.1976685191</v>
      </c>
      <c r="AH76" s="63">
        <f t="shared" si="67"/>
        <v>-6.688654861</v>
      </c>
      <c r="AI76" s="5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56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5"/>
      <c r="Y77" s="22" t="s">
        <v>27</v>
      </c>
      <c r="Z77" s="23">
        <f>'Сентябрь 25'!AA77</f>
        <v>3184978</v>
      </c>
      <c r="AA77" s="23">
        <f t="shared" si="64"/>
        <v>4473055</v>
      </c>
      <c r="AB77" s="63">
        <f t="shared" si="65"/>
        <v>0.4044225737</v>
      </c>
      <c r="AC77" s="5"/>
      <c r="AE77" s="22" t="s">
        <v>27</v>
      </c>
      <c r="AF77" s="63">
        <f>'Сентябрь 25'!AG77</f>
        <v>0.2059675137</v>
      </c>
      <c r="AG77" s="63">
        <f t="shared" si="66"/>
        <v>0.1885165731</v>
      </c>
      <c r="AH77" s="63">
        <f t="shared" si="67"/>
        <v>-0.08472666541</v>
      </c>
      <c r="AI77" s="5"/>
    </row>
    <row r="78">
      <c r="A78" s="2"/>
      <c r="B78" s="58" t="s">
        <v>51</v>
      </c>
      <c r="C78" s="58"/>
      <c r="D78" s="64">
        <f>Q42</f>
        <v>811287</v>
      </c>
      <c r="E78" s="2"/>
      <c r="F78" s="58" t="s">
        <v>51</v>
      </c>
      <c r="G78" s="58"/>
      <c r="H78" s="64">
        <f>R42</f>
        <v>3339067</v>
      </c>
      <c r="I78" s="2"/>
      <c r="J78" s="2"/>
      <c r="K78" s="56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5"/>
      <c r="X78" s="44" t="s">
        <v>34</v>
      </c>
      <c r="Y78" s="22" t="s">
        <v>19</v>
      </c>
      <c r="Z78" s="23">
        <f>'Сентябрь 25'!AA78</f>
        <v>101466</v>
      </c>
      <c r="AA78" s="23">
        <f t="shared" si="64"/>
        <v>231207</v>
      </c>
      <c r="AB78" s="63">
        <f t="shared" si="65"/>
        <v>1.278664774</v>
      </c>
      <c r="AC78" s="5"/>
      <c r="AD78" s="44" t="s">
        <v>34</v>
      </c>
      <c r="AE78" s="22" t="s">
        <v>19</v>
      </c>
      <c r="AF78" s="63">
        <f>'Сентябрь 25'!AG78</f>
        <v>0</v>
      </c>
      <c r="AG78" s="63">
        <f t="shared" si="66"/>
        <v>0</v>
      </c>
      <c r="AH78" s="63" t="str">
        <f t="shared" si="67"/>
        <v>#DIV/0!</v>
      </c>
      <c r="AI78" s="5"/>
    </row>
    <row r="79">
      <c r="A79" s="2"/>
      <c r="B79" s="2" t="s">
        <v>52</v>
      </c>
      <c r="C79" s="2"/>
      <c r="D79" s="30">
        <f>D73/$C$1</f>
        <v>51758</v>
      </c>
      <c r="E79" s="2"/>
      <c r="F79" s="2" t="s">
        <v>52</v>
      </c>
      <c r="G79" s="2"/>
      <c r="H79" s="30">
        <f>H73/$C$1</f>
        <v>147493.871</v>
      </c>
      <c r="I79" s="2"/>
      <c r="J79" s="2"/>
      <c r="K79" s="56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5"/>
      <c r="Y79" s="22" t="s">
        <v>27</v>
      </c>
      <c r="Z79" s="23">
        <f>'Сентябрь 25'!AA79</f>
        <v>314564</v>
      </c>
      <c r="AA79" s="23">
        <f t="shared" si="64"/>
        <v>748213</v>
      </c>
      <c r="AB79" s="63">
        <f t="shared" si="65"/>
        <v>1.37857161</v>
      </c>
      <c r="AC79" s="5"/>
      <c r="AE79" s="22" t="s">
        <v>27</v>
      </c>
      <c r="AF79" s="63">
        <f>'Сентябрь 25'!AG79</f>
        <v>0</v>
      </c>
      <c r="AG79" s="63">
        <f t="shared" si="66"/>
        <v>0</v>
      </c>
      <c r="AH79" s="63" t="str">
        <f t="shared" si="67"/>
        <v>#DIV/0!</v>
      </c>
      <c r="AI79" s="5"/>
    </row>
    <row r="80">
      <c r="A80" s="2"/>
      <c r="B80" s="2" t="s">
        <v>53</v>
      </c>
      <c r="C80" s="2"/>
      <c r="D80" s="30">
        <f>D78/$G$1*$C$1</f>
        <v>811287</v>
      </c>
      <c r="E80" s="2"/>
      <c r="F80" s="2" t="s">
        <v>53</v>
      </c>
      <c r="G80" s="2"/>
      <c r="H80" s="30">
        <f>H78/$G$1*$C$1</f>
        <v>3339067</v>
      </c>
      <c r="I80" s="2"/>
      <c r="J80" s="2"/>
      <c r="K80" s="56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5"/>
      <c r="X80" s="44" t="s">
        <v>37</v>
      </c>
      <c r="Y80" s="22" t="s">
        <v>19</v>
      </c>
      <c r="Z80" s="23">
        <f>'Сентябрь 25'!AA80</f>
        <v>0</v>
      </c>
      <c r="AA80" s="23">
        <f t="shared" si="64"/>
        <v>0</v>
      </c>
      <c r="AB80" s="63" t="str">
        <f t="shared" si="65"/>
        <v>#DIV/0!</v>
      </c>
      <c r="AC80" s="5"/>
      <c r="AD80" s="44" t="s">
        <v>37</v>
      </c>
      <c r="AE80" s="22" t="s">
        <v>19</v>
      </c>
      <c r="AF80" s="63" t="str">
        <f>'Сентябрь 25'!AG80</f>
        <v>#DIV/0!</v>
      </c>
      <c r="AG80" s="63" t="str">
        <f t="shared" si="66"/>
        <v>#DIV/0!</v>
      </c>
      <c r="AH80" s="63" t="str">
        <f t="shared" si="67"/>
        <v>#DIV/0!</v>
      </c>
      <c r="AI80" s="5"/>
    </row>
    <row r="81">
      <c r="A81" s="2"/>
      <c r="B81" s="2" t="s">
        <v>54</v>
      </c>
      <c r="C81" s="2"/>
      <c r="D81" s="30" t="str">
        <f>(D78-D73)/($G$1-$C$1)</f>
        <v>#DIV/0!</v>
      </c>
      <c r="E81" s="2"/>
      <c r="F81" s="2" t="s">
        <v>54</v>
      </c>
      <c r="G81" s="2"/>
      <c r="H81" s="30" t="str">
        <f>(H78-H73)/($G$1-$C$1)</f>
        <v>#DIV/0!</v>
      </c>
      <c r="I81" s="2"/>
      <c r="J81" s="2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5"/>
      <c r="Y81" s="22" t="s">
        <v>27</v>
      </c>
      <c r="Z81" s="23">
        <f>'Сентябрь 25'!AA81</f>
        <v>959556</v>
      </c>
      <c r="AA81" s="23">
        <f t="shared" si="64"/>
        <v>1708169</v>
      </c>
      <c r="AB81" s="63">
        <f t="shared" si="65"/>
        <v>0.7801660351</v>
      </c>
      <c r="AC81" s="55"/>
      <c r="AE81" s="22" t="s">
        <v>27</v>
      </c>
      <c r="AF81" s="63">
        <f>'Сентябрь 25'!AG81</f>
        <v>0</v>
      </c>
      <c r="AG81" s="63">
        <f t="shared" si="66"/>
        <v>0</v>
      </c>
      <c r="AH81" s="63" t="str">
        <f t="shared" si="67"/>
        <v>#DIV/0!</v>
      </c>
      <c r="AI81" s="55"/>
    </row>
    <row r="82">
      <c r="A82" s="2"/>
      <c r="B82" s="2" t="s">
        <v>89</v>
      </c>
      <c r="C82" s="2"/>
      <c r="D82" s="30">
        <f>D73-D80</f>
        <v>793211</v>
      </c>
      <c r="E82" s="2"/>
      <c r="F82" s="2" t="s">
        <v>89</v>
      </c>
      <c r="G82" s="2"/>
      <c r="H82" s="30">
        <f>H73-H80</f>
        <v>1233243</v>
      </c>
      <c r="I82" s="2"/>
      <c r="J82" s="2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5"/>
      <c r="X82" s="55"/>
      <c r="Y82" s="55"/>
      <c r="Z82" s="52">
        <f>'Сентябрь 25'!AA82</f>
        <v>218369496.5</v>
      </c>
      <c r="AA82" s="52">
        <f>SUM(AA72:AA81)</f>
        <v>319316815.7</v>
      </c>
      <c r="AB82" s="69">
        <f t="shared" si="65"/>
        <v>0.4622775652</v>
      </c>
      <c r="AC82" s="55"/>
      <c r="AD82" s="55"/>
      <c r="AE82" s="55"/>
      <c r="AF82" s="69">
        <f>'Сентябрь 25'!AG82</f>
        <v>0.09963096194</v>
      </c>
      <c r="AG82" s="69">
        <f>AE68</f>
        <v>0.0994319824</v>
      </c>
      <c r="AH82" s="69">
        <f t="shared" si="67"/>
        <v>-0.001997165771</v>
      </c>
      <c r="AI82" s="55"/>
    </row>
    <row r="83">
      <c r="A83" s="2"/>
      <c r="B83" s="2" t="s">
        <v>56</v>
      </c>
      <c r="C83" s="2"/>
      <c r="D83" s="30">
        <f>D73/$C$1*$G$1</f>
        <v>1604498</v>
      </c>
      <c r="E83" s="2"/>
      <c r="F83" s="2" t="s">
        <v>56</v>
      </c>
      <c r="G83" s="2"/>
      <c r="H83" s="30">
        <f>H73/$C$1*$G$1</f>
        <v>4572310</v>
      </c>
      <c r="I83" s="2"/>
      <c r="J83" s="2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5"/>
      <c r="X83" s="55"/>
      <c r="Y83" s="55"/>
      <c r="Z83" s="55"/>
      <c r="AA83" s="55"/>
      <c r="AB83" s="52">
        <f>AA82-Z82</f>
        <v>100947319.2</v>
      </c>
      <c r="AC83" s="55"/>
      <c r="AD83" s="55"/>
      <c r="AE83" s="55"/>
      <c r="AF83" s="55"/>
      <c r="AG83" s="55"/>
      <c r="AH83" s="55"/>
      <c r="AI83" s="55"/>
    </row>
    <row r="84">
      <c r="A84" s="2"/>
      <c r="B84" s="66" t="s">
        <v>57</v>
      </c>
      <c r="C84" s="66"/>
      <c r="D84" s="67">
        <f>D83/D78</f>
        <v>1.977719352</v>
      </c>
      <c r="E84" s="2"/>
      <c r="F84" s="66" t="s">
        <v>57</v>
      </c>
      <c r="G84" s="66"/>
      <c r="H84" s="67">
        <f>H83/H78</f>
        <v>1.369337602</v>
      </c>
      <c r="I84" s="2"/>
      <c r="J84" s="2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</row>
    <row r="86">
      <c r="A86" s="2"/>
      <c r="B86" s="70" t="s">
        <v>34</v>
      </c>
      <c r="C86" s="17"/>
      <c r="D86" s="17"/>
      <c r="E86" s="17"/>
      <c r="F86" s="17"/>
      <c r="G86" s="17"/>
      <c r="H86" s="18"/>
      <c r="I86" s="2"/>
      <c r="J86" s="2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</row>
    <row r="87">
      <c r="A87" s="2"/>
      <c r="B87" s="70" t="str">
        <f>B66</f>
        <v>Биг–Л / Октябрь | до </v>
      </c>
      <c r="C87" s="17"/>
      <c r="D87" s="28">
        <f>$D$4</f>
        <v>45961</v>
      </c>
      <c r="E87" s="2"/>
      <c r="F87" s="70" t="str">
        <f>F66</f>
        <v>Смарт / Октябрь | до </v>
      </c>
      <c r="G87" s="17"/>
      <c r="H87" s="28">
        <f>$D$4</f>
        <v>45961</v>
      </c>
      <c r="I87" s="2"/>
      <c r="J87" s="2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</row>
    <row r="88">
      <c r="A88" s="2"/>
      <c r="B88" s="106" t="s">
        <v>90</v>
      </c>
      <c r="C88" s="109"/>
      <c r="D88" s="111"/>
      <c r="E88" s="2"/>
      <c r="F88" s="106" t="s">
        <v>90</v>
      </c>
      <c r="G88" s="109"/>
      <c r="H88" s="111"/>
      <c r="I88" s="2"/>
      <c r="J88" s="2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</row>
    <row r="89">
      <c r="A89" s="2"/>
      <c r="B89" s="41" t="s">
        <v>43</v>
      </c>
      <c r="C89" s="2"/>
      <c r="D89" s="54">
        <f>S35</f>
        <v>262675</v>
      </c>
      <c r="E89" s="2"/>
      <c r="F89" s="41" t="s">
        <v>43</v>
      </c>
      <c r="G89" s="2"/>
      <c r="H89" s="54">
        <f>T35</f>
        <v>827330</v>
      </c>
      <c r="I89" s="2"/>
      <c r="J89" s="2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</row>
    <row r="90">
      <c r="A90" s="2"/>
      <c r="B90" s="41" t="s">
        <v>44</v>
      </c>
      <c r="C90" s="2"/>
      <c r="D90" s="57">
        <f>C88/D89</f>
        <v>0</v>
      </c>
      <c r="E90" s="2"/>
      <c r="F90" s="41" t="s">
        <v>44</v>
      </c>
      <c r="G90" s="2"/>
      <c r="H90" s="57">
        <f>G88/H89</f>
        <v>0</v>
      </c>
      <c r="I90" s="2"/>
      <c r="J90" s="2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</row>
    <row r="91">
      <c r="A91" s="2"/>
      <c r="B91" s="41" t="s">
        <v>47</v>
      </c>
      <c r="C91" s="35">
        <v>0.15</v>
      </c>
      <c r="D91" s="54">
        <f>D89*C91</f>
        <v>39401.25</v>
      </c>
      <c r="E91" s="2"/>
      <c r="F91" s="41" t="s">
        <v>47</v>
      </c>
      <c r="G91" s="35">
        <v>0.15</v>
      </c>
      <c r="H91" s="54">
        <f>H89*G91</f>
        <v>124099.5</v>
      </c>
      <c r="I91" s="2"/>
      <c r="J91" s="2"/>
      <c r="K91" s="56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</row>
    <row r="92">
      <c r="A92" s="2"/>
      <c r="B92" s="77" t="s">
        <v>50</v>
      </c>
      <c r="C92" s="61"/>
      <c r="D92" s="62">
        <f>C88-D91</f>
        <v>-39401.25</v>
      </c>
      <c r="E92" s="2"/>
      <c r="F92" s="77" t="s">
        <v>50</v>
      </c>
      <c r="G92" s="61"/>
      <c r="H92" s="62">
        <f>G88-H91</f>
        <v>-124099.5</v>
      </c>
      <c r="I92" s="2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</row>
    <row r="93">
      <c r="A93" s="2"/>
      <c r="B93" s="2"/>
      <c r="C93" s="2"/>
      <c r="D93" s="2"/>
      <c r="E93" s="2"/>
      <c r="F93" s="2"/>
      <c r="G93" s="2"/>
      <c r="H93" s="2"/>
      <c r="I93" s="2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</row>
    <row r="94">
      <c r="A94" s="2"/>
      <c r="B94" s="58" t="s">
        <v>51</v>
      </c>
      <c r="C94" s="2"/>
      <c r="D94" s="64">
        <f>S42</f>
        <v>101466</v>
      </c>
      <c r="E94" s="2"/>
      <c r="F94" s="58" t="s">
        <v>51</v>
      </c>
      <c r="G94" s="2"/>
      <c r="H94" s="64">
        <f>T42</f>
        <v>364665</v>
      </c>
      <c r="I94" s="2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</row>
    <row r="95">
      <c r="A95" s="2"/>
      <c r="B95" s="2" t="s">
        <v>52</v>
      </c>
      <c r="C95" s="2"/>
      <c r="D95" s="30">
        <f>D89/$C$1</f>
        <v>8473.387097</v>
      </c>
      <c r="E95" s="2"/>
      <c r="F95" s="2" t="s">
        <v>52</v>
      </c>
      <c r="G95" s="2"/>
      <c r="H95" s="30">
        <f>H89/$C$1</f>
        <v>26688.06452</v>
      </c>
      <c r="I95" s="2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</row>
    <row r="96">
      <c r="A96" s="2"/>
      <c r="B96" s="2" t="s">
        <v>53</v>
      </c>
      <c r="C96" s="2"/>
      <c r="D96" s="30">
        <f>D94/$G$1*$C$1</f>
        <v>101466</v>
      </c>
      <c r="E96" s="2"/>
      <c r="F96" s="2" t="s">
        <v>53</v>
      </c>
      <c r="G96" s="2"/>
      <c r="H96" s="30">
        <f>H94/$G$1*$C$1</f>
        <v>364665</v>
      </c>
      <c r="I96" s="2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</row>
    <row r="97">
      <c r="A97" s="2"/>
      <c r="B97" s="2" t="s">
        <v>54</v>
      </c>
      <c r="C97" s="2"/>
      <c r="D97" s="30" t="str">
        <f>(D94-D89)/($G$1-$C$1)</f>
        <v>#DIV/0!</v>
      </c>
      <c r="E97" s="2"/>
      <c r="F97" s="2" t="s">
        <v>54</v>
      </c>
      <c r="G97" s="2"/>
      <c r="H97" s="30" t="str">
        <f>(H94-H89)/($G$1-$C$1)</f>
        <v>#DIV/0!</v>
      </c>
      <c r="I97" s="2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</row>
    <row r="98">
      <c r="A98" s="2"/>
      <c r="B98" s="2" t="s">
        <v>89</v>
      </c>
      <c r="C98" s="2"/>
      <c r="D98" s="30">
        <f>D89-D96</f>
        <v>161209</v>
      </c>
      <c r="E98" s="2"/>
      <c r="F98" s="2" t="s">
        <v>89</v>
      </c>
      <c r="G98" s="2"/>
      <c r="H98" s="30">
        <f>H89-H96</f>
        <v>462665</v>
      </c>
      <c r="I98" s="2"/>
      <c r="J98" s="2"/>
      <c r="K98" s="56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</row>
    <row r="99">
      <c r="A99" s="2"/>
      <c r="B99" s="2" t="s">
        <v>56</v>
      </c>
      <c r="C99" s="2"/>
      <c r="D99" s="30">
        <f>D89/$C$1*$G$1</f>
        <v>262675</v>
      </c>
      <c r="E99" s="2"/>
      <c r="F99" s="2" t="s">
        <v>56</v>
      </c>
      <c r="G99" s="2"/>
      <c r="H99" s="30">
        <f>H89/$C$1*$G$1</f>
        <v>827330</v>
      </c>
      <c r="I99" s="2"/>
      <c r="J99" s="2"/>
      <c r="K99" s="56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</row>
    <row r="100">
      <c r="A100" s="2"/>
      <c r="B100" s="66" t="s">
        <v>57</v>
      </c>
      <c r="C100" s="66"/>
      <c r="D100" s="67">
        <f>D99/D94</f>
        <v>2.588798218</v>
      </c>
      <c r="E100" s="2"/>
      <c r="F100" s="66" t="s">
        <v>57</v>
      </c>
      <c r="G100" s="66"/>
      <c r="H100" s="67">
        <f>H99/H94</f>
        <v>2.268739802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</row>
    <row r="102">
      <c r="A102" s="2"/>
      <c r="B102" s="26" t="s">
        <v>92</v>
      </c>
      <c r="C102" s="18"/>
      <c r="D102" s="2"/>
      <c r="E102" s="26" t="s">
        <v>51</v>
      </c>
      <c r="F102" s="18"/>
      <c r="G102" s="2"/>
      <c r="H102" s="112" t="s">
        <v>93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</row>
    <row r="104">
      <c r="A104" s="2"/>
      <c r="B104" s="26" t="s">
        <v>94</v>
      </c>
      <c r="C104" s="18"/>
      <c r="D104" s="2"/>
      <c r="E104" s="70" t="str">
        <f>B104</f>
        <v>Выручка по маркетплейсам</v>
      </c>
      <c r="F104" s="18"/>
      <c r="G104" s="2"/>
      <c r="H104" s="112" t="s">
        <v>93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</row>
    <row r="105">
      <c r="A105" s="2"/>
      <c r="B105" s="2" t="s">
        <v>95</v>
      </c>
      <c r="C105" s="30">
        <f>SUM(D16, H16)</f>
        <v>119541746.3</v>
      </c>
      <c r="D105" s="2"/>
      <c r="E105" s="2" t="s">
        <v>96</v>
      </c>
      <c r="F105" s="30">
        <f>SUM(D23, H23)</f>
        <v>81222148</v>
      </c>
      <c r="G105" s="2"/>
      <c r="H105" s="113">
        <f t="shared" ref="H105:H108" si="68">C105/F105</f>
        <v>1.471787551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</row>
    <row r="106">
      <c r="A106" s="2"/>
      <c r="B106" s="2" t="s">
        <v>97</v>
      </c>
      <c r="C106" s="30">
        <f>SUM(D34, H34)</f>
        <v>199442817</v>
      </c>
      <c r="D106" s="2"/>
      <c r="E106" s="2" t="s">
        <v>98</v>
      </c>
      <c r="F106" s="30">
        <f>SUM(D41, H41)</f>
        <v>144326138</v>
      </c>
      <c r="G106" s="2"/>
      <c r="H106" s="113">
        <f t="shared" si="68"/>
        <v>1.381889793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</row>
    <row r="107">
      <c r="A107" s="2"/>
      <c r="B107" s="2" t="s">
        <v>99</v>
      </c>
      <c r="C107" s="30">
        <f>SUM(D73, H73)</f>
        <v>6176808</v>
      </c>
      <c r="D107" s="2"/>
      <c r="E107" s="2" t="s">
        <v>100</v>
      </c>
      <c r="F107" s="30">
        <f>SUM(D80,H80)</f>
        <v>4150354</v>
      </c>
      <c r="G107" s="2"/>
      <c r="H107" s="113">
        <f t="shared" si="68"/>
        <v>1.488260519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</row>
    <row r="108">
      <c r="A108" s="2"/>
      <c r="B108" s="2" t="s">
        <v>101</v>
      </c>
      <c r="C108" s="30">
        <f>SUM(D89,H89)</f>
        <v>1090005</v>
      </c>
      <c r="D108" s="2"/>
      <c r="E108" s="2" t="s">
        <v>102</v>
      </c>
      <c r="F108" s="30">
        <f>SUM(H96,D96)</f>
        <v>466131</v>
      </c>
      <c r="G108" s="2"/>
      <c r="H108" s="113">
        <f t="shared" si="68"/>
        <v>2.33840916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</row>
    <row r="110">
      <c r="A110" s="2"/>
      <c r="B110" s="26" t="s">
        <v>103</v>
      </c>
      <c r="C110" s="18"/>
      <c r="D110" s="2"/>
      <c r="E110" s="70" t="str">
        <f>B110</f>
        <v>Выручка по направлениям</v>
      </c>
      <c r="F110" s="18"/>
      <c r="G110" s="2"/>
      <c r="H110" s="112" t="s">
        <v>93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</row>
    <row r="111">
      <c r="A111" s="2"/>
      <c r="B111" s="4" t="s">
        <v>104</v>
      </c>
      <c r="C111" s="30">
        <f>SUM(D16, D34, D73)</f>
        <v>120339049</v>
      </c>
      <c r="D111" s="2"/>
      <c r="E111" s="2" t="s">
        <v>105</v>
      </c>
      <c r="F111" s="30">
        <f>SUM(D23, D41, D80)</f>
        <v>62877367</v>
      </c>
      <c r="G111" s="2"/>
      <c r="H111" s="113">
        <f t="shared" ref="H111:H112" si="69">C111/F111</f>
        <v>1.913869087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</row>
    <row r="112">
      <c r="A112" s="2"/>
      <c r="B112" s="4" t="s">
        <v>106</v>
      </c>
      <c r="C112" s="30">
        <f>SUM(H16, H34, H73, H89)</f>
        <v>205649652.3</v>
      </c>
      <c r="D112" s="2"/>
      <c r="E112" s="2" t="s">
        <v>107</v>
      </c>
      <c r="F112" s="30">
        <f>SUM(H23, H41, H80, H96)</f>
        <v>167185938</v>
      </c>
      <c r="G112" s="2"/>
      <c r="H112" s="113">
        <f t="shared" si="69"/>
        <v>1.230065487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</row>
    <row r="114">
      <c r="A114" s="2"/>
      <c r="B114" s="26" t="s">
        <v>108</v>
      </c>
      <c r="C114" s="18"/>
      <c r="D114" s="2"/>
      <c r="E114" s="70" t="str">
        <f>B114</f>
        <v>Суммарная выручка</v>
      </c>
      <c r="F114" s="18"/>
      <c r="G114" s="2"/>
      <c r="H114" s="112" t="s">
        <v>93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</row>
    <row r="115">
      <c r="A115" s="2"/>
      <c r="B115" s="2" t="s">
        <v>109</v>
      </c>
      <c r="C115" s="30">
        <f>SUM(C105:C108)</f>
        <v>326251376.3</v>
      </c>
      <c r="D115" s="2"/>
      <c r="E115" s="2" t="s">
        <v>110</v>
      </c>
      <c r="F115" s="30">
        <f>SUM(F105:F108)</f>
        <v>230164771</v>
      </c>
      <c r="G115" s="2"/>
      <c r="H115" s="113">
        <f t="shared" ref="H115:H116" si="70">C115/F115</f>
        <v>1.417468776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</row>
    <row r="116">
      <c r="A116" s="2"/>
      <c r="B116" s="2" t="s">
        <v>111</v>
      </c>
      <c r="C116" s="30">
        <f>C115/$C$1*G1</f>
        <v>326251376.3</v>
      </c>
      <c r="D116" s="2"/>
      <c r="E116" s="2" t="s">
        <v>112</v>
      </c>
      <c r="F116" s="30">
        <f>SUM(D21, H21, D39, H39, D78, H78, D94, H94)</f>
        <v>230164771</v>
      </c>
      <c r="G116" s="2"/>
      <c r="H116" s="113">
        <f t="shared" si="70"/>
        <v>1.417468776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</row>
    <row r="118">
      <c r="A118" s="2"/>
      <c r="B118" s="26" t="s">
        <v>113</v>
      </c>
      <c r="C118" s="17"/>
      <c r="D118" s="17"/>
      <c r="E118" s="17"/>
      <c r="F118" s="18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</row>
    <row r="120">
      <c r="A120" s="2"/>
      <c r="B120" s="26" t="s">
        <v>114</v>
      </c>
      <c r="C120" s="18"/>
      <c r="D120" s="2"/>
      <c r="E120" s="70" t="str">
        <f>B120</f>
        <v>Доля Рекламных Расходов</v>
      </c>
      <c r="F120" s="18"/>
      <c r="G120" s="2"/>
      <c r="H120" s="112" t="s">
        <v>93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</row>
    <row r="121">
      <c r="A121" s="2"/>
      <c r="B121" s="2" t="s">
        <v>18</v>
      </c>
      <c r="C121" s="35">
        <f>SUM(C15,G15)/SUM(D16,H16)</f>
        <v>0.1394131382</v>
      </c>
      <c r="D121" s="2"/>
      <c r="E121" s="2" t="s">
        <v>18</v>
      </c>
      <c r="F121" s="35">
        <f>(D21*C18+H21*G18)/SUM(D21, H21)</f>
        <v>0.1448697646</v>
      </c>
      <c r="G121" s="2"/>
      <c r="H121" s="35">
        <f t="shared" ref="H121:H124" si="71">C121/F121-1</f>
        <v>-0.03766573641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</row>
    <row r="122">
      <c r="A122" s="2"/>
      <c r="B122" s="2" t="s">
        <v>115</v>
      </c>
      <c r="C122" s="35">
        <f>SUM(C33,G33)/SUM(D34,H34)</f>
        <v>0.06988401593</v>
      </c>
      <c r="D122" s="2"/>
      <c r="E122" s="2" t="s">
        <v>115</v>
      </c>
      <c r="F122" s="35">
        <f>(D39*C36+H39*G36)/SUM(D39, H39)</f>
        <v>0.07</v>
      </c>
      <c r="G122" s="2"/>
      <c r="H122" s="35">
        <f t="shared" si="71"/>
        <v>-0.001656915311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</row>
    <row r="123">
      <c r="A123" s="2"/>
      <c r="B123" s="2" t="s">
        <v>31</v>
      </c>
      <c r="C123" s="35">
        <f>SUM(C72,G72)/SUM(D73,H73)</f>
        <v>0.1856539818</v>
      </c>
      <c r="D123" s="2"/>
      <c r="E123" s="2" t="s">
        <v>31</v>
      </c>
      <c r="F123" s="35">
        <f>(D78*C75+H78*G75)/SUM(D78, H78)</f>
        <v>0.1759773708</v>
      </c>
      <c r="G123" s="2"/>
      <c r="H123" s="35">
        <f t="shared" si="71"/>
        <v>0.05498781409</v>
      </c>
      <c r="I123" s="2"/>
      <c r="J123" s="2"/>
      <c r="K123" s="2"/>
      <c r="L123" s="2"/>
      <c r="M123" s="31"/>
      <c r="N123" s="31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</row>
    <row r="124">
      <c r="A124" s="2"/>
      <c r="B124" s="2" t="s">
        <v>116</v>
      </c>
      <c r="C124" s="35">
        <f>SUM(C15, G15, C33, G33, C72, G72, C88, G88)/C115</f>
        <v>0.09731852892</v>
      </c>
      <c r="D124" s="2"/>
      <c r="E124" s="2" t="s">
        <v>116</v>
      </c>
      <c r="F124" s="35">
        <f>SUM(D16*C18, H16*G18, D34*C36, H34*G36, D73*C75, H73*G75, H89*G91, D89*C91)/C115</f>
        <v>0.1013186409</v>
      </c>
      <c r="G124" s="2"/>
      <c r="H124" s="35">
        <f t="shared" si="71"/>
        <v>-0.03948051376</v>
      </c>
      <c r="I124" s="67">
        <f>1+H124</f>
        <v>0.9605194862</v>
      </c>
      <c r="J124" s="2"/>
      <c r="K124" s="4"/>
      <c r="L124" s="2"/>
      <c r="M124" s="114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</row>
    <row r="126">
      <c r="A126" s="2"/>
      <c r="B126" s="26" t="s">
        <v>117</v>
      </c>
      <c r="C126" s="17"/>
      <c r="D126" s="17"/>
      <c r="E126" s="17"/>
      <c r="F126" s="18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</row>
    <row r="128">
      <c r="A128" s="2"/>
      <c r="B128" s="26" t="s">
        <v>114</v>
      </c>
      <c r="C128" s="18"/>
      <c r="D128" s="2"/>
      <c r="E128" s="70" t="str">
        <f>B128</f>
        <v>Доля Рекламных Расходов</v>
      </c>
      <c r="F128" s="18"/>
      <c r="G128" s="2"/>
      <c r="H128" s="112" t="s">
        <v>93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</row>
    <row r="129">
      <c r="A129" s="2"/>
      <c r="B129" s="2" t="s">
        <v>18</v>
      </c>
      <c r="C129" s="35">
        <f>C121</f>
        <v>0.1394131382</v>
      </c>
      <c r="D129" s="2"/>
      <c r="E129" s="2" t="s">
        <v>18</v>
      </c>
      <c r="F129" s="35">
        <f t="shared" ref="F129:F132" si="72">F121</f>
        <v>0.1448697646</v>
      </c>
      <c r="G129" s="2"/>
      <c r="H129" s="35">
        <f t="shared" ref="H129:H132" si="73">C129/F129-1</f>
        <v>-0.03766573641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</row>
    <row r="130">
      <c r="A130" s="2"/>
      <c r="B130" s="2" t="s">
        <v>115</v>
      </c>
      <c r="C130" s="35">
        <f>SUM(C51,G51)/SUM(D52,H52)</f>
        <v>0.0490585329</v>
      </c>
      <c r="D130" s="2"/>
      <c r="E130" s="2" t="s">
        <v>115</v>
      </c>
      <c r="F130" s="35">
        <f t="shared" si="72"/>
        <v>0.07</v>
      </c>
      <c r="G130" s="2"/>
      <c r="H130" s="35">
        <f t="shared" si="73"/>
        <v>-0.2991638157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</row>
    <row r="131">
      <c r="A131" s="2"/>
      <c r="B131" s="2" t="s">
        <v>31</v>
      </c>
      <c r="C131" s="35">
        <f>C123</f>
        <v>0.1856539818</v>
      </c>
      <c r="D131" s="2"/>
      <c r="E131" s="2" t="s">
        <v>31</v>
      </c>
      <c r="F131" s="35">
        <f t="shared" si="72"/>
        <v>0.1759773708</v>
      </c>
      <c r="G131" s="2"/>
      <c r="H131" s="35">
        <f t="shared" si="73"/>
        <v>0.05498781409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</row>
    <row r="132">
      <c r="A132" s="2"/>
      <c r="B132" s="2" t="s">
        <v>116</v>
      </c>
      <c r="C132" s="35">
        <f>SUM(C15, G15, C51, G51, C72, G72, C88, G88)/C115</f>
        <v>0.0845875696</v>
      </c>
      <c r="D132" s="2"/>
      <c r="E132" s="2" t="s">
        <v>116</v>
      </c>
      <c r="F132" s="35">
        <f t="shared" si="72"/>
        <v>0.1013186409</v>
      </c>
      <c r="G132" s="2"/>
      <c r="H132" s="35">
        <f t="shared" si="73"/>
        <v>-0.1651331992</v>
      </c>
      <c r="I132" s="67">
        <f>1+H132</f>
        <v>0.8348668008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</row>
    <row r="133">
      <c r="A133" s="2"/>
      <c r="B133" s="2"/>
      <c r="C133" s="35"/>
      <c r="D133" s="2"/>
      <c r="E133" s="2"/>
      <c r="F133" s="35"/>
      <c r="G133" s="2"/>
      <c r="H133" s="35"/>
      <c r="I133" s="19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</row>
    <row r="134">
      <c r="A134" s="2"/>
      <c r="B134" s="26" t="s">
        <v>118</v>
      </c>
      <c r="C134" s="17"/>
      <c r="D134" s="17"/>
      <c r="E134" s="17"/>
      <c r="F134" s="18"/>
      <c r="G134" s="2"/>
      <c r="H134" s="35"/>
      <c r="I134" s="19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</row>
    <row r="136">
      <c r="A136" s="2"/>
      <c r="B136" s="115" t="s">
        <v>119</v>
      </c>
      <c r="C136" s="18"/>
      <c r="D136" s="2"/>
      <c r="E136" s="26" t="s">
        <v>60</v>
      </c>
      <c r="F136" s="18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</row>
    <row r="137">
      <c r="A137" s="56">
        <f t="shared" ref="A137:A140" si="74">C137/$C$141</f>
        <v>0.5248985962</v>
      </c>
      <c r="B137" s="4" t="s">
        <v>18</v>
      </c>
      <c r="C137" s="58">
        <f>SUM(C15,G15)</f>
        <v>16665690</v>
      </c>
      <c r="D137" s="2"/>
      <c r="E137" s="4" t="s">
        <v>18</v>
      </c>
      <c r="F137" s="58">
        <f>SUM(C15,G15)</f>
        <v>16665690</v>
      </c>
      <c r="G137" s="56">
        <f t="shared" ref="G137:G140" si="75">F137/$F$141</f>
        <v>0.6038991244</v>
      </c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</row>
    <row r="138">
      <c r="A138" s="56">
        <f t="shared" si="74"/>
        <v>0.4389836708</v>
      </c>
      <c r="B138" s="4" t="s">
        <v>115</v>
      </c>
      <c r="C138" s="58">
        <f>SUM(C33,G33)</f>
        <v>13937865</v>
      </c>
      <c r="D138" s="2"/>
      <c r="E138" s="4" t="s">
        <v>115</v>
      </c>
      <c r="F138" s="58">
        <f>SUM(C51,G51)</f>
        <v>9784372</v>
      </c>
      <c r="G138" s="56">
        <f t="shared" si="75"/>
        <v>0.3545471975</v>
      </c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</row>
    <row r="139">
      <c r="A139" s="56">
        <f t="shared" si="74"/>
        <v>0.03611773292</v>
      </c>
      <c r="B139" s="4" t="s">
        <v>31</v>
      </c>
      <c r="C139" s="58">
        <f>SUM(C72,G72)</f>
        <v>1146749</v>
      </c>
      <c r="D139" s="2"/>
      <c r="E139" s="4" t="s">
        <v>31</v>
      </c>
      <c r="F139" s="58">
        <f>SUM(C72,G72)</f>
        <v>1146749</v>
      </c>
      <c r="G139" s="56">
        <f t="shared" si="75"/>
        <v>0.04155367807</v>
      </c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</row>
    <row r="140">
      <c r="A140" s="56">
        <f t="shared" si="74"/>
        <v>0</v>
      </c>
      <c r="B140" s="4" t="s">
        <v>34</v>
      </c>
      <c r="C140" s="58">
        <f>SUM(C88,G88)</f>
        <v>0</v>
      </c>
      <c r="D140" s="2"/>
      <c r="E140" s="4" t="s">
        <v>34</v>
      </c>
      <c r="F140" s="58">
        <f>SUM(C88,G88)</f>
        <v>0</v>
      </c>
      <c r="G140" s="56">
        <f t="shared" si="75"/>
        <v>0</v>
      </c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</row>
    <row r="141">
      <c r="A141" s="2"/>
      <c r="B141" s="20" t="s">
        <v>120</v>
      </c>
      <c r="C141" s="75">
        <f>SUM(C137:C140)</f>
        <v>31750304</v>
      </c>
      <c r="D141" s="2"/>
      <c r="E141" s="20" t="s">
        <v>120</v>
      </c>
      <c r="F141" s="75">
        <f>SUM(F137:F140)</f>
        <v>27596811</v>
      </c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</row>
    <row r="143">
      <c r="A143" s="2"/>
      <c r="B143" s="26" t="s">
        <v>121</v>
      </c>
      <c r="C143" s="17"/>
      <c r="D143" s="17"/>
      <c r="E143" s="17"/>
      <c r="F143" s="18"/>
      <c r="G143" s="2"/>
      <c r="H143" s="35"/>
      <c r="I143" s="19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</row>
    <row r="145">
      <c r="A145" s="2"/>
      <c r="B145" s="115" t="s">
        <v>119</v>
      </c>
      <c r="C145" s="18"/>
      <c r="D145" s="2"/>
      <c r="E145" s="26" t="s">
        <v>60</v>
      </c>
      <c r="F145" s="18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</row>
    <row r="146">
      <c r="A146" s="56">
        <f t="shared" ref="A146:A147" si="76">C146/$C$148</f>
        <v>0.4292571498</v>
      </c>
      <c r="B146" s="4" t="s">
        <v>19</v>
      </c>
      <c r="C146" s="58">
        <f>SUM(C15,C33,C72,C88)</f>
        <v>13629045</v>
      </c>
      <c r="D146" s="2"/>
      <c r="E146" s="4" t="s">
        <v>19</v>
      </c>
      <c r="F146" s="58">
        <f>SUM(C15,C51,C72,C88)</f>
        <v>13626032</v>
      </c>
      <c r="G146" s="56">
        <f t="shared" ref="G146:G147" si="77">F146/$F$148</f>
        <v>0.4937538616</v>
      </c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</row>
    <row r="147">
      <c r="A147" s="56">
        <f t="shared" si="76"/>
        <v>0.5707428502</v>
      </c>
      <c r="B147" s="4" t="s">
        <v>122</v>
      </c>
      <c r="C147" s="58">
        <f>SUM(G15,G33,G72,G88)</f>
        <v>18121259</v>
      </c>
      <c r="D147" s="2"/>
      <c r="E147" s="4" t="s">
        <v>122</v>
      </c>
      <c r="F147" s="58">
        <f>SUM(G15,G51,G72,G88)</f>
        <v>13970779</v>
      </c>
      <c r="G147" s="56">
        <f t="shared" si="77"/>
        <v>0.5062461384</v>
      </c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</row>
    <row r="148">
      <c r="A148" s="2"/>
      <c r="B148" s="20" t="s">
        <v>120</v>
      </c>
      <c r="C148" s="75">
        <f>SUM(C146:C147)</f>
        <v>31750304</v>
      </c>
      <c r="D148" s="2"/>
      <c r="E148" s="20" t="s">
        <v>120</v>
      </c>
      <c r="F148" s="75">
        <f>SUM(F146:F147)</f>
        <v>27596811</v>
      </c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</row>
    <row r="151"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</row>
  </sheetData>
  <mergeCells count="98">
    <mergeCell ref="S47:T47"/>
    <mergeCell ref="U47:V47"/>
    <mergeCell ref="Q45:R45"/>
    <mergeCell ref="S45:T45"/>
    <mergeCell ref="B47:H47"/>
    <mergeCell ref="K47:L47"/>
    <mergeCell ref="M47:N47"/>
    <mergeCell ref="O47:P47"/>
    <mergeCell ref="Q47:R47"/>
    <mergeCell ref="X66:X67"/>
    <mergeCell ref="X72:X73"/>
    <mergeCell ref="X74:X75"/>
    <mergeCell ref="X76:X77"/>
    <mergeCell ref="X78:X79"/>
    <mergeCell ref="X80:X81"/>
    <mergeCell ref="AD72:AD73"/>
    <mergeCell ref="AD74:AD75"/>
    <mergeCell ref="AD76:AD77"/>
    <mergeCell ref="AD78:AD79"/>
    <mergeCell ref="AD80:AD81"/>
    <mergeCell ref="X51:X52"/>
    <mergeCell ref="X53:X54"/>
    <mergeCell ref="X58:X59"/>
    <mergeCell ref="X60:X61"/>
    <mergeCell ref="X62:X63"/>
    <mergeCell ref="X64:X65"/>
    <mergeCell ref="AD71:AE71"/>
    <mergeCell ref="B87:C87"/>
    <mergeCell ref="B102:C102"/>
    <mergeCell ref="E102:F102"/>
    <mergeCell ref="B104:C104"/>
    <mergeCell ref="E104:F104"/>
    <mergeCell ref="B110:C110"/>
    <mergeCell ref="E110:F110"/>
    <mergeCell ref="E128:F128"/>
    <mergeCell ref="B134:F134"/>
    <mergeCell ref="B136:C136"/>
    <mergeCell ref="E136:F136"/>
    <mergeCell ref="B143:F143"/>
    <mergeCell ref="B145:C145"/>
    <mergeCell ref="E145:F145"/>
    <mergeCell ref="B114:C114"/>
    <mergeCell ref="E114:F114"/>
    <mergeCell ref="B118:F118"/>
    <mergeCell ref="B120:C120"/>
    <mergeCell ref="E120:F120"/>
    <mergeCell ref="B126:F126"/>
    <mergeCell ref="B128:C128"/>
    <mergeCell ref="M2:N2"/>
    <mergeCell ref="O2:P2"/>
    <mergeCell ref="Q2:R2"/>
    <mergeCell ref="S2:T2"/>
    <mergeCell ref="U2:V2"/>
    <mergeCell ref="B3:H3"/>
    <mergeCell ref="X3:X4"/>
    <mergeCell ref="X5:X6"/>
    <mergeCell ref="X7:X8"/>
    <mergeCell ref="X9:X10"/>
    <mergeCell ref="X11:X12"/>
    <mergeCell ref="Z17:AB17"/>
    <mergeCell ref="AD17:AF17"/>
    <mergeCell ref="X19:X20"/>
    <mergeCell ref="B4:C4"/>
    <mergeCell ref="F4:G4"/>
    <mergeCell ref="B29:H29"/>
    <mergeCell ref="B30:C30"/>
    <mergeCell ref="F30:G30"/>
    <mergeCell ref="K38:L38"/>
    <mergeCell ref="M38:N38"/>
    <mergeCell ref="X21:X22"/>
    <mergeCell ref="X23:X24"/>
    <mergeCell ref="X25:X26"/>
    <mergeCell ref="X27:X28"/>
    <mergeCell ref="X31:Y31"/>
    <mergeCell ref="X32:X33"/>
    <mergeCell ref="X34:X35"/>
    <mergeCell ref="O38:P38"/>
    <mergeCell ref="Q38:R38"/>
    <mergeCell ref="S38:T38"/>
    <mergeCell ref="U38:V38"/>
    <mergeCell ref="K45:L45"/>
    <mergeCell ref="M45:N45"/>
    <mergeCell ref="O45:P45"/>
    <mergeCell ref="U45:V45"/>
    <mergeCell ref="X36:X37"/>
    <mergeCell ref="X38:X39"/>
    <mergeCell ref="X40:X41"/>
    <mergeCell ref="X44:Y44"/>
    <mergeCell ref="X45:X46"/>
    <mergeCell ref="X47:X48"/>
    <mergeCell ref="X49:X50"/>
    <mergeCell ref="B48:C48"/>
    <mergeCell ref="F48:G48"/>
    <mergeCell ref="B65:H65"/>
    <mergeCell ref="B66:C66"/>
    <mergeCell ref="F66:G66"/>
    <mergeCell ref="B86:H86"/>
    <mergeCell ref="F87:G87"/>
  </mergeCells>
  <conditionalFormatting sqref="D19 H19 AF32:AF42 D37 H37 AF45:AF55 D55 H55 AF58:AF68 AH72:AH82 D76 H76 D92 H92">
    <cfRule type="cellIs" dxfId="0" priority="1" operator="lessThan">
      <formula>0</formula>
    </cfRule>
  </conditionalFormatting>
  <conditionalFormatting sqref="D19 H19 AF32:AF42 D37 H37 AF45:AF55 D55 H55 AF58:AF68 AH72:AH82 D76 H76 D92 H92">
    <cfRule type="cellIs" dxfId="1" priority="2" operator="greaterThan">
      <formula>0</formula>
    </cfRule>
  </conditionalFormatting>
  <conditionalFormatting sqref="D25 H25 D43 H43 D61 H61 AB72:AB82 D82 H82 D98 H98">
    <cfRule type="cellIs" dxfId="0" priority="3" operator="greaterThan">
      <formula>0</formula>
    </cfRule>
  </conditionalFormatting>
  <conditionalFormatting sqref="D25 H25 D43 H43 D61 H61 AB72:AB82 D82 H82 D98 H98">
    <cfRule type="cellIs" dxfId="1" priority="4" operator="lessThan">
      <formula>0</formula>
    </cfRule>
  </conditionalFormatting>
  <conditionalFormatting sqref="AB19:AB29 AF19:AF29 D27 H27 D45 H45 D63 H63 D84 H84 D100 H100">
    <cfRule type="cellIs" dxfId="0" priority="5" operator="greaterThan">
      <formula>1</formula>
    </cfRule>
  </conditionalFormatting>
  <conditionalFormatting sqref="AB19:AB29 AF19:AF29 D27 H27 D45 H45 D63 H63 D84 H84 D100 H100">
    <cfRule type="cellIs" dxfId="1" priority="6" operator="lessThan">
      <formula>1</formula>
    </cfRule>
  </conditionalFormatting>
  <conditionalFormatting sqref="H101:H110">
    <cfRule type="cellIs" dxfId="0" priority="7" operator="greaterThan">
      <formula>1</formula>
    </cfRule>
  </conditionalFormatting>
  <conditionalFormatting sqref="H101:H110">
    <cfRule type="cellIs" dxfId="1" priority="8" operator="lessThan">
      <formula>1</formula>
    </cfRule>
  </conditionalFormatting>
  <conditionalFormatting sqref="H107:H118">
    <cfRule type="cellIs" dxfId="0" priority="9" operator="greaterThan">
      <formula>1</formula>
    </cfRule>
  </conditionalFormatting>
  <conditionalFormatting sqref="H107:H118">
    <cfRule type="cellIs" dxfId="1" priority="10" operator="lessThan">
      <formula>1</formula>
    </cfRule>
  </conditionalFormatting>
  <conditionalFormatting sqref="H117:H136 H139:H141 H143:H145">
    <cfRule type="cellIs" dxfId="0" priority="11" operator="lessThan">
      <formula>1</formula>
    </cfRule>
  </conditionalFormatting>
  <conditionalFormatting sqref="H117:H136 H139:H141 H143:H145">
    <cfRule type="cellIs" dxfId="1" priority="12" operator="greaterThan">
      <formula>1</formula>
    </cfRule>
  </conditionalFormatting>
  <conditionalFormatting sqref="L44 M44:V46">
    <cfRule type="cellIs" dxfId="0" priority="13" operator="greaterThan">
      <formula>0</formula>
    </cfRule>
  </conditionalFormatting>
  <conditionalFormatting sqref="L44 M44:V46">
    <cfRule type="cellIs" dxfId="1" priority="14" operator="lessThan">
      <formula>0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5"/>
    <col customWidth="1" min="3" max="4" width="15.63"/>
    <col customWidth="1" min="5" max="5" width="23.0"/>
    <col customWidth="1" min="6" max="6" width="23.5"/>
    <col customWidth="1" min="7" max="8" width="15.63"/>
    <col customWidth="1" min="11" max="11" width="28.88"/>
    <col customWidth="1" min="12" max="12" width="16.38"/>
    <col customWidth="1" min="13" max="22" width="16.25"/>
    <col customWidth="1" min="24" max="24" width="17.13"/>
    <col customWidth="1" min="26" max="28" width="17.88"/>
    <col customWidth="1" min="30" max="34" width="17.88"/>
  </cols>
  <sheetData>
    <row r="1">
      <c r="A1" s="139"/>
      <c r="B1" s="2" t="s">
        <v>0</v>
      </c>
      <c r="C1" s="3">
        <v>30.0</v>
      </c>
      <c r="D1" s="2"/>
      <c r="E1" s="2"/>
      <c r="F1" s="2" t="s">
        <v>1</v>
      </c>
      <c r="G1" s="3">
        <v>30.0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</row>
    <row r="2">
      <c r="A2" s="2" t="s">
        <v>2</v>
      </c>
      <c r="B2" s="6">
        <v>45929.0</v>
      </c>
      <c r="C2" s="2"/>
      <c r="D2" s="2"/>
      <c r="E2" s="2"/>
      <c r="F2" s="2"/>
      <c r="G2" s="2"/>
      <c r="H2" s="2"/>
      <c r="I2" s="2"/>
      <c r="J2" s="2"/>
      <c r="K2" s="2"/>
      <c r="L2" s="2"/>
      <c r="M2" s="7" t="s">
        <v>3</v>
      </c>
      <c r="O2" s="8" t="s">
        <v>4</v>
      </c>
      <c r="Q2" s="9" t="s">
        <v>5</v>
      </c>
      <c r="S2" s="10" t="s">
        <v>6</v>
      </c>
      <c r="U2" s="131" t="s">
        <v>7</v>
      </c>
      <c r="W2" s="5"/>
      <c r="X2" s="5"/>
      <c r="Y2" s="5"/>
      <c r="Z2" s="14" t="s">
        <v>10</v>
      </c>
      <c r="AA2" s="15" t="s">
        <v>11</v>
      </c>
      <c r="AB2" s="14" t="s">
        <v>12</v>
      </c>
      <c r="AC2" s="5"/>
      <c r="AD2" s="14" t="s">
        <v>13</v>
      </c>
      <c r="AE2" s="14" t="s">
        <v>14</v>
      </c>
      <c r="AF2" s="14" t="s">
        <v>15</v>
      </c>
      <c r="AG2" s="14" t="s">
        <v>16</v>
      </c>
      <c r="AH2" s="14" t="s">
        <v>17</v>
      </c>
      <c r="AI2" s="5"/>
    </row>
    <row r="3">
      <c r="A3" s="2"/>
      <c r="B3" s="16" t="s">
        <v>18</v>
      </c>
      <c r="C3" s="17"/>
      <c r="D3" s="17"/>
      <c r="E3" s="17"/>
      <c r="F3" s="17"/>
      <c r="G3" s="17"/>
      <c r="H3" s="18"/>
      <c r="I3" s="2"/>
      <c r="J3" s="2"/>
      <c r="K3" s="2"/>
      <c r="L3" s="2"/>
      <c r="M3" s="19" t="s">
        <v>19</v>
      </c>
      <c r="N3" s="19" t="s">
        <v>20</v>
      </c>
      <c r="O3" s="19" t="s">
        <v>19</v>
      </c>
      <c r="P3" s="19" t="s">
        <v>20</v>
      </c>
      <c r="Q3" s="19" t="s">
        <v>19</v>
      </c>
      <c r="R3" s="19" t="s">
        <v>20</v>
      </c>
      <c r="S3" s="19" t="s">
        <v>19</v>
      </c>
      <c r="T3" s="19" t="s">
        <v>20</v>
      </c>
      <c r="U3" s="19" t="s">
        <v>19</v>
      </c>
      <c r="V3" s="19" t="s">
        <v>20</v>
      </c>
      <c r="W3" s="5"/>
      <c r="X3" s="21" t="s">
        <v>24</v>
      </c>
      <c r="Y3" s="22" t="s">
        <v>19</v>
      </c>
      <c r="Z3" s="23">
        <f>D36</f>
        <v>27392229</v>
      </c>
      <c r="AA3" s="24"/>
      <c r="AB3" s="25">
        <f t="shared" ref="AB3:AB12" si="1">Z3-AA3</f>
        <v>27392229</v>
      </c>
      <c r="AC3" s="24"/>
      <c r="AD3" s="23">
        <f>O35</f>
        <v>35109564</v>
      </c>
      <c r="AE3" s="24"/>
      <c r="AF3" s="23">
        <f>10057+213275</f>
        <v>223332</v>
      </c>
      <c r="AG3" s="24"/>
      <c r="AH3" s="23">
        <f t="shared" ref="AH3:AH12" si="2">AD3-SUM(AE3:AG3)</f>
        <v>34886232</v>
      </c>
      <c r="AI3" s="5"/>
    </row>
    <row r="4">
      <c r="A4" s="2"/>
      <c r="B4" s="26" t="s">
        <v>140</v>
      </c>
      <c r="C4" s="17"/>
      <c r="D4" s="27">
        <v>45930.0</v>
      </c>
      <c r="E4" s="2"/>
      <c r="F4" s="26" t="s">
        <v>141</v>
      </c>
      <c r="G4" s="17"/>
      <c r="H4" s="28">
        <f>$D$4</f>
        <v>45930</v>
      </c>
      <c r="I4" s="2"/>
      <c r="J4" s="47"/>
      <c r="K4" s="29">
        <v>45901.0</v>
      </c>
      <c r="L4" s="30">
        <f t="shared" ref="L4:L33" si="3">SUM(M4:V4)</f>
        <v>6563062</v>
      </c>
      <c r="M4" s="31">
        <v>728043.0</v>
      </c>
      <c r="N4" s="31">
        <v>1426670.0</v>
      </c>
      <c r="O4" s="32">
        <v>940422.0</v>
      </c>
      <c r="P4" s="32">
        <v>3339116.0</v>
      </c>
      <c r="Q4" s="32">
        <v>25931.0</v>
      </c>
      <c r="R4" s="32">
        <v>95331.0</v>
      </c>
      <c r="S4" s="32">
        <v>0.0</v>
      </c>
      <c r="T4" s="32">
        <v>3548.0</v>
      </c>
      <c r="U4" s="124"/>
      <c r="V4" s="31">
        <v>4001.0</v>
      </c>
      <c r="W4" s="5"/>
      <c r="Y4" s="22" t="s">
        <v>27</v>
      </c>
      <c r="Z4" s="23">
        <f>H36</f>
        <v>96372340</v>
      </c>
      <c r="AA4" s="24"/>
      <c r="AB4" s="25">
        <f t="shared" si="1"/>
        <v>96372340</v>
      </c>
      <c r="AC4" s="24"/>
      <c r="AD4" s="23">
        <f>P35</f>
        <v>109216574</v>
      </c>
      <c r="AE4" s="24"/>
      <c r="AF4" s="23">
        <f>18767+929936</f>
        <v>948703</v>
      </c>
      <c r="AG4" s="24"/>
      <c r="AH4" s="23">
        <f t="shared" si="2"/>
        <v>108267871</v>
      </c>
      <c r="AI4" s="5"/>
    </row>
    <row r="5">
      <c r="A5" s="35">
        <f t="shared" ref="A5:A11" si="4">IFERROR(C5/$C$12, " ")</f>
        <v>0.8003389351</v>
      </c>
      <c r="B5" s="36" t="s">
        <v>28</v>
      </c>
      <c r="C5" s="37">
        <v>4642382.0</v>
      </c>
      <c r="D5" s="38"/>
      <c r="E5" s="2"/>
      <c r="F5" s="36" t="s">
        <v>28</v>
      </c>
      <c r="G5" s="140">
        <v>4941772.0</v>
      </c>
      <c r="H5" s="108"/>
      <c r="I5" s="35">
        <f t="shared" ref="I5:I7" si="5">IFERROR(G5/$G$12, " ")</f>
        <v>0.8160388256</v>
      </c>
      <c r="J5" s="47"/>
      <c r="K5" s="29">
        <v>45902.0</v>
      </c>
      <c r="L5" s="30">
        <f t="shared" si="3"/>
        <v>6801626</v>
      </c>
      <c r="M5" s="32">
        <v>684001.0</v>
      </c>
      <c r="N5" s="32">
        <v>1540038.0</v>
      </c>
      <c r="O5" s="32">
        <v>833142.0</v>
      </c>
      <c r="P5" s="32">
        <v>3466601.0</v>
      </c>
      <c r="Q5" s="32">
        <v>42397.0</v>
      </c>
      <c r="R5" s="32">
        <v>230217.0</v>
      </c>
      <c r="S5" s="32">
        <v>549.0</v>
      </c>
      <c r="T5" s="32">
        <v>2873.0</v>
      </c>
      <c r="U5" s="124"/>
      <c r="V5" s="31">
        <v>1808.0</v>
      </c>
      <c r="W5" s="5"/>
      <c r="X5" s="21" t="s">
        <v>18</v>
      </c>
      <c r="Y5" s="22" t="s">
        <v>19</v>
      </c>
      <c r="Z5" s="23">
        <f>D18</f>
        <v>17426925</v>
      </c>
      <c r="AA5" s="24"/>
      <c r="AB5" s="25">
        <f t="shared" si="1"/>
        <v>17426925</v>
      </c>
      <c r="AC5" s="24"/>
      <c r="AD5" s="23">
        <f>M35</f>
        <v>26956516</v>
      </c>
      <c r="AE5" s="23">
        <f>AD5/31695*(1842+60)</f>
        <v>1617646.109</v>
      </c>
      <c r="AF5" s="23">
        <f>2829+305048</f>
        <v>307877</v>
      </c>
      <c r="AG5" s="24"/>
      <c r="AH5" s="23">
        <f t="shared" si="2"/>
        <v>25030992.89</v>
      </c>
      <c r="AI5" s="5"/>
    </row>
    <row r="6">
      <c r="A6" s="35">
        <f t="shared" si="4"/>
        <v>0.1811097971</v>
      </c>
      <c r="B6" s="39" t="s">
        <v>29</v>
      </c>
      <c r="C6" s="32">
        <v>1050531.0</v>
      </c>
      <c r="D6" s="40"/>
      <c r="E6" s="2"/>
      <c r="F6" s="39" t="s">
        <v>29</v>
      </c>
      <c r="G6" s="65">
        <v>646003.0</v>
      </c>
      <c r="H6" s="132"/>
      <c r="I6" s="35">
        <f t="shared" si="5"/>
        <v>0.1066750003</v>
      </c>
      <c r="J6" s="47"/>
      <c r="K6" s="29">
        <v>45903.0</v>
      </c>
      <c r="L6" s="30">
        <f t="shared" si="3"/>
        <v>6940487</v>
      </c>
      <c r="M6" s="32">
        <v>762529.0</v>
      </c>
      <c r="N6" s="31">
        <v>1755835.0</v>
      </c>
      <c r="O6" s="32">
        <v>926666.0</v>
      </c>
      <c r="P6" s="32">
        <v>3292950.0</v>
      </c>
      <c r="Q6" s="32">
        <v>40072.0</v>
      </c>
      <c r="R6" s="32">
        <v>138567.0</v>
      </c>
      <c r="S6" s="32">
        <v>0.0</v>
      </c>
      <c r="T6" s="32">
        <v>5224.0</v>
      </c>
      <c r="U6" s="124"/>
      <c r="V6" s="31">
        <v>18644.0</v>
      </c>
      <c r="W6" s="5"/>
      <c r="Y6" s="22" t="s">
        <v>27</v>
      </c>
      <c r="Z6" s="23">
        <f>H18</f>
        <v>44123381.9</v>
      </c>
      <c r="AA6" s="24"/>
      <c r="AB6" s="25">
        <f t="shared" si="1"/>
        <v>44123381.9</v>
      </c>
      <c r="AC6" s="24"/>
      <c r="AD6" s="23">
        <f>N35</f>
        <v>54265632</v>
      </c>
      <c r="AE6" s="23">
        <f>AD6/62732*(92+3416)</f>
        <v>3034557.117</v>
      </c>
      <c r="AF6" s="23">
        <f>6645+710420</f>
        <v>717065</v>
      </c>
      <c r="AG6" s="23"/>
      <c r="AH6" s="23">
        <f t="shared" si="2"/>
        <v>50514009.88</v>
      </c>
      <c r="AI6" s="5"/>
    </row>
    <row r="7">
      <c r="A7" s="35">
        <f t="shared" si="4"/>
        <v>0</v>
      </c>
      <c r="B7" s="41" t="s">
        <v>30</v>
      </c>
      <c r="C7" s="32">
        <v>0.0</v>
      </c>
      <c r="D7" s="40"/>
      <c r="E7" s="2"/>
      <c r="F7" s="41" t="s">
        <v>30</v>
      </c>
      <c r="G7" s="33">
        <v>278277.0</v>
      </c>
      <c r="H7" s="40"/>
      <c r="I7" s="35">
        <f t="shared" si="5"/>
        <v>0.04595210711</v>
      </c>
      <c r="J7" s="47"/>
      <c r="K7" s="29">
        <v>45904.0</v>
      </c>
      <c r="L7" s="30">
        <f t="shared" si="3"/>
        <v>10500871</v>
      </c>
      <c r="M7" s="32">
        <v>731314.0</v>
      </c>
      <c r="N7" s="32">
        <v>1599136.0</v>
      </c>
      <c r="O7" s="32">
        <v>959873.0</v>
      </c>
      <c r="P7" s="32">
        <v>7046836.0</v>
      </c>
      <c r="Q7" s="32">
        <v>32084.0</v>
      </c>
      <c r="R7" s="32">
        <v>102641.0</v>
      </c>
      <c r="S7" s="32">
        <v>0.0</v>
      </c>
      <c r="T7" s="32">
        <v>3158.0</v>
      </c>
      <c r="U7" s="124"/>
      <c r="V7" s="31">
        <v>25829.0</v>
      </c>
      <c r="W7" s="5"/>
      <c r="X7" s="21" t="s">
        <v>31</v>
      </c>
      <c r="Y7" s="22" t="s">
        <v>19</v>
      </c>
      <c r="Z7" s="23">
        <f>D75</f>
        <v>906670</v>
      </c>
      <c r="AA7" s="24"/>
      <c r="AB7" s="25">
        <f t="shared" si="1"/>
        <v>906670</v>
      </c>
      <c r="AC7" s="24"/>
      <c r="AD7" s="23">
        <f>Q35</f>
        <v>811287</v>
      </c>
      <c r="AE7" s="23">
        <f>SUM(AE5:AF6)</f>
        <v>5677145.226</v>
      </c>
      <c r="AF7" s="23">
        <f>24315</f>
        <v>24315</v>
      </c>
      <c r="AG7" s="24"/>
      <c r="AH7" s="23">
        <f t="shared" si="2"/>
        <v>-4890173.226</v>
      </c>
      <c r="AI7" s="5"/>
    </row>
    <row r="8">
      <c r="A8" s="35">
        <f t="shared" si="4"/>
        <v>0.0003596229304</v>
      </c>
      <c r="B8" s="41" t="s">
        <v>65</v>
      </c>
      <c r="C8" s="32">
        <v>2086.0</v>
      </c>
      <c r="D8" s="42"/>
      <c r="E8" s="2"/>
      <c r="F8" s="41" t="s">
        <v>65</v>
      </c>
      <c r="G8" s="32">
        <v>12466.0</v>
      </c>
      <c r="H8" s="132"/>
      <c r="I8" s="35"/>
      <c r="J8" s="47"/>
      <c r="K8" s="29">
        <v>45905.0</v>
      </c>
      <c r="L8" s="30">
        <f t="shared" si="3"/>
        <v>8351199</v>
      </c>
      <c r="M8" s="32">
        <v>681208.0</v>
      </c>
      <c r="N8" s="32">
        <v>1506709.0</v>
      </c>
      <c r="O8" s="32">
        <v>1155125.0</v>
      </c>
      <c r="P8" s="32">
        <v>4855410.0</v>
      </c>
      <c r="Q8" s="32">
        <v>21420.0</v>
      </c>
      <c r="R8" s="32">
        <v>104286.0</v>
      </c>
      <c r="S8" s="32">
        <v>0.0</v>
      </c>
      <c r="T8" s="32">
        <v>2997.0</v>
      </c>
      <c r="U8" s="124"/>
      <c r="V8" s="31">
        <v>24044.0</v>
      </c>
      <c r="W8" s="5"/>
      <c r="Y8" s="22" t="s">
        <v>27</v>
      </c>
      <c r="Z8" s="23">
        <f>H75</f>
        <v>2797907</v>
      </c>
      <c r="AA8" s="24"/>
      <c r="AB8" s="25">
        <f t="shared" si="1"/>
        <v>2797907</v>
      </c>
      <c r="AC8" s="24"/>
      <c r="AD8" s="23">
        <f>R35</f>
        <v>3339067</v>
      </c>
      <c r="AE8" s="23"/>
      <c r="AF8" s="23">
        <f>2188+151901</f>
        <v>154089</v>
      </c>
      <c r="AG8" s="24"/>
      <c r="AH8" s="23">
        <f t="shared" si="2"/>
        <v>3184978</v>
      </c>
      <c r="AI8" s="5"/>
    </row>
    <row r="9">
      <c r="A9" s="35">
        <f t="shared" si="4"/>
        <v>0.01000272389</v>
      </c>
      <c r="B9" s="41" t="s">
        <v>33</v>
      </c>
      <c r="C9" s="32">
        <v>58021.0</v>
      </c>
      <c r="D9" s="40"/>
      <c r="E9" s="2"/>
      <c r="F9" s="41" t="s">
        <v>33</v>
      </c>
      <c r="G9" s="32">
        <v>120887.0</v>
      </c>
      <c r="H9" s="132"/>
      <c r="I9" s="35">
        <f t="shared" ref="I9:I11" si="6">IFERROR(G9/$G$12, " ")</f>
        <v>0.01996216853</v>
      </c>
      <c r="J9" s="47"/>
      <c r="K9" s="29">
        <v>45906.0</v>
      </c>
      <c r="L9" s="30">
        <f t="shared" si="3"/>
        <v>7241139</v>
      </c>
      <c r="M9" s="31">
        <v>687077.0</v>
      </c>
      <c r="N9" s="31">
        <v>1473172.0</v>
      </c>
      <c r="O9" s="31">
        <v>1066958.0</v>
      </c>
      <c r="P9" s="32">
        <v>3858721.0</v>
      </c>
      <c r="Q9" s="31">
        <v>21310.0</v>
      </c>
      <c r="R9" s="31">
        <v>96727.0</v>
      </c>
      <c r="S9" s="31">
        <v>0.0</v>
      </c>
      <c r="T9" s="31">
        <v>7309.0</v>
      </c>
      <c r="U9" s="124"/>
      <c r="V9" s="31">
        <v>29865.0</v>
      </c>
      <c r="W9" s="5"/>
      <c r="X9" s="44" t="s">
        <v>34</v>
      </c>
      <c r="Y9" s="22" t="s">
        <v>19</v>
      </c>
      <c r="Z9" s="45">
        <f>S42</f>
        <v>13732</v>
      </c>
      <c r="AA9" s="46"/>
      <c r="AB9" s="25">
        <f t="shared" si="1"/>
        <v>13732</v>
      </c>
      <c r="AC9" s="46"/>
      <c r="AD9" s="23">
        <f>S35</f>
        <v>101466</v>
      </c>
      <c r="AE9" s="23"/>
      <c r="AF9" s="23">
        <f>0</f>
        <v>0</v>
      </c>
      <c r="AG9" s="24"/>
      <c r="AH9" s="23">
        <f t="shared" si="2"/>
        <v>101466</v>
      </c>
      <c r="AI9" s="5"/>
    </row>
    <row r="10">
      <c r="A10" s="35">
        <f t="shared" si="4"/>
        <v>0</v>
      </c>
      <c r="B10" s="41" t="s">
        <v>35</v>
      </c>
      <c r="C10" s="31">
        <v>0.0</v>
      </c>
      <c r="D10" s="40"/>
      <c r="E10" s="2"/>
      <c r="F10" s="41" t="s">
        <v>35</v>
      </c>
      <c r="G10" s="58"/>
      <c r="H10" s="40"/>
      <c r="I10" s="35">
        <f t="shared" si="6"/>
        <v>0</v>
      </c>
      <c r="J10" s="47"/>
      <c r="K10" s="29">
        <v>45907.0</v>
      </c>
      <c r="L10" s="30">
        <f t="shared" si="3"/>
        <v>9077375</v>
      </c>
      <c r="M10" s="31">
        <v>724195.0</v>
      </c>
      <c r="N10" s="31">
        <v>1584306.0</v>
      </c>
      <c r="O10" s="31">
        <v>1290838.0</v>
      </c>
      <c r="P10" s="32">
        <v>5290235.0</v>
      </c>
      <c r="Q10" s="31">
        <v>27391.0</v>
      </c>
      <c r="R10" s="31">
        <v>117609.0</v>
      </c>
      <c r="S10" s="31">
        <v>454.0</v>
      </c>
      <c r="T10" s="31">
        <v>7001.0</v>
      </c>
      <c r="U10" s="34"/>
      <c r="V10" s="31">
        <v>35346.0</v>
      </c>
      <c r="W10" s="5"/>
      <c r="Y10" s="22" t="s">
        <v>27</v>
      </c>
      <c r="Z10" s="45">
        <f>T42</f>
        <v>304226</v>
      </c>
      <c r="AA10" s="46"/>
      <c r="AB10" s="25">
        <f t="shared" si="1"/>
        <v>304226</v>
      </c>
      <c r="AC10" s="46"/>
      <c r="AD10" s="23">
        <f>T35</f>
        <v>364665</v>
      </c>
      <c r="AE10" s="23"/>
      <c r="AF10" s="23">
        <f>50101</f>
        <v>50101</v>
      </c>
      <c r="AG10" s="24"/>
      <c r="AH10" s="23">
        <f t="shared" si="2"/>
        <v>314564</v>
      </c>
      <c r="AI10" s="5"/>
    </row>
    <row r="11">
      <c r="A11" s="35">
        <f t="shared" si="4"/>
        <v>0.008188920993</v>
      </c>
      <c r="B11" s="41" t="s">
        <v>142</v>
      </c>
      <c r="C11" s="32">
        <v>47500.0</v>
      </c>
      <c r="D11" s="42"/>
      <c r="E11" s="2"/>
      <c r="F11" s="41" t="s">
        <v>142</v>
      </c>
      <c r="G11" s="32">
        <v>56400.0</v>
      </c>
      <c r="H11" s="132"/>
      <c r="I11" s="35">
        <f t="shared" si="6"/>
        <v>0.009313377825</v>
      </c>
      <c r="J11" s="47"/>
      <c r="K11" s="29">
        <v>45908.0</v>
      </c>
      <c r="L11" s="30">
        <f t="shared" si="3"/>
        <v>7386748</v>
      </c>
      <c r="M11" s="31">
        <v>776087.0</v>
      </c>
      <c r="N11" s="31">
        <v>1571351.0</v>
      </c>
      <c r="O11" s="31">
        <v>1261441.0</v>
      </c>
      <c r="P11" s="32">
        <v>3601973.0</v>
      </c>
      <c r="Q11" s="31">
        <v>26877.0</v>
      </c>
      <c r="R11" s="31">
        <v>112993.0</v>
      </c>
      <c r="S11" s="31">
        <v>1329.0</v>
      </c>
      <c r="T11" s="31">
        <v>7992.0</v>
      </c>
      <c r="U11" s="124"/>
      <c r="V11" s="31">
        <v>26705.0</v>
      </c>
      <c r="W11" s="5"/>
      <c r="X11" s="44" t="s">
        <v>37</v>
      </c>
      <c r="Y11" s="22" t="s">
        <v>19</v>
      </c>
      <c r="Z11" s="45">
        <f>U42</f>
        <v>0</v>
      </c>
      <c r="AA11" s="46"/>
      <c r="AB11" s="25">
        <f t="shared" si="1"/>
        <v>0</v>
      </c>
      <c r="AC11" s="46"/>
      <c r="AD11" s="23">
        <f>U35</f>
        <v>0</v>
      </c>
      <c r="AE11" s="23"/>
      <c r="AF11" s="23">
        <f>0</f>
        <v>0</v>
      </c>
      <c r="AG11" s="24"/>
      <c r="AH11" s="23">
        <f t="shared" si="2"/>
        <v>0</v>
      </c>
      <c r="AI11" s="5"/>
    </row>
    <row r="12">
      <c r="A12" s="2"/>
      <c r="B12" s="41" t="s">
        <v>42</v>
      </c>
      <c r="C12" s="30">
        <f>SUM(C5:C11)</f>
        <v>5800520</v>
      </c>
      <c r="D12" s="40"/>
      <c r="E12" s="2"/>
      <c r="F12" s="41" t="s">
        <v>42</v>
      </c>
      <c r="G12" s="30">
        <f>SUM(G5:G11)</f>
        <v>6055805</v>
      </c>
      <c r="H12" s="40"/>
      <c r="I12" s="2"/>
      <c r="J12" s="47"/>
      <c r="K12" s="29">
        <v>45909.0</v>
      </c>
      <c r="L12" s="30">
        <f t="shared" si="3"/>
        <v>6484670</v>
      </c>
      <c r="M12" s="31">
        <v>751805.0</v>
      </c>
      <c r="N12" s="31">
        <v>1552011.0</v>
      </c>
      <c r="O12" s="31">
        <v>1057011.0</v>
      </c>
      <c r="P12" s="32">
        <v>2956363.0</v>
      </c>
      <c r="Q12" s="31">
        <v>22700.0</v>
      </c>
      <c r="R12" s="31">
        <v>112278.0</v>
      </c>
      <c r="S12" s="31">
        <v>503.0</v>
      </c>
      <c r="T12" s="31">
        <v>10663.0</v>
      </c>
      <c r="U12" s="124"/>
      <c r="V12" s="31">
        <v>21336.0</v>
      </c>
      <c r="W12" s="5"/>
      <c r="Y12" s="22" t="s">
        <v>27</v>
      </c>
      <c r="Z12" s="45">
        <f>V42</f>
        <v>107914</v>
      </c>
      <c r="AA12" s="46"/>
      <c r="AB12" s="25">
        <f t="shared" si="1"/>
        <v>107914</v>
      </c>
      <c r="AC12" s="46"/>
      <c r="AD12" s="23">
        <f>V35</f>
        <v>996378</v>
      </c>
      <c r="AE12" s="23"/>
      <c r="AF12" s="23">
        <f>32634+4188</f>
        <v>36822</v>
      </c>
      <c r="AG12" s="24"/>
      <c r="AH12" s="23">
        <f t="shared" si="2"/>
        <v>959556</v>
      </c>
      <c r="AI12" s="5"/>
    </row>
    <row r="13">
      <c r="A13" s="2"/>
      <c r="B13" s="41" t="s">
        <v>43</v>
      </c>
      <c r="C13" s="2"/>
      <c r="D13" s="54">
        <f>M35</f>
        <v>26956516</v>
      </c>
      <c r="E13" s="58">
        <f>D23</f>
        <v>26956516</v>
      </c>
      <c r="F13" s="41" t="s">
        <v>43</v>
      </c>
      <c r="G13" s="2"/>
      <c r="H13" s="54">
        <f>N35</f>
        <v>54265632</v>
      </c>
      <c r="I13" s="2"/>
      <c r="J13" s="47"/>
      <c r="K13" s="29">
        <v>45910.0</v>
      </c>
      <c r="L13" s="30">
        <f t="shared" si="3"/>
        <v>7810741</v>
      </c>
      <c r="M13" s="31">
        <v>980943.0</v>
      </c>
      <c r="N13" s="31">
        <v>1845169.0</v>
      </c>
      <c r="O13" s="31">
        <v>1262570.0</v>
      </c>
      <c r="P13" s="32">
        <v>3534592.0</v>
      </c>
      <c r="Q13" s="31">
        <v>31529.0</v>
      </c>
      <c r="R13" s="31">
        <v>117169.0</v>
      </c>
      <c r="S13" s="31">
        <v>2880.0</v>
      </c>
      <c r="T13" s="31">
        <v>15703.0</v>
      </c>
      <c r="U13" s="124"/>
      <c r="V13" s="43">
        <v>20186.0</v>
      </c>
      <c r="W13" s="5"/>
      <c r="X13" s="46"/>
      <c r="Y13" s="51" t="s">
        <v>40</v>
      </c>
      <c r="Z13" s="52">
        <f t="shared" ref="Z13:AB13" si="7">SUM(Z3:Z12)</f>
        <v>189445324.9</v>
      </c>
      <c r="AA13" s="52">
        <f t="shared" si="7"/>
        <v>0</v>
      </c>
      <c r="AB13" s="52">
        <f t="shared" si="7"/>
        <v>189445324.9</v>
      </c>
      <c r="AC13" s="5"/>
      <c r="AD13" s="52">
        <f t="shared" ref="AD13:AH13" si="8">SUM(AD3:AD12)</f>
        <v>231161149</v>
      </c>
      <c r="AE13" s="52">
        <f t="shared" si="8"/>
        <v>10329348.45</v>
      </c>
      <c r="AF13" s="52">
        <f t="shared" si="8"/>
        <v>2462304</v>
      </c>
      <c r="AG13" s="52">
        <f t="shared" si="8"/>
        <v>0</v>
      </c>
      <c r="AH13" s="52">
        <f t="shared" si="8"/>
        <v>218369496.5</v>
      </c>
      <c r="AI13" s="5"/>
    </row>
    <row r="14">
      <c r="A14" s="2"/>
      <c r="B14" s="41" t="s">
        <v>44</v>
      </c>
      <c r="C14" s="56"/>
      <c r="D14" s="57">
        <f>C12/D13</f>
        <v>0.2151806265</v>
      </c>
      <c r="E14" s="58">
        <f>E13*C15</f>
        <v>5121738.04</v>
      </c>
      <c r="F14" s="41" t="s">
        <v>44</v>
      </c>
      <c r="G14" s="56"/>
      <c r="H14" s="57">
        <f>G12/H13</f>
        <v>0.111595586</v>
      </c>
      <c r="I14" s="2"/>
      <c r="J14" s="47"/>
      <c r="K14" s="29">
        <v>45911.0</v>
      </c>
      <c r="L14" s="30">
        <f t="shared" si="3"/>
        <v>7985262.1</v>
      </c>
      <c r="M14" s="31">
        <v>898198.0</v>
      </c>
      <c r="N14" s="31">
        <v>2380531.1</v>
      </c>
      <c r="O14" s="31">
        <v>1262570.0</v>
      </c>
      <c r="P14" s="32">
        <v>3307505.0</v>
      </c>
      <c r="Q14" s="31">
        <v>25248.0</v>
      </c>
      <c r="R14" s="31">
        <v>76710.0</v>
      </c>
      <c r="S14" s="31">
        <v>4852.0</v>
      </c>
      <c r="T14" s="31">
        <v>10122.0</v>
      </c>
      <c r="U14" s="124"/>
      <c r="V14" s="31">
        <v>19526.0</v>
      </c>
      <c r="W14" s="5"/>
      <c r="X14" s="46"/>
      <c r="Y14" s="46"/>
      <c r="Z14" s="46"/>
      <c r="AA14" s="46"/>
      <c r="AB14" s="46"/>
      <c r="AC14" s="46"/>
      <c r="AD14" s="46"/>
      <c r="AE14" s="46"/>
      <c r="AF14" s="82">
        <f>AF13/AD13</f>
        <v>0.01065189376</v>
      </c>
      <c r="AG14" s="46"/>
      <c r="AH14" s="46"/>
      <c r="AI14" s="5"/>
    </row>
    <row r="15">
      <c r="A15" s="35">
        <f>D14/C15</f>
        <v>1.132529613</v>
      </c>
      <c r="B15" s="41" t="s">
        <v>47</v>
      </c>
      <c r="C15" s="35">
        <v>0.19</v>
      </c>
      <c r="D15" s="54">
        <f>D13*C15</f>
        <v>5121738.04</v>
      </c>
      <c r="E15" s="58">
        <f>E14-C12</f>
        <v>-678781.96</v>
      </c>
      <c r="F15" s="41" t="s">
        <v>47</v>
      </c>
      <c r="G15" s="35">
        <v>0.11</v>
      </c>
      <c r="H15" s="54">
        <f>H13*G15</f>
        <v>5969219.52</v>
      </c>
      <c r="I15" s="35">
        <f>H14/G15</f>
        <v>1.014505327</v>
      </c>
      <c r="J15" s="47"/>
      <c r="K15" s="29">
        <v>45912.0</v>
      </c>
      <c r="L15" s="30">
        <f t="shared" si="3"/>
        <v>7679384</v>
      </c>
      <c r="M15" s="31">
        <v>888237.0</v>
      </c>
      <c r="N15" s="31">
        <v>1716809.0</v>
      </c>
      <c r="O15" s="31">
        <v>1125032.0</v>
      </c>
      <c r="P15" s="31">
        <v>3782376.0</v>
      </c>
      <c r="Q15" s="31">
        <v>24119.0</v>
      </c>
      <c r="R15" s="31">
        <v>113355.0</v>
      </c>
      <c r="S15" s="31">
        <v>4944.0</v>
      </c>
      <c r="T15" s="31">
        <v>7512.0</v>
      </c>
      <c r="U15" s="124"/>
      <c r="V15" s="31">
        <v>17000.0</v>
      </c>
      <c r="W15" s="5"/>
      <c r="X15" s="5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5"/>
    </row>
    <row r="16">
      <c r="A16" s="2"/>
      <c r="B16" s="60" t="s">
        <v>49</v>
      </c>
      <c r="C16" s="61"/>
      <c r="D16" s="62">
        <f>C12-D15</f>
        <v>678781.96</v>
      </c>
      <c r="E16" s="58" t="str">
        <f>E15/(G1-C1)</f>
        <v>#DIV/0!</v>
      </c>
      <c r="F16" s="77" t="s">
        <v>50</v>
      </c>
      <c r="G16" s="61"/>
      <c r="H16" s="62">
        <f>G12-H15</f>
        <v>86585.48</v>
      </c>
      <c r="I16" s="2"/>
      <c r="J16" s="47"/>
      <c r="K16" s="29">
        <v>45913.0</v>
      </c>
      <c r="L16" s="30">
        <f t="shared" si="3"/>
        <v>7368479</v>
      </c>
      <c r="M16" s="31">
        <v>869019.0</v>
      </c>
      <c r="N16" s="31">
        <v>1652779.0</v>
      </c>
      <c r="O16" s="31">
        <v>1219633.0</v>
      </c>
      <c r="P16" s="31">
        <v>3477362.0</v>
      </c>
      <c r="Q16" s="31">
        <v>23030.0</v>
      </c>
      <c r="R16" s="31">
        <v>93278.0</v>
      </c>
      <c r="S16" s="31">
        <v>3645.0</v>
      </c>
      <c r="T16" s="31">
        <v>12564.0</v>
      </c>
      <c r="U16" s="124"/>
      <c r="V16" s="31">
        <v>17169.0</v>
      </c>
      <c r="W16" s="5"/>
      <c r="X16" s="5"/>
      <c r="Y16" s="5"/>
      <c r="Z16" s="5"/>
      <c r="AA16" s="5"/>
      <c r="AB16" s="5"/>
      <c r="AC16" s="55"/>
      <c r="AD16" s="55"/>
      <c r="AE16" s="5"/>
      <c r="AF16" s="5"/>
      <c r="AG16" s="5"/>
      <c r="AH16" s="5"/>
      <c r="AI16" s="5"/>
    </row>
    <row r="17">
      <c r="A17" s="2"/>
      <c r="B17" s="2"/>
      <c r="C17" s="2"/>
      <c r="D17" s="2"/>
      <c r="E17" s="56" t="str">
        <f>E16/D19</f>
        <v>#DIV/0!</v>
      </c>
      <c r="F17" s="2"/>
      <c r="G17" s="2"/>
      <c r="H17" s="2"/>
      <c r="I17" s="2"/>
      <c r="J17" s="47"/>
      <c r="K17" s="29">
        <v>45914.0</v>
      </c>
      <c r="L17" s="30">
        <f t="shared" si="3"/>
        <v>8236803</v>
      </c>
      <c r="M17" s="31">
        <v>975336.0</v>
      </c>
      <c r="N17" s="31">
        <v>1771619.0</v>
      </c>
      <c r="O17" s="31">
        <v>1430716.0</v>
      </c>
      <c r="P17" s="31">
        <v>3889592.0</v>
      </c>
      <c r="Q17" s="31">
        <v>23513.0</v>
      </c>
      <c r="R17" s="31">
        <v>108577.0</v>
      </c>
      <c r="S17" s="31">
        <v>8011.0</v>
      </c>
      <c r="T17" s="31">
        <v>18732.0</v>
      </c>
      <c r="U17" s="124"/>
      <c r="V17" s="31">
        <v>10707.0</v>
      </c>
      <c r="W17" s="5"/>
      <c r="X17" s="5"/>
      <c r="Y17" s="5"/>
      <c r="Z17" s="14" t="s">
        <v>45</v>
      </c>
      <c r="AC17" s="55"/>
      <c r="AD17" s="14" t="s">
        <v>46</v>
      </c>
      <c r="AG17" s="55"/>
      <c r="AH17" s="24"/>
      <c r="AI17" s="5"/>
    </row>
    <row r="18">
      <c r="A18" s="2"/>
      <c r="B18" s="58" t="s">
        <v>51</v>
      </c>
      <c r="C18" s="58"/>
      <c r="D18" s="64">
        <f>M42</f>
        <v>17426925</v>
      </c>
      <c r="E18" s="2"/>
      <c r="F18" s="58" t="s">
        <v>51</v>
      </c>
      <c r="G18" s="58"/>
      <c r="H18" s="64">
        <f>N42</f>
        <v>44123381.9</v>
      </c>
      <c r="I18" s="2"/>
      <c r="J18" s="47"/>
      <c r="K18" s="29">
        <v>45915.0</v>
      </c>
      <c r="L18" s="30">
        <f t="shared" si="3"/>
        <v>9974343.1</v>
      </c>
      <c r="M18" s="31">
        <v>911795.0</v>
      </c>
      <c r="N18" s="31">
        <v>1881307.1</v>
      </c>
      <c r="O18" s="31">
        <v>1561657.0</v>
      </c>
      <c r="P18" s="31">
        <v>5444237.0</v>
      </c>
      <c r="Q18" s="31">
        <v>32576.0</v>
      </c>
      <c r="R18" s="31">
        <v>108255.0</v>
      </c>
      <c r="S18" s="31">
        <v>5519.0</v>
      </c>
      <c r="T18" s="31">
        <v>15362.0</v>
      </c>
      <c r="U18" s="124"/>
      <c r="V18" s="31">
        <v>13635.0</v>
      </c>
      <c r="W18" s="5"/>
      <c r="X18" s="55"/>
      <c r="Y18" s="55"/>
      <c r="Z18" s="14" t="s">
        <v>10</v>
      </c>
      <c r="AA18" s="14" t="s">
        <v>13</v>
      </c>
      <c r="AB18" s="14" t="s">
        <v>48</v>
      </c>
      <c r="AC18" s="5"/>
      <c r="AD18" s="14" t="s">
        <v>12</v>
      </c>
      <c r="AE18" s="14" t="s">
        <v>17</v>
      </c>
      <c r="AF18" s="14" t="s">
        <v>48</v>
      </c>
      <c r="AG18" s="5"/>
      <c r="AH18" s="5"/>
      <c r="AI18" s="5"/>
    </row>
    <row r="19">
      <c r="A19" s="2"/>
      <c r="B19" s="2" t="s">
        <v>52</v>
      </c>
      <c r="C19" s="2"/>
      <c r="D19" s="30">
        <f>D13/$C$1</f>
        <v>898550.5333</v>
      </c>
      <c r="E19" s="56"/>
      <c r="F19" s="2" t="s">
        <v>52</v>
      </c>
      <c r="G19" s="2"/>
      <c r="H19" s="30">
        <f>H13/$C$1</f>
        <v>1808854.4</v>
      </c>
      <c r="I19" s="58"/>
      <c r="J19" s="2"/>
      <c r="K19" s="29">
        <v>45916.0</v>
      </c>
      <c r="L19" s="30">
        <f t="shared" si="3"/>
        <v>9450326.1</v>
      </c>
      <c r="M19" s="31">
        <v>945061.0</v>
      </c>
      <c r="N19" s="31">
        <v>1935580.1</v>
      </c>
      <c r="O19" s="31">
        <v>1248465.0</v>
      </c>
      <c r="P19" s="31">
        <v>5131525.0</v>
      </c>
      <c r="Q19" s="31">
        <v>44259.0</v>
      </c>
      <c r="R19" s="31">
        <v>103837.0</v>
      </c>
      <c r="S19" s="31">
        <v>3835.0</v>
      </c>
      <c r="T19" s="31">
        <v>19747.0</v>
      </c>
      <c r="U19" s="124"/>
      <c r="V19" s="31">
        <v>18017.0</v>
      </c>
      <c r="W19" s="5"/>
      <c r="X19" s="21" t="s">
        <v>24</v>
      </c>
      <c r="Y19" s="22" t="s">
        <v>19</v>
      </c>
      <c r="Z19" s="25">
        <f t="shared" ref="Z19:Z28" si="9">Z3</f>
        <v>27392229</v>
      </c>
      <c r="AA19" s="23">
        <f t="shared" ref="AA19:AA28" si="10">AD3</f>
        <v>35109564</v>
      </c>
      <c r="AB19" s="63">
        <f t="shared" ref="AB19:AB29" si="11">IFERROR(AA19/Z19, " ")</f>
        <v>1.281734466</v>
      </c>
      <c r="AC19" s="5"/>
      <c r="AD19" s="23">
        <f t="shared" ref="AD19:AD28" si="12">AB3</f>
        <v>27392229</v>
      </c>
      <c r="AE19" s="23">
        <f t="shared" ref="AE19:AE28" si="13">AH3</f>
        <v>34886232</v>
      </c>
      <c r="AF19" s="63">
        <f t="shared" ref="AF19:AF29" si="14">IFERROR(AE19/AD19, " ")</f>
        <v>1.27358135</v>
      </c>
      <c r="AG19" s="5"/>
      <c r="AH19" s="5"/>
      <c r="AI19" s="5"/>
    </row>
    <row r="20">
      <c r="A20" s="2"/>
      <c r="B20" s="2" t="s">
        <v>53</v>
      </c>
      <c r="C20" s="2"/>
      <c r="D20" s="30">
        <f>D18/$G$1*$C$1</f>
        <v>17426925</v>
      </c>
      <c r="E20" s="2"/>
      <c r="F20" s="2" t="s">
        <v>53</v>
      </c>
      <c r="G20" s="2"/>
      <c r="H20" s="30">
        <f>H18/$G$1*$C$1</f>
        <v>44123381.9</v>
      </c>
      <c r="I20" s="2"/>
      <c r="J20" s="58"/>
      <c r="K20" s="29">
        <v>45917.0</v>
      </c>
      <c r="L20" s="30">
        <f t="shared" si="3"/>
        <v>7647813.5</v>
      </c>
      <c r="M20" s="31">
        <v>1042528.0</v>
      </c>
      <c r="N20" s="31">
        <v>2088302.5</v>
      </c>
      <c r="O20" s="31">
        <v>1165891.0</v>
      </c>
      <c r="P20" s="31">
        <v>3156114.0</v>
      </c>
      <c r="Q20" s="31">
        <v>39094.0</v>
      </c>
      <c r="R20" s="31">
        <v>118503.0</v>
      </c>
      <c r="S20" s="31">
        <v>3177.0</v>
      </c>
      <c r="T20" s="31">
        <v>15902.0</v>
      </c>
      <c r="U20" s="124"/>
      <c r="V20" s="31">
        <v>18302.0</v>
      </c>
      <c r="W20" s="5"/>
      <c r="Y20" s="22" t="s">
        <v>27</v>
      </c>
      <c r="Z20" s="25">
        <f t="shared" si="9"/>
        <v>96372340</v>
      </c>
      <c r="AA20" s="23">
        <f t="shared" si="10"/>
        <v>109216574</v>
      </c>
      <c r="AB20" s="63">
        <f t="shared" si="11"/>
        <v>1.133277183</v>
      </c>
      <c r="AC20" s="5"/>
      <c r="AD20" s="23">
        <f t="shared" si="12"/>
        <v>96372340</v>
      </c>
      <c r="AE20" s="23">
        <f t="shared" si="13"/>
        <v>108267871</v>
      </c>
      <c r="AF20" s="63">
        <f t="shared" si="14"/>
        <v>1.123433041</v>
      </c>
      <c r="AG20" s="5"/>
      <c r="AH20" s="5"/>
      <c r="AI20" s="5"/>
    </row>
    <row r="21">
      <c r="A21" s="2"/>
      <c r="B21" s="2" t="s">
        <v>54</v>
      </c>
      <c r="C21" s="2"/>
      <c r="D21" s="30" t="str">
        <f>(D18-D13)/($G$1-$C$1)</f>
        <v>#DIV/0!</v>
      </c>
      <c r="E21" s="2"/>
      <c r="F21" s="2" t="s">
        <v>54</v>
      </c>
      <c r="G21" s="2"/>
      <c r="H21" s="30" t="str">
        <f>(H18-H13)/($G$1-$C$1)</f>
        <v>#DIV/0!</v>
      </c>
      <c r="I21" s="2"/>
      <c r="J21" s="58"/>
      <c r="K21" s="29">
        <v>45918.0</v>
      </c>
      <c r="L21" s="30">
        <f t="shared" si="3"/>
        <v>7063610</v>
      </c>
      <c r="M21" s="31">
        <v>877514.0</v>
      </c>
      <c r="N21" s="31">
        <v>2039269.0</v>
      </c>
      <c r="O21" s="31">
        <v>893112.0</v>
      </c>
      <c r="P21" s="31">
        <v>3073810.0</v>
      </c>
      <c r="Q21" s="31">
        <v>26909.0</v>
      </c>
      <c r="R21" s="31">
        <v>87331.0</v>
      </c>
      <c r="S21" s="31">
        <v>5404.0</v>
      </c>
      <c r="T21" s="31">
        <v>23491.0</v>
      </c>
      <c r="U21" s="124"/>
      <c r="V21" s="31">
        <v>36770.0</v>
      </c>
      <c r="W21" s="5"/>
      <c r="X21" s="21" t="s">
        <v>18</v>
      </c>
      <c r="Y21" s="22" t="s">
        <v>19</v>
      </c>
      <c r="Z21" s="25">
        <f t="shared" si="9"/>
        <v>17426925</v>
      </c>
      <c r="AA21" s="23">
        <f t="shared" si="10"/>
        <v>26956516</v>
      </c>
      <c r="AB21" s="63">
        <f t="shared" si="11"/>
        <v>1.546831469</v>
      </c>
      <c r="AC21" s="5"/>
      <c r="AD21" s="23">
        <f t="shared" si="12"/>
        <v>17426925</v>
      </c>
      <c r="AE21" s="23">
        <f t="shared" si="13"/>
        <v>25030992.89</v>
      </c>
      <c r="AF21" s="63">
        <f t="shared" si="14"/>
        <v>1.436340197</v>
      </c>
      <c r="AG21" s="5"/>
      <c r="AH21" s="5"/>
      <c r="AI21" s="5"/>
    </row>
    <row r="22">
      <c r="A22" s="2"/>
      <c r="B22" s="2" t="s">
        <v>55</v>
      </c>
      <c r="C22" s="2"/>
      <c r="D22" s="30">
        <f>D13-D20</f>
        <v>9529591</v>
      </c>
      <c r="E22" s="2"/>
      <c r="F22" s="2" t="s">
        <v>55</v>
      </c>
      <c r="G22" s="2"/>
      <c r="H22" s="30">
        <f>H13-H20</f>
        <v>10142250.1</v>
      </c>
      <c r="I22" s="2"/>
      <c r="J22" s="58"/>
      <c r="K22" s="29">
        <v>45919.0</v>
      </c>
      <c r="L22" s="30">
        <f t="shared" si="3"/>
        <v>6877918</v>
      </c>
      <c r="M22" s="31">
        <v>878778.0</v>
      </c>
      <c r="N22" s="31">
        <v>2132771.0</v>
      </c>
      <c r="O22" s="31">
        <v>895139.0</v>
      </c>
      <c r="P22" s="31">
        <v>2822252.0</v>
      </c>
      <c r="Q22" s="31">
        <v>26250.0</v>
      </c>
      <c r="R22" s="31">
        <v>68945.0</v>
      </c>
      <c r="S22" s="31">
        <v>2171.0</v>
      </c>
      <c r="T22" s="31">
        <v>16359.0</v>
      </c>
      <c r="U22" s="124"/>
      <c r="V22" s="31">
        <v>35253.0</v>
      </c>
      <c r="W22" s="5"/>
      <c r="Y22" s="22" t="s">
        <v>27</v>
      </c>
      <c r="Z22" s="25">
        <f t="shared" si="9"/>
        <v>44123381.9</v>
      </c>
      <c r="AA22" s="23">
        <f t="shared" si="10"/>
        <v>54265632</v>
      </c>
      <c r="AB22" s="63">
        <f t="shared" si="11"/>
        <v>1.229861123</v>
      </c>
      <c r="AC22" s="24"/>
      <c r="AD22" s="23">
        <f t="shared" si="12"/>
        <v>44123381.9</v>
      </c>
      <c r="AE22" s="23">
        <f t="shared" si="13"/>
        <v>50514009.88</v>
      </c>
      <c r="AF22" s="63">
        <f t="shared" si="14"/>
        <v>1.144835407</v>
      </c>
      <c r="AG22" s="24"/>
      <c r="AH22" s="24"/>
      <c r="AI22" s="5"/>
    </row>
    <row r="23">
      <c r="A23" s="2"/>
      <c r="B23" s="2" t="s">
        <v>56</v>
      </c>
      <c r="C23" s="2"/>
      <c r="D23" s="30">
        <f>D13/$C$1*$G$1</f>
        <v>26956516</v>
      </c>
      <c r="E23" s="56"/>
      <c r="F23" s="2" t="s">
        <v>56</v>
      </c>
      <c r="G23" s="2"/>
      <c r="H23" s="30">
        <f>H13/$C$1*$G$1</f>
        <v>54265632</v>
      </c>
      <c r="I23" s="2"/>
      <c r="J23" s="47"/>
      <c r="K23" s="29">
        <v>45920.0</v>
      </c>
      <c r="L23" s="30">
        <f t="shared" si="3"/>
        <v>7476302</v>
      </c>
      <c r="M23" s="31">
        <v>924801.0</v>
      </c>
      <c r="N23" s="31">
        <v>1983974.0</v>
      </c>
      <c r="O23" s="31">
        <v>1011757.0</v>
      </c>
      <c r="P23" s="31">
        <v>3374665.0</v>
      </c>
      <c r="Q23" s="31">
        <v>17399.0</v>
      </c>
      <c r="R23" s="31">
        <v>91026.0</v>
      </c>
      <c r="S23" s="31">
        <v>3224.0</v>
      </c>
      <c r="T23" s="31">
        <v>15175.0</v>
      </c>
      <c r="U23" s="124"/>
      <c r="V23" s="31">
        <v>54281.0</v>
      </c>
      <c r="W23" s="5"/>
      <c r="X23" s="21" t="s">
        <v>31</v>
      </c>
      <c r="Y23" s="22" t="s">
        <v>19</v>
      </c>
      <c r="Z23" s="25">
        <f t="shared" si="9"/>
        <v>906670</v>
      </c>
      <c r="AA23" s="23">
        <f t="shared" si="10"/>
        <v>811287</v>
      </c>
      <c r="AB23" s="63">
        <f t="shared" si="11"/>
        <v>0.8947985485</v>
      </c>
      <c r="AC23" s="24"/>
      <c r="AD23" s="23">
        <f t="shared" si="12"/>
        <v>906670</v>
      </c>
      <c r="AE23" s="23">
        <f t="shared" si="13"/>
        <v>-4890173.226</v>
      </c>
      <c r="AF23" s="63">
        <f t="shared" si="14"/>
        <v>-5.393553582</v>
      </c>
      <c r="AG23" s="24"/>
      <c r="AH23" s="24"/>
      <c r="AI23" s="5"/>
    </row>
    <row r="24">
      <c r="A24" s="2"/>
      <c r="B24" s="66" t="s">
        <v>57</v>
      </c>
      <c r="C24" s="66"/>
      <c r="D24" s="67">
        <f>D23/D18</f>
        <v>1.546831469</v>
      </c>
      <c r="E24" s="2"/>
      <c r="F24" s="66" t="s">
        <v>57</v>
      </c>
      <c r="G24" s="66"/>
      <c r="H24" s="67">
        <f>H23/H18</f>
        <v>1.229861123</v>
      </c>
      <c r="I24" s="2"/>
      <c r="J24" s="58"/>
      <c r="K24" s="29">
        <v>45921.0</v>
      </c>
      <c r="L24" s="30">
        <f t="shared" si="3"/>
        <v>7885559</v>
      </c>
      <c r="M24" s="31">
        <v>1105830.0</v>
      </c>
      <c r="N24" s="31">
        <v>2132289.0</v>
      </c>
      <c r="O24" s="31">
        <v>1017221.0</v>
      </c>
      <c r="P24" s="31">
        <v>3411971.0</v>
      </c>
      <c r="Q24" s="31">
        <v>24620.0</v>
      </c>
      <c r="R24" s="31">
        <v>129618.0</v>
      </c>
      <c r="S24" s="31">
        <v>5528.0</v>
      </c>
      <c r="T24" s="31">
        <v>10062.0</v>
      </c>
      <c r="U24" s="124"/>
      <c r="V24" s="31">
        <v>48420.0</v>
      </c>
      <c r="W24" s="5"/>
      <c r="Y24" s="22" t="s">
        <v>27</v>
      </c>
      <c r="Z24" s="25">
        <f t="shared" si="9"/>
        <v>2797907</v>
      </c>
      <c r="AA24" s="23">
        <f t="shared" si="10"/>
        <v>3339067</v>
      </c>
      <c r="AB24" s="63">
        <f t="shared" si="11"/>
        <v>1.193416007</v>
      </c>
      <c r="AC24" s="24"/>
      <c r="AD24" s="23">
        <f t="shared" si="12"/>
        <v>2797907</v>
      </c>
      <c r="AE24" s="23">
        <f t="shared" si="13"/>
        <v>3184978</v>
      </c>
      <c r="AF24" s="63">
        <f t="shared" si="14"/>
        <v>1.138343054</v>
      </c>
      <c r="AG24" s="24"/>
      <c r="AH24" s="24"/>
      <c r="AI24" s="5"/>
    </row>
    <row r="25">
      <c r="A25" s="2"/>
      <c r="B25" s="2"/>
      <c r="C25" s="2"/>
      <c r="D25" s="2"/>
      <c r="E25" s="2"/>
      <c r="F25" s="2"/>
      <c r="G25" s="2"/>
      <c r="H25" s="2"/>
      <c r="I25" s="2"/>
      <c r="J25" s="47"/>
      <c r="K25" s="29">
        <v>45922.0</v>
      </c>
      <c r="L25" s="30">
        <f t="shared" si="3"/>
        <v>6470436</v>
      </c>
      <c r="M25" s="31">
        <v>971544.0</v>
      </c>
      <c r="N25" s="31">
        <v>1889855.0</v>
      </c>
      <c r="O25" s="31">
        <v>1049315.0</v>
      </c>
      <c r="P25" s="31">
        <v>2384458.0</v>
      </c>
      <c r="Q25" s="31">
        <v>26958.0</v>
      </c>
      <c r="R25" s="31">
        <v>97415.0</v>
      </c>
      <c r="S25" s="31">
        <v>3179.0</v>
      </c>
      <c r="T25" s="31">
        <v>10541.0</v>
      </c>
      <c r="U25" s="124"/>
      <c r="V25" s="31">
        <v>37171.0</v>
      </c>
      <c r="W25" s="5"/>
      <c r="X25" s="44" t="s">
        <v>34</v>
      </c>
      <c r="Y25" s="22" t="s">
        <v>19</v>
      </c>
      <c r="Z25" s="25">
        <f t="shared" si="9"/>
        <v>13732</v>
      </c>
      <c r="AA25" s="23">
        <f t="shared" si="10"/>
        <v>101466</v>
      </c>
      <c r="AB25" s="63">
        <f t="shared" si="11"/>
        <v>7.389018351</v>
      </c>
      <c r="AC25" s="46"/>
      <c r="AD25" s="23">
        <f t="shared" si="12"/>
        <v>13732</v>
      </c>
      <c r="AE25" s="23">
        <f t="shared" si="13"/>
        <v>101466</v>
      </c>
      <c r="AF25" s="63">
        <f t="shared" si="14"/>
        <v>7.389018351</v>
      </c>
      <c r="AG25" s="46"/>
      <c r="AH25" s="46"/>
      <c r="AI25" s="5"/>
    </row>
    <row r="26">
      <c r="A26" s="2"/>
      <c r="B26" s="68" t="s">
        <v>58</v>
      </c>
      <c r="C26" s="17"/>
      <c r="D26" s="17"/>
      <c r="E26" s="17"/>
      <c r="F26" s="17"/>
      <c r="G26" s="17"/>
      <c r="H26" s="18"/>
      <c r="I26" s="2"/>
      <c r="J26" s="56"/>
      <c r="K26" s="29">
        <v>45923.0</v>
      </c>
      <c r="L26" s="30">
        <f t="shared" si="3"/>
        <v>6553501</v>
      </c>
      <c r="M26" s="31">
        <v>996029.0</v>
      </c>
      <c r="N26" s="31">
        <v>1889591.0</v>
      </c>
      <c r="O26" s="31">
        <v>1200471.0</v>
      </c>
      <c r="P26" s="31">
        <v>2278675.0</v>
      </c>
      <c r="Q26" s="31">
        <v>23469.0</v>
      </c>
      <c r="R26" s="31">
        <v>114828.0</v>
      </c>
      <c r="S26" s="31">
        <v>3332.0</v>
      </c>
      <c r="T26" s="31">
        <v>13352.0</v>
      </c>
      <c r="U26" s="124"/>
      <c r="V26" s="31">
        <v>33754.0</v>
      </c>
      <c r="W26" s="5"/>
      <c r="Y26" s="22" t="s">
        <v>27</v>
      </c>
      <c r="Z26" s="25">
        <f t="shared" si="9"/>
        <v>304226</v>
      </c>
      <c r="AA26" s="23">
        <f t="shared" si="10"/>
        <v>364665</v>
      </c>
      <c r="AB26" s="63">
        <f t="shared" si="11"/>
        <v>1.198664808</v>
      </c>
      <c r="AC26" s="46"/>
      <c r="AD26" s="23">
        <f t="shared" si="12"/>
        <v>304226</v>
      </c>
      <c r="AE26" s="23">
        <f t="shared" si="13"/>
        <v>314564</v>
      </c>
      <c r="AF26" s="63">
        <f t="shared" si="14"/>
        <v>1.033981317</v>
      </c>
      <c r="AG26" s="46"/>
      <c r="AH26" s="46"/>
      <c r="AI26" s="5"/>
    </row>
    <row r="27">
      <c r="A27" s="2"/>
      <c r="B27" s="70" t="str">
        <f>B4</f>
        <v>Биг–Л / Сентябрь | до </v>
      </c>
      <c r="C27" s="17"/>
      <c r="D27" s="28">
        <f>$D$4</f>
        <v>45930</v>
      </c>
      <c r="E27" s="2"/>
      <c r="F27" s="70" t="str">
        <f>F4</f>
        <v>Смарт / Сентябрь | до </v>
      </c>
      <c r="G27" s="17"/>
      <c r="H27" s="28">
        <f>$D$4</f>
        <v>45930</v>
      </c>
      <c r="I27" s="2"/>
      <c r="J27" s="47"/>
      <c r="K27" s="29">
        <v>45924.0</v>
      </c>
      <c r="L27" s="30">
        <f t="shared" si="3"/>
        <v>6755683</v>
      </c>
      <c r="M27" s="31">
        <v>883636.0</v>
      </c>
      <c r="N27" s="31">
        <v>1830395.0</v>
      </c>
      <c r="O27" s="31">
        <v>1320942.0</v>
      </c>
      <c r="P27" s="31">
        <v>2482134.0</v>
      </c>
      <c r="Q27" s="31">
        <v>15502.0</v>
      </c>
      <c r="R27" s="31">
        <v>151776.0</v>
      </c>
      <c r="S27" s="31">
        <v>3018.0</v>
      </c>
      <c r="T27" s="31">
        <v>12741.0</v>
      </c>
      <c r="U27" s="124"/>
      <c r="V27" s="31">
        <v>55539.0</v>
      </c>
      <c r="W27" s="5"/>
      <c r="X27" s="44" t="s">
        <v>37</v>
      </c>
      <c r="Y27" s="22" t="s">
        <v>19</v>
      </c>
      <c r="Z27" s="25">
        <f t="shared" si="9"/>
        <v>0</v>
      </c>
      <c r="AA27" s="23">
        <f t="shared" si="10"/>
        <v>0</v>
      </c>
      <c r="AB27" s="63" t="str">
        <f t="shared" si="11"/>
        <v> </v>
      </c>
      <c r="AC27" s="46"/>
      <c r="AD27" s="23">
        <f t="shared" si="12"/>
        <v>0</v>
      </c>
      <c r="AE27" s="23">
        <f t="shared" si="13"/>
        <v>0</v>
      </c>
      <c r="AF27" s="63" t="str">
        <f t="shared" si="14"/>
        <v> </v>
      </c>
      <c r="AG27" s="46"/>
      <c r="AH27" s="46"/>
      <c r="AI27" s="5"/>
    </row>
    <row r="28">
      <c r="A28" s="35">
        <f t="shared" ref="A28:A29" si="15">IFERROR(C28/$C$30, " ")</f>
        <v>0.9216770304</v>
      </c>
      <c r="B28" s="41" t="s">
        <v>59</v>
      </c>
      <c r="C28" s="32">
        <v>2210270.0</v>
      </c>
      <c r="D28" s="53"/>
      <c r="E28" s="2"/>
      <c r="F28" s="41" t="s">
        <v>59</v>
      </c>
      <c r="G28" s="32">
        <v>6537594.0</v>
      </c>
      <c r="H28" s="53"/>
      <c r="I28" s="35">
        <f t="shared" ref="I28:I29" si="16">IFERROR(G28/$G$30, " ")</f>
        <v>0.979265631</v>
      </c>
      <c r="J28" s="47"/>
      <c r="K28" s="29">
        <v>45925.0</v>
      </c>
      <c r="L28" s="30">
        <f t="shared" si="3"/>
        <v>7131790.1</v>
      </c>
      <c r="M28" s="31">
        <v>1036358.0</v>
      </c>
      <c r="N28" s="31">
        <v>1693066.1</v>
      </c>
      <c r="O28" s="31">
        <v>1347115.0</v>
      </c>
      <c r="P28" s="31">
        <v>2821207.0</v>
      </c>
      <c r="Q28" s="31">
        <v>19296.0</v>
      </c>
      <c r="R28" s="31">
        <v>131335.0</v>
      </c>
      <c r="S28" s="31">
        <v>5997.0</v>
      </c>
      <c r="T28" s="31">
        <v>16509.0</v>
      </c>
      <c r="U28" s="124"/>
      <c r="V28" s="31">
        <v>60907.0</v>
      </c>
      <c r="W28" s="5"/>
      <c r="Y28" s="22" t="s">
        <v>27</v>
      </c>
      <c r="Z28" s="25">
        <f t="shared" si="9"/>
        <v>107914</v>
      </c>
      <c r="AA28" s="23">
        <f t="shared" si="10"/>
        <v>996378</v>
      </c>
      <c r="AB28" s="63">
        <f t="shared" si="11"/>
        <v>9.233074485</v>
      </c>
      <c r="AC28" s="46"/>
      <c r="AD28" s="23">
        <f t="shared" si="12"/>
        <v>107914</v>
      </c>
      <c r="AE28" s="23">
        <f t="shared" si="13"/>
        <v>959556</v>
      </c>
      <c r="AF28" s="63">
        <f t="shared" si="14"/>
        <v>8.891858332</v>
      </c>
      <c r="AG28" s="46"/>
      <c r="AH28" s="46"/>
      <c r="AI28" s="5"/>
    </row>
    <row r="29">
      <c r="A29" s="35">
        <f t="shared" si="15"/>
        <v>0.07832296956</v>
      </c>
      <c r="B29" s="39" t="s">
        <v>65</v>
      </c>
      <c r="C29" s="32">
        <v>187826.0</v>
      </c>
      <c r="D29" s="40"/>
      <c r="E29" s="2"/>
      <c r="F29" s="39" t="s">
        <v>65</v>
      </c>
      <c r="G29" s="32">
        <v>138423.0</v>
      </c>
      <c r="H29" s="53"/>
      <c r="I29" s="35">
        <f t="shared" si="16"/>
        <v>0.02073436901</v>
      </c>
      <c r="J29" s="30"/>
      <c r="K29" s="29">
        <v>45926.0</v>
      </c>
      <c r="L29" s="30">
        <f t="shared" si="3"/>
        <v>6901460</v>
      </c>
      <c r="M29" s="31">
        <v>940169.0</v>
      </c>
      <c r="N29" s="31">
        <v>1796864.0</v>
      </c>
      <c r="O29" s="31">
        <v>1371034.0</v>
      </c>
      <c r="P29" s="31">
        <v>2564623.0</v>
      </c>
      <c r="Q29" s="31">
        <v>25118.0</v>
      </c>
      <c r="R29" s="31">
        <v>110386.0</v>
      </c>
      <c r="S29" s="31">
        <v>6027.0</v>
      </c>
      <c r="T29" s="31">
        <v>24922.0</v>
      </c>
      <c r="U29" s="124"/>
      <c r="V29" s="31">
        <v>62317.0</v>
      </c>
      <c r="W29" s="5"/>
      <c r="X29" s="24"/>
      <c r="Y29" s="24"/>
      <c r="Z29" s="52">
        <f t="shared" ref="Z29:AA29" si="17">SUM(Z19:Z28)</f>
        <v>189445324.9</v>
      </c>
      <c r="AA29" s="52">
        <f t="shared" si="17"/>
        <v>231161149</v>
      </c>
      <c r="AB29" s="69">
        <f t="shared" si="11"/>
        <v>1.220199808</v>
      </c>
      <c r="AC29" s="24"/>
      <c r="AD29" s="52">
        <f t="shared" ref="AD29:AE29" si="18">SUM(AD19:AD24)</f>
        <v>189019452.9</v>
      </c>
      <c r="AE29" s="52">
        <f t="shared" si="18"/>
        <v>216993910.5</v>
      </c>
      <c r="AF29" s="69">
        <f t="shared" si="14"/>
        <v>1.147997771</v>
      </c>
      <c r="AG29" s="24"/>
      <c r="AH29" s="24"/>
      <c r="AI29" s="5"/>
    </row>
    <row r="30">
      <c r="A30" s="2"/>
      <c r="B30" s="41" t="s">
        <v>42</v>
      </c>
      <c r="C30" s="30">
        <f>SUM(C28:C29)</f>
        <v>2398096</v>
      </c>
      <c r="D30" s="40"/>
      <c r="E30" s="2"/>
      <c r="F30" s="41" t="s">
        <v>42</v>
      </c>
      <c r="G30" s="30">
        <f>SUM(G28:G29)</f>
        <v>6676017</v>
      </c>
      <c r="H30" s="40"/>
      <c r="I30" s="2"/>
      <c r="J30" s="30"/>
      <c r="K30" s="29">
        <v>45927.0</v>
      </c>
      <c r="L30" s="30">
        <f t="shared" si="3"/>
        <v>6843539</v>
      </c>
      <c r="M30" s="31">
        <v>997583.0</v>
      </c>
      <c r="N30" s="31">
        <v>1686737.0</v>
      </c>
      <c r="O30" s="31">
        <v>1114304.0</v>
      </c>
      <c r="P30" s="31">
        <v>2853702.0</v>
      </c>
      <c r="Q30" s="31">
        <v>32277.0</v>
      </c>
      <c r="R30" s="31">
        <v>89554.0</v>
      </c>
      <c r="S30" s="31">
        <v>3702.0</v>
      </c>
      <c r="T30" s="31">
        <v>11772.0</v>
      </c>
      <c r="U30" s="124"/>
      <c r="V30" s="31">
        <v>53908.0</v>
      </c>
      <c r="W30" s="5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5"/>
    </row>
    <row r="31">
      <c r="A31" s="2"/>
      <c r="B31" s="41" t="s">
        <v>43</v>
      </c>
      <c r="C31" s="2"/>
      <c r="D31" s="54">
        <f>O35</f>
        <v>35109564</v>
      </c>
      <c r="E31" s="2"/>
      <c r="F31" s="41" t="s">
        <v>43</v>
      </c>
      <c r="G31" s="2"/>
      <c r="H31" s="54">
        <f>P35</f>
        <v>109216574</v>
      </c>
      <c r="I31" s="2"/>
      <c r="J31" s="47"/>
      <c r="K31" s="29">
        <v>45928.0</v>
      </c>
      <c r="L31" s="30">
        <f t="shared" si="3"/>
        <v>8423427.1</v>
      </c>
      <c r="M31" s="31">
        <v>1082478.0</v>
      </c>
      <c r="N31" s="31">
        <v>1930755.1</v>
      </c>
      <c r="O31" s="31">
        <v>1245938.0</v>
      </c>
      <c r="P31" s="31">
        <v>3949431.0</v>
      </c>
      <c r="Q31" s="31">
        <v>29419.0</v>
      </c>
      <c r="R31" s="31">
        <v>108458.0</v>
      </c>
      <c r="S31" s="31">
        <v>7664.0</v>
      </c>
      <c r="T31" s="31">
        <v>15649.0</v>
      </c>
      <c r="U31" s="124"/>
      <c r="V31" s="31">
        <v>53635.0</v>
      </c>
      <c r="W31" s="5"/>
      <c r="X31" s="72" t="s">
        <v>60</v>
      </c>
      <c r="Z31" s="14" t="s">
        <v>17</v>
      </c>
      <c r="AA31" s="14" t="s">
        <v>61</v>
      </c>
      <c r="AB31" s="14" t="s">
        <v>62</v>
      </c>
      <c r="AC31" s="46"/>
      <c r="AD31" s="73" t="s">
        <v>63</v>
      </c>
      <c r="AE31" s="73" t="s">
        <v>64</v>
      </c>
      <c r="AF31" s="14" t="s">
        <v>48</v>
      </c>
      <c r="AG31" s="24"/>
      <c r="AH31" s="24"/>
      <c r="AI31" s="5"/>
    </row>
    <row r="32">
      <c r="A32" s="2"/>
      <c r="B32" s="41" t="s">
        <v>44</v>
      </c>
      <c r="C32" s="2"/>
      <c r="D32" s="57">
        <f>C30/D31</f>
        <v>0.0683032122</v>
      </c>
      <c r="E32" s="2"/>
      <c r="F32" s="41" t="s">
        <v>44</v>
      </c>
      <c r="G32" s="2"/>
      <c r="H32" s="57">
        <f>G30/H31</f>
        <v>0.06112640926</v>
      </c>
      <c r="I32" s="2"/>
      <c r="J32" s="47"/>
      <c r="K32" s="29">
        <v>45929.0</v>
      </c>
      <c r="L32" s="30">
        <f t="shared" si="3"/>
        <v>8078093</v>
      </c>
      <c r="M32" s="31">
        <v>1023334.0</v>
      </c>
      <c r="N32" s="31">
        <v>1865350.0</v>
      </c>
      <c r="O32" s="31">
        <v>1418642.0</v>
      </c>
      <c r="P32" s="31">
        <v>3583506.0</v>
      </c>
      <c r="Q32" s="31">
        <v>18020.0</v>
      </c>
      <c r="R32" s="31">
        <v>91714.0</v>
      </c>
      <c r="S32" s="31">
        <v>4793.0</v>
      </c>
      <c r="T32" s="31">
        <v>12641.0</v>
      </c>
      <c r="U32" s="124"/>
      <c r="V32" s="31">
        <v>60093.0</v>
      </c>
      <c r="W32" s="5"/>
      <c r="X32" s="21" t="s">
        <v>24</v>
      </c>
      <c r="Y32" s="22" t="s">
        <v>19</v>
      </c>
      <c r="Z32" s="23">
        <f t="shared" ref="Z32:Z41" si="19">AH3</f>
        <v>34886232</v>
      </c>
      <c r="AA32" s="23">
        <f>C48</f>
        <v>1693783</v>
      </c>
      <c r="AB32" s="63">
        <f t="shared" ref="AB32:AB42" si="20">AA32/Z32</f>
        <v>0.04855161773</v>
      </c>
      <c r="AC32" s="46"/>
      <c r="AD32" s="63">
        <f>C33</f>
        <v>0.1</v>
      </c>
      <c r="AE32" s="63">
        <f t="shared" ref="AE32:AE42" si="21">AB32</f>
        <v>0.04855161773</v>
      </c>
      <c r="AF32" s="63">
        <f t="shared" ref="AF32:AF42" si="22">AE32/AD32-1</f>
        <v>-0.5144838227</v>
      </c>
      <c r="AG32" s="24"/>
      <c r="AH32" s="24"/>
      <c r="AI32" s="5"/>
    </row>
    <row r="33">
      <c r="A33" s="35">
        <f>D32/C33</f>
        <v>0.683032122</v>
      </c>
      <c r="B33" s="41" t="s">
        <v>47</v>
      </c>
      <c r="C33" s="35">
        <v>0.1</v>
      </c>
      <c r="D33" s="54">
        <f>D31*C33</f>
        <v>3510956.4</v>
      </c>
      <c r="E33" s="2"/>
      <c r="F33" s="41" t="s">
        <v>47</v>
      </c>
      <c r="G33" s="35">
        <v>0.09</v>
      </c>
      <c r="H33" s="54">
        <f>H31*G33</f>
        <v>9829491.66</v>
      </c>
      <c r="I33" s="35">
        <f>H32/G33</f>
        <v>0.6791823251</v>
      </c>
      <c r="J33" s="47"/>
      <c r="K33" s="29">
        <v>45930.0</v>
      </c>
      <c r="L33" s="30">
        <f t="shared" si="3"/>
        <v>9199502</v>
      </c>
      <c r="M33" s="31">
        <v>1201086.0</v>
      </c>
      <c r="N33" s="31">
        <v>2113391.0</v>
      </c>
      <c r="O33" s="31">
        <v>1456564.0</v>
      </c>
      <c r="P33" s="31">
        <v>4184632.0</v>
      </c>
      <c r="Q33" s="31">
        <v>22500.0</v>
      </c>
      <c r="R33" s="31">
        <v>116348.0</v>
      </c>
      <c r="S33" s="31">
        <v>7729.0</v>
      </c>
      <c r="T33" s="31">
        <v>15042.0</v>
      </c>
      <c r="U33" s="124"/>
      <c r="V33" s="31">
        <v>82210.0</v>
      </c>
      <c r="W33" s="21"/>
      <c r="Y33" s="22" t="s">
        <v>27</v>
      </c>
      <c r="Z33" s="23">
        <f t="shared" si="19"/>
        <v>108267871</v>
      </c>
      <c r="AA33" s="23">
        <f>G48</f>
        <v>2772583</v>
      </c>
      <c r="AB33" s="63">
        <f t="shared" si="20"/>
        <v>0.02560854826</v>
      </c>
      <c r="AC33" s="46"/>
      <c r="AD33" s="63">
        <f>G33</f>
        <v>0.09</v>
      </c>
      <c r="AE33" s="63">
        <f t="shared" si="21"/>
        <v>0.02560854826</v>
      </c>
      <c r="AF33" s="63">
        <f t="shared" si="22"/>
        <v>-0.7154605748</v>
      </c>
      <c r="AG33" s="5"/>
      <c r="AH33" s="24"/>
      <c r="AI33" s="21"/>
    </row>
    <row r="34">
      <c r="A34" s="2"/>
      <c r="B34" s="77" t="s">
        <v>50</v>
      </c>
      <c r="C34" s="61"/>
      <c r="D34" s="62">
        <f>C30-D33</f>
        <v>-1112860.4</v>
      </c>
      <c r="E34" s="2"/>
      <c r="F34" s="77" t="s">
        <v>50</v>
      </c>
      <c r="G34" s="61"/>
      <c r="H34" s="62">
        <f>G30-H33</f>
        <v>-3153474.66</v>
      </c>
      <c r="I34" s="2"/>
      <c r="J34" s="47"/>
      <c r="K34" s="29"/>
      <c r="L34" s="30"/>
      <c r="M34" s="31"/>
      <c r="N34" s="31"/>
      <c r="O34" s="58"/>
      <c r="P34" s="58"/>
      <c r="Q34" s="58"/>
      <c r="R34" s="58"/>
      <c r="S34" s="58"/>
      <c r="T34" s="58"/>
      <c r="U34" s="4"/>
      <c r="V34" s="31"/>
      <c r="W34" s="5"/>
      <c r="X34" s="21" t="s">
        <v>18</v>
      </c>
      <c r="Y34" s="22" t="s">
        <v>19</v>
      </c>
      <c r="Z34" s="23">
        <f t="shared" si="19"/>
        <v>25030992.89</v>
      </c>
      <c r="AA34" s="23">
        <f>C12</f>
        <v>5800520</v>
      </c>
      <c r="AB34" s="63">
        <f t="shared" si="20"/>
        <v>0.2317335163</v>
      </c>
      <c r="AC34" s="46"/>
      <c r="AD34" s="63">
        <f>C15</f>
        <v>0.19</v>
      </c>
      <c r="AE34" s="63">
        <f t="shared" si="21"/>
        <v>0.2317335163</v>
      </c>
      <c r="AF34" s="63">
        <f t="shared" si="22"/>
        <v>0.219650086</v>
      </c>
      <c r="AG34" s="5"/>
      <c r="AH34" s="24"/>
      <c r="AI34" s="5"/>
    </row>
    <row r="35">
      <c r="A35" s="2"/>
      <c r="B35" s="2"/>
      <c r="C35" s="2"/>
      <c r="D35" s="2"/>
      <c r="E35" s="2"/>
      <c r="F35" s="2"/>
      <c r="G35" s="2"/>
      <c r="H35" s="2"/>
      <c r="I35" s="2"/>
      <c r="J35" s="47"/>
      <c r="K35" s="75">
        <f>L35/C1</f>
        <v>7705371.633</v>
      </c>
      <c r="L35" s="76">
        <f t="shared" ref="L35:V35" si="23">SUM(L4:L34)</f>
        <v>231161149</v>
      </c>
      <c r="M35" s="30">
        <f t="shared" si="23"/>
        <v>26956516</v>
      </c>
      <c r="N35" s="30">
        <f t="shared" si="23"/>
        <v>54265632</v>
      </c>
      <c r="O35" s="30">
        <f t="shared" si="23"/>
        <v>35109564</v>
      </c>
      <c r="P35" s="30">
        <f t="shared" si="23"/>
        <v>109216574</v>
      </c>
      <c r="Q35" s="30">
        <f t="shared" si="23"/>
        <v>811287</v>
      </c>
      <c r="R35" s="30">
        <f t="shared" si="23"/>
        <v>3339067</v>
      </c>
      <c r="S35" s="30">
        <f t="shared" si="23"/>
        <v>101466</v>
      </c>
      <c r="T35" s="30">
        <f t="shared" si="23"/>
        <v>364665</v>
      </c>
      <c r="U35" s="30">
        <f t="shared" si="23"/>
        <v>0</v>
      </c>
      <c r="V35" s="30">
        <f t="shared" si="23"/>
        <v>996378</v>
      </c>
      <c r="W35" s="5"/>
      <c r="Y35" s="22" t="s">
        <v>27</v>
      </c>
      <c r="Z35" s="23">
        <f t="shared" si="19"/>
        <v>50514009.88</v>
      </c>
      <c r="AA35" s="23">
        <f>G12</f>
        <v>6055805</v>
      </c>
      <c r="AB35" s="63">
        <f t="shared" si="20"/>
        <v>0.1198836722</v>
      </c>
      <c r="AC35" s="46"/>
      <c r="AD35" s="63">
        <f>G15</f>
        <v>0.11</v>
      </c>
      <c r="AE35" s="63">
        <f t="shared" si="21"/>
        <v>0.1198836722</v>
      </c>
      <c r="AF35" s="63">
        <f t="shared" si="22"/>
        <v>0.08985156503</v>
      </c>
      <c r="AG35" s="5"/>
      <c r="AH35" s="24"/>
      <c r="AI35" s="5"/>
    </row>
    <row r="36">
      <c r="A36" s="2"/>
      <c r="B36" s="58" t="s">
        <v>51</v>
      </c>
      <c r="C36" s="58"/>
      <c r="D36" s="64">
        <f>O42</f>
        <v>27392229</v>
      </c>
      <c r="E36" s="2"/>
      <c r="F36" s="58" t="s">
        <v>51</v>
      </c>
      <c r="G36" s="58"/>
      <c r="H36" s="64">
        <f>P42</f>
        <v>96372340</v>
      </c>
      <c r="I36" s="2"/>
      <c r="J36" s="47"/>
      <c r="K36" s="2"/>
      <c r="L36" s="2"/>
      <c r="M36" s="35">
        <f t="shared" ref="M36:V36" si="24">M35/$L$35</f>
        <v>0.1166135231</v>
      </c>
      <c r="N36" s="35">
        <f t="shared" si="24"/>
        <v>0.2347523891</v>
      </c>
      <c r="O36" s="35">
        <f t="shared" si="24"/>
        <v>0.1518834984</v>
      </c>
      <c r="P36" s="35">
        <f t="shared" si="24"/>
        <v>0.47246942</v>
      </c>
      <c r="Q36" s="35">
        <f t="shared" si="24"/>
        <v>0.003509616575</v>
      </c>
      <c r="R36" s="35">
        <f t="shared" si="24"/>
        <v>0.01444475862</v>
      </c>
      <c r="S36" s="35">
        <f t="shared" si="24"/>
        <v>0.0004389405419</v>
      </c>
      <c r="T36" s="35">
        <f t="shared" si="24"/>
        <v>0.001577535851</v>
      </c>
      <c r="U36" s="35">
        <f t="shared" si="24"/>
        <v>0</v>
      </c>
      <c r="V36" s="35">
        <f t="shared" si="24"/>
        <v>0.004310317734</v>
      </c>
      <c r="W36" s="5"/>
      <c r="X36" s="21" t="s">
        <v>31</v>
      </c>
      <c r="Y36" s="22" t="s">
        <v>19</v>
      </c>
      <c r="Z36" s="23">
        <f t="shared" si="19"/>
        <v>-4890173.226</v>
      </c>
      <c r="AA36" s="23">
        <f>C69</f>
        <v>169923</v>
      </c>
      <c r="AB36" s="63">
        <f t="shared" si="20"/>
        <v>-0.03474784883</v>
      </c>
      <c r="AC36" s="46"/>
      <c r="AD36" s="63">
        <f>C72</f>
        <v>0.18</v>
      </c>
      <c r="AE36" s="63">
        <f t="shared" si="21"/>
        <v>-0.03474784883</v>
      </c>
      <c r="AF36" s="63">
        <f t="shared" si="22"/>
        <v>-1.193043605</v>
      </c>
      <c r="AG36" s="5"/>
      <c r="AH36" s="24"/>
      <c r="AI36" s="5"/>
    </row>
    <row r="37">
      <c r="A37" s="2"/>
      <c r="B37" s="2" t="s">
        <v>52</v>
      </c>
      <c r="C37" s="2"/>
      <c r="D37" s="30">
        <f>D31/$C$1</f>
        <v>1170318.8</v>
      </c>
      <c r="E37" s="2"/>
      <c r="F37" s="2" t="s">
        <v>52</v>
      </c>
      <c r="G37" s="2"/>
      <c r="H37" s="30">
        <f>H31/$C$1</f>
        <v>3640552.467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5"/>
      <c r="Y37" s="22" t="s">
        <v>27</v>
      </c>
      <c r="Z37" s="23">
        <f t="shared" si="19"/>
        <v>3184978</v>
      </c>
      <c r="AA37" s="23">
        <f>G69</f>
        <v>656002</v>
      </c>
      <c r="AB37" s="63">
        <f t="shared" si="20"/>
        <v>0.2059675137</v>
      </c>
      <c r="AC37" s="46"/>
      <c r="AD37" s="63">
        <f>G72</f>
        <v>0.175</v>
      </c>
      <c r="AE37" s="63">
        <f t="shared" si="21"/>
        <v>0.2059675137</v>
      </c>
      <c r="AF37" s="63">
        <f t="shared" si="22"/>
        <v>0.1769572214</v>
      </c>
      <c r="AG37" s="5"/>
      <c r="AH37" s="24"/>
      <c r="AI37" s="5"/>
    </row>
    <row r="38">
      <c r="A38" s="2"/>
      <c r="B38" s="2" t="s">
        <v>53</v>
      </c>
      <c r="C38" s="2"/>
      <c r="D38" s="30">
        <f>D36/$G$1*$C$1</f>
        <v>27392229</v>
      </c>
      <c r="E38" s="2"/>
      <c r="F38" s="2" t="s">
        <v>53</v>
      </c>
      <c r="G38" s="2"/>
      <c r="H38" s="30">
        <f>H36/$G$1*$C$1</f>
        <v>96372340</v>
      </c>
      <c r="I38" s="2"/>
      <c r="J38" s="2"/>
      <c r="K38" s="66" t="s">
        <v>66</v>
      </c>
      <c r="M38" s="78">
        <f>SUM(M40:N40)/$L$40</f>
        <v>0.3513659123</v>
      </c>
      <c r="N38" s="79"/>
      <c r="O38" s="78">
        <f>SUM(O40:P40)/$L$40</f>
        <v>0.6243529184</v>
      </c>
      <c r="P38" s="79"/>
      <c r="Q38" s="78">
        <f>SUM(Q40:R40)/$L$40</f>
        <v>0.0179543752</v>
      </c>
      <c r="R38" s="79"/>
      <c r="S38" s="78">
        <f>SUM(S40:T40)/$L$40</f>
        <v>0.002016476393</v>
      </c>
      <c r="T38" s="79"/>
      <c r="U38" s="78">
        <f>SUM(U40:V40)/$L$40</f>
        <v>0.004310317734</v>
      </c>
      <c r="V38" s="79"/>
      <c r="W38" s="5"/>
      <c r="X38" s="44" t="s">
        <v>34</v>
      </c>
      <c r="Y38" s="22" t="s">
        <v>19</v>
      </c>
      <c r="Z38" s="23">
        <f t="shared" si="19"/>
        <v>101466</v>
      </c>
      <c r="AA38" s="81">
        <v>0.0</v>
      </c>
      <c r="AB38" s="63">
        <f t="shared" si="20"/>
        <v>0</v>
      </c>
      <c r="AC38" s="46"/>
      <c r="AD38" s="82">
        <f>C88</f>
        <v>0.15</v>
      </c>
      <c r="AE38" s="63">
        <f t="shared" si="21"/>
        <v>0</v>
      </c>
      <c r="AF38" s="63">
        <f t="shared" si="22"/>
        <v>-1</v>
      </c>
      <c r="AG38" s="46"/>
      <c r="AH38" s="46"/>
      <c r="AI38" s="5"/>
    </row>
    <row r="39">
      <c r="A39" s="2"/>
      <c r="B39" s="2" t="s">
        <v>54</v>
      </c>
      <c r="C39" s="2"/>
      <c r="D39" s="30" t="str">
        <f>(D36-D31)/($G$1-$C$1)</f>
        <v>#DIV/0!</v>
      </c>
      <c r="E39" s="2"/>
      <c r="F39" s="2" t="s">
        <v>54</v>
      </c>
      <c r="G39" s="2"/>
      <c r="H39" s="30" t="str">
        <f>(H36-H31)/($G$1-$C$1)</f>
        <v>#DIV/0!</v>
      </c>
      <c r="I39" s="2"/>
      <c r="J39" s="2"/>
      <c r="K39" s="2" t="s">
        <v>67</v>
      </c>
      <c r="L39" s="35">
        <f t="shared" ref="L39:V39" si="25">L40/$L$40</f>
        <v>1</v>
      </c>
      <c r="M39" s="83">
        <f t="shared" si="25"/>
        <v>0.1166135231</v>
      </c>
      <c r="N39" s="84">
        <f t="shared" si="25"/>
        <v>0.2347523891</v>
      </c>
      <c r="O39" s="83">
        <f t="shared" si="25"/>
        <v>0.1518834984</v>
      </c>
      <c r="P39" s="84">
        <f t="shared" si="25"/>
        <v>0.47246942</v>
      </c>
      <c r="Q39" s="83">
        <f t="shared" si="25"/>
        <v>0.003509616575</v>
      </c>
      <c r="R39" s="84">
        <f t="shared" si="25"/>
        <v>0.01444475862</v>
      </c>
      <c r="S39" s="83">
        <f t="shared" si="25"/>
        <v>0.0004389405419</v>
      </c>
      <c r="T39" s="84">
        <f t="shared" si="25"/>
        <v>0.001577535851</v>
      </c>
      <c r="U39" s="83">
        <f t="shared" si="25"/>
        <v>0</v>
      </c>
      <c r="V39" s="84">
        <f t="shared" si="25"/>
        <v>0.004310317734</v>
      </c>
      <c r="W39" s="5"/>
      <c r="Y39" s="22" t="s">
        <v>27</v>
      </c>
      <c r="Z39" s="23">
        <f t="shared" si="19"/>
        <v>314564</v>
      </c>
      <c r="AA39" s="81">
        <v>0.0</v>
      </c>
      <c r="AB39" s="63">
        <f t="shared" si="20"/>
        <v>0</v>
      </c>
      <c r="AC39" s="46"/>
      <c r="AD39" s="82">
        <f>G88</f>
        <v>0.15</v>
      </c>
      <c r="AE39" s="63">
        <f t="shared" si="21"/>
        <v>0</v>
      </c>
      <c r="AF39" s="63">
        <f t="shared" si="22"/>
        <v>-1</v>
      </c>
      <c r="AG39" s="46"/>
      <c r="AH39" s="46"/>
      <c r="AI39" s="5"/>
    </row>
    <row r="40">
      <c r="A40" s="2"/>
      <c r="B40" s="2" t="s">
        <v>55</v>
      </c>
      <c r="C40" s="2"/>
      <c r="D40" s="30">
        <f>D31-D38</f>
        <v>7717335</v>
      </c>
      <c r="E40" s="2"/>
      <c r="F40" s="2" t="s">
        <v>55</v>
      </c>
      <c r="G40" s="2"/>
      <c r="H40" s="30">
        <f>H31-H38</f>
        <v>12844234</v>
      </c>
      <c r="I40" s="2"/>
      <c r="J40" s="2"/>
      <c r="K40" s="2" t="s">
        <v>68</v>
      </c>
      <c r="L40" s="76">
        <f t="shared" ref="L40:V40" si="26">L35/$C$1*$G$1</f>
        <v>231161149</v>
      </c>
      <c r="M40" s="30">
        <f t="shared" si="26"/>
        <v>26956516</v>
      </c>
      <c r="N40" s="30">
        <f t="shared" si="26"/>
        <v>54265632</v>
      </c>
      <c r="O40" s="30">
        <f t="shared" si="26"/>
        <v>35109564</v>
      </c>
      <c r="P40" s="30">
        <f t="shared" si="26"/>
        <v>109216574</v>
      </c>
      <c r="Q40" s="30">
        <f t="shared" si="26"/>
        <v>811287</v>
      </c>
      <c r="R40" s="30">
        <f t="shared" si="26"/>
        <v>3339067</v>
      </c>
      <c r="S40" s="30">
        <f t="shared" si="26"/>
        <v>101466</v>
      </c>
      <c r="T40" s="30">
        <f t="shared" si="26"/>
        <v>364665</v>
      </c>
      <c r="U40" s="30">
        <f t="shared" si="26"/>
        <v>0</v>
      </c>
      <c r="V40" s="30">
        <f t="shared" si="26"/>
        <v>996378</v>
      </c>
      <c r="W40" s="5"/>
      <c r="X40" s="44" t="s">
        <v>37</v>
      </c>
      <c r="Y40" s="22" t="s">
        <v>19</v>
      </c>
      <c r="Z40" s="23">
        <f t="shared" si="19"/>
        <v>0</v>
      </c>
      <c r="AA40" s="81">
        <v>0.0</v>
      </c>
      <c r="AB40" s="63" t="str">
        <f t="shared" si="20"/>
        <v>#DIV/0!</v>
      </c>
      <c r="AC40" s="46"/>
      <c r="AD40" s="82">
        <v>0.0</v>
      </c>
      <c r="AE40" s="63" t="str">
        <f t="shared" si="21"/>
        <v>#DIV/0!</v>
      </c>
      <c r="AF40" s="63" t="str">
        <f t="shared" si="22"/>
        <v>#DIV/0!</v>
      </c>
      <c r="AG40" s="46"/>
      <c r="AH40" s="46"/>
      <c r="AI40" s="5"/>
    </row>
    <row r="41">
      <c r="A41" s="2"/>
      <c r="B41" s="2" t="s">
        <v>56</v>
      </c>
      <c r="C41" s="2"/>
      <c r="D41" s="30">
        <f>D31/$C$1*$G$1</f>
        <v>35109564</v>
      </c>
      <c r="E41" s="2"/>
      <c r="F41" s="2" t="s">
        <v>56</v>
      </c>
      <c r="G41" s="2"/>
      <c r="H41" s="30">
        <f>H31/$C$1*$G$1</f>
        <v>109216574</v>
      </c>
      <c r="I41" s="2"/>
      <c r="J41" s="2"/>
      <c r="K41" s="2" t="s">
        <v>52</v>
      </c>
      <c r="L41" s="76">
        <f t="shared" ref="L41:V41" si="27">L35/$C$1</f>
        <v>7705371.633</v>
      </c>
      <c r="M41" s="30">
        <f t="shared" si="27"/>
        <v>898550.5333</v>
      </c>
      <c r="N41" s="30">
        <f t="shared" si="27"/>
        <v>1808854.4</v>
      </c>
      <c r="O41" s="30">
        <f t="shared" si="27"/>
        <v>1170318.8</v>
      </c>
      <c r="P41" s="30">
        <f t="shared" si="27"/>
        <v>3640552.467</v>
      </c>
      <c r="Q41" s="30">
        <f t="shared" si="27"/>
        <v>27042.9</v>
      </c>
      <c r="R41" s="30">
        <f t="shared" si="27"/>
        <v>111302.2333</v>
      </c>
      <c r="S41" s="30">
        <f t="shared" si="27"/>
        <v>3382.2</v>
      </c>
      <c r="T41" s="30">
        <f t="shared" si="27"/>
        <v>12155.5</v>
      </c>
      <c r="U41" s="30">
        <f t="shared" si="27"/>
        <v>0</v>
      </c>
      <c r="V41" s="30">
        <f t="shared" si="27"/>
        <v>33212.6</v>
      </c>
      <c r="W41" s="5"/>
      <c r="Y41" s="22" t="s">
        <v>27</v>
      </c>
      <c r="Z41" s="23">
        <f t="shared" si="19"/>
        <v>959556</v>
      </c>
      <c r="AA41" s="81">
        <v>0.0</v>
      </c>
      <c r="AB41" s="63">
        <f t="shared" si="20"/>
        <v>0</v>
      </c>
      <c r="AC41" s="46"/>
      <c r="AD41" s="82">
        <v>0.0</v>
      </c>
      <c r="AE41" s="63">
        <f t="shared" si="21"/>
        <v>0</v>
      </c>
      <c r="AF41" s="63" t="str">
        <f t="shared" si="22"/>
        <v>#DIV/0!</v>
      </c>
      <c r="AG41" s="46"/>
      <c r="AH41" s="46"/>
      <c r="AI41" s="5"/>
    </row>
    <row r="42">
      <c r="A42" s="2"/>
      <c r="B42" s="66" t="s">
        <v>57</v>
      </c>
      <c r="C42" s="66"/>
      <c r="D42" s="67">
        <f>D41/D36</f>
        <v>1.281734466</v>
      </c>
      <c r="E42" s="2"/>
      <c r="F42" s="66" t="s">
        <v>57</v>
      </c>
      <c r="G42" s="66"/>
      <c r="H42" s="67">
        <f>H41/H36</f>
        <v>1.133277183</v>
      </c>
      <c r="I42" s="2"/>
      <c r="J42" s="2"/>
      <c r="K42" s="2" t="s">
        <v>69</v>
      </c>
      <c r="L42" s="76">
        <f>SUM(M42:V42)</f>
        <v>189445324.9</v>
      </c>
      <c r="M42" s="30">
        <f>'Август 25'!M35</f>
        <v>17426925</v>
      </c>
      <c r="N42" s="30">
        <f>'Август 25'!N35</f>
        <v>44123381.9</v>
      </c>
      <c r="O42" s="30">
        <f>'Август 25'!O35</f>
        <v>27392229</v>
      </c>
      <c r="P42" s="30">
        <f>'Август 25'!P35</f>
        <v>96372340</v>
      </c>
      <c r="Q42" s="30">
        <f>'Август 25'!Q35</f>
        <v>906670</v>
      </c>
      <c r="R42" s="30">
        <f>'Август 25'!R35</f>
        <v>2797907</v>
      </c>
      <c r="S42" s="30">
        <f>'Август 25'!S35</f>
        <v>13732</v>
      </c>
      <c r="T42" s="30">
        <f>'Август 25'!T35</f>
        <v>304226</v>
      </c>
      <c r="U42" s="30">
        <v>0.0</v>
      </c>
      <c r="V42" s="32">
        <v>107914.0</v>
      </c>
      <c r="W42" s="5"/>
      <c r="X42" s="5"/>
      <c r="Y42" s="5"/>
      <c r="Z42" s="52">
        <f t="shared" ref="Z42:AA42" si="28">SUM(Z32:Z41)</f>
        <v>218369496.5</v>
      </c>
      <c r="AA42" s="52">
        <f t="shared" si="28"/>
        <v>17148616</v>
      </c>
      <c r="AB42" s="69">
        <f t="shared" si="20"/>
        <v>0.07853027218</v>
      </c>
      <c r="AC42" s="46"/>
      <c r="AD42" s="69">
        <f>F121</f>
        <v>0.1096244814</v>
      </c>
      <c r="AE42" s="69">
        <f t="shared" si="21"/>
        <v>0.07853027218</v>
      </c>
      <c r="AF42" s="69">
        <f t="shared" si="22"/>
        <v>-0.283642931</v>
      </c>
      <c r="AG42" s="5"/>
      <c r="AH42" s="5"/>
      <c r="AI42" s="5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5"/>
      <c r="X43" s="46"/>
      <c r="Y43" s="46"/>
      <c r="Z43" s="46"/>
      <c r="AA43" s="46"/>
      <c r="AB43" s="46"/>
      <c r="AC43" s="46"/>
      <c r="AD43" s="46"/>
      <c r="AE43" s="46"/>
      <c r="AF43" s="46"/>
      <c r="AG43" s="55"/>
      <c r="AH43" s="55"/>
      <c r="AI43" s="5"/>
    </row>
    <row r="44">
      <c r="A44" s="2"/>
      <c r="B44" s="68" t="s">
        <v>73</v>
      </c>
      <c r="C44" s="17"/>
      <c r="D44" s="17"/>
      <c r="E44" s="17"/>
      <c r="F44" s="17"/>
      <c r="G44" s="17"/>
      <c r="H44" s="18"/>
      <c r="I44" s="2"/>
      <c r="J44" s="2"/>
      <c r="K44" s="2" t="s">
        <v>74</v>
      </c>
      <c r="L44" s="35">
        <f t="shared" ref="L44:V44" si="29">L40/L42-1</f>
        <v>0.2201998076</v>
      </c>
      <c r="M44" s="86">
        <f t="shared" si="29"/>
        <v>0.5468314691</v>
      </c>
      <c r="N44" s="87">
        <f t="shared" si="29"/>
        <v>0.2298611227</v>
      </c>
      <c r="O44" s="86">
        <f t="shared" si="29"/>
        <v>0.2817344656</v>
      </c>
      <c r="P44" s="87">
        <f t="shared" si="29"/>
        <v>0.1332771831</v>
      </c>
      <c r="Q44" s="86">
        <f t="shared" si="29"/>
        <v>-0.1052014515</v>
      </c>
      <c r="R44" s="87">
        <f t="shared" si="29"/>
        <v>0.193416007</v>
      </c>
      <c r="S44" s="86">
        <f t="shared" si="29"/>
        <v>6.389018351</v>
      </c>
      <c r="T44" s="87">
        <f t="shared" si="29"/>
        <v>0.1986648084</v>
      </c>
      <c r="U44" s="86" t="str">
        <f t="shared" si="29"/>
        <v>#DIV/0!</v>
      </c>
      <c r="V44" s="87">
        <f t="shared" si="29"/>
        <v>8.233074485</v>
      </c>
      <c r="W44" s="5"/>
      <c r="X44" s="72" t="s">
        <v>71</v>
      </c>
      <c r="Z44" s="14" t="s">
        <v>17</v>
      </c>
      <c r="AA44" s="14" t="s">
        <v>61</v>
      </c>
      <c r="AB44" s="14" t="s">
        <v>62</v>
      </c>
      <c r="AC44" s="24"/>
      <c r="AD44" s="73" t="s">
        <v>63</v>
      </c>
      <c r="AE44" s="73" t="s">
        <v>64</v>
      </c>
      <c r="AF44" s="14" t="s">
        <v>48</v>
      </c>
      <c r="AG44" s="5"/>
      <c r="AH44" s="5"/>
      <c r="AI44" s="5"/>
    </row>
    <row r="45">
      <c r="A45" s="2"/>
      <c r="B45" s="70" t="str">
        <f>B27</f>
        <v>Биг–Л / Сентябрь | до </v>
      </c>
      <c r="C45" s="17"/>
      <c r="D45" s="28">
        <f>$D$4</f>
        <v>45930</v>
      </c>
      <c r="E45" s="2"/>
      <c r="F45" s="70" t="str">
        <f>F27</f>
        <v>Смарт / Сентябрь | до </v>
      </c>
      <c r="G45" s="17"/>
      <c r="H45" s="28">
        <f>$D$4</f>
        <v>45930</v>
      </c>
      <c r="I45" s="2"/>
      <c r="J45" s="2"/>
      <c r="K45" s="19" t="s">
        <v>75</v>
      </c>
      <c r="M45" s="89">
        <f>SUM(M40:N40)/SUM(M42:N42)-1</f>
        <v>0.3196058979</v>
      </c>
      <c r="N45" s="90"/>
      <c r="O45" s="89">
        <f>SUM(O40:P40)/SUM(O42:P42)-1</f>
        <v>0.166134534</v>
      </c>
      <c r="P45" s="90"/>
      <c r="Q45" s="89">
        <f>SUM(Q40:R40)/SUM(Q42:R42)-1</f>
        <v>0.1203314171</v>
      </c>
      <c r="R45" s="90"/>
      <c r="S45" s="89">
        <f>SUM(S40:T40)/SUM(S42:T42)-1</f>
        <v>0.4660143793</v>
      </c>
      <c r="T45" s="90"/>
      <c r="U45" s="89">
        <f>SUM(U40:V40)/SUM(U42:V42)-1</f>
        <v>8.233074485</v>
      </c>
      <c r="V45" s="90"/>
      <c r="W45" s="5"/>
      <c r="X45" s="21" t="s">
        <v>24</v>
      </c>
      <c r="Y45" s="22" t="s">
        <v>19</v>
      </c>
      <c r="Z45" s="23">
        <f t="shared" ref="Z45:Z54" si="31">Z32</f>
        <v>34886232</v>
      </c>
      <c r="AA45" s="23">
        <f>C30</f>
        <v>2398096</v>
      </c>
      <c r="AB45" s="63">
        <f t="shared" ref="AB45:AB55" si="32">AA45/Z45</f>
        <v>0.06874047045</v>
      </c>
      <c r="AC45" s="24"/>
      <c r="AD45" s="63">
        <f t="shared" ref="AD45:AD55" si="33">AD32</f>
        <v>0.1</v>
      </c>
      <c r="AE45" s="63">
        <f t="shared" ref="AE45:AE55" si="34">AB45</f>
        <v>0.06874047045</v>
      </c>
      <c r="AF45" s="63">
        <f t="shared" ref="AF45:AF55" si="35">AE45/AD45-1</f>
        <v>-0.3125952955</v>
      </c>
      <c r="AG45" s="5"/>
      <c r="AH45" s="5"/>
      <c r="AI45" s="5"/>
    </row>
    <row r="46">
      <c r="A46" s="35">
        <f t="shared" ref="A46:A47" si="36">IFERROR(C46/$C$30, " ")</f>
        <v>0.627980281</v>
      </c>
      <c r="B46" s="41" t="s">
        <v>59</v>
      </c>
      <c r="C46" s="32">
        <v>1505957.0</v>
      </c>
      <c r="D46" s="53"/>
      <c r="E46" s="2"/>
      <c r="F46" s="41" t="s">
        <v>59</v>
      </c>
      <c r="G46" s="32">
        <v>2634160.0</v>
      </c>
      <c r="H46" s="53"/>
      <c r="I46" s="35">
        <f t="shared" ref="I46:I47" si="37">IFERROR(G46/$G$30, " ")</f>
        <v>0.394570595</v>
      </c>
      <c r="J46" s="2"/>
      <c r="K46" s="2" t="s">
        <v>76</v>
      </c>
      <c r="L46" s="30">
        <f t="shared" ref="L46:V46" si="30">L40-L42</f>
        <v>41715824.1</v>
      </c>
      <c r="M46" s="93">
        <f t="shared" si="30"/>
        <v>9529591</v>
      </c>
      <c r="N46" s="94">
        <f t="shared" si="30"/>
        <v>10142250.1</v>
      </c>
      <c r="O46" s="93">
        <f t="shared" si="30"/>
        <v>7717335</v>
      </c>
      <c r="P46" s="94">
        <f t="shared" si="30"/>
        <v>12844234</v>
      </c>
      <c r="Q46" s="93">
        <f t="shared" si="30"/>
        <v>-95383</v>
      </c>
      <c r="R46" s="94">
        <f t="shared" si="30"/>
        <v>541160</v>
      </c>
      <c r="S46" s="95">
        <f t="shared" si="30"/>
        <v>87734</v>
      </c>
      <c r="T46" s="54">
        <f t="shared" si="30"/>
        <v>60439</v>
      </c>
      <c r="U46" s="95">
        <f t="shared" si="30"/>
        <v>0</v>
      </c>
      <c r="V46" s="54">
        <f t="shared" si="30"/>
        <v>888464</v>
      </c>
      <c r="W46" s="5"/>
      <c r="Y46" s="22" t="s">
        <v>27</v>
      </c>
      <c r="Z46" s="23">
        <f t="shared" si="31"/>
        <v>108267871</v>
      </c>
      <c r="AA46" s="23">
        <f>G30</f>
        <v>6676017</v>
      </c>
      <c r="AB46" s="63">
        <f t="shared" si="32"/>
        <v>0.06166203268</v>
      </c>
      <c r="AC46" s="24"/>
      <c r="AD46" s="63">
        <f t="shared" si="33"/>
        <v>0.09</v>
      </c>
      <c r="AE46" s="63">
        <f t="shared" si="34"/>
        <v>0.06166203268</v>
      </c>
      <c r="AF46" s="63">
        <f t="shared" si="35"/>
        <v>-0.3148663035</v>
      </c>
      <c r="AG46" s="55"/>
      <c r="AH46" s="55"/>
      <c r="AI46" s="5"/>
    </row>
    <row r="47">
      <c r="A47" s="35">
        <f t="shared" si="36"/>
        <v>0.07832296956</v>
      </c>
      <c r="B47" s="41" t="s">
        <v>77</v>
      </c>
      <c r="C47" s="30">
        <f>C29</f>
        <v>187826</v>
      </c>
      <c r="D47" s="40"/>
      <c r="E47" s="2"/>
      <c r="F47" s="41" t="s">
        <v>77</v>
      </c>
      <c r="G47" s="30">
        <f>G29</f>
        <v>138423</v>
      </c>
      <c r="H47" s="53"/>
      <c r="I47" s="35">
        <f t="shared" si="37"/>
        <v>0.02073436901</v>
      </c>
      <c r="J47" s="2"/>
      <c r="K47" s="19" t="s">
        <v>78</v>
      </c>
      <c r="M47" s="97">
        <f>SUM(M40:N40)-SUM(M42:N42)</f>
        <v>19671841.1</v>
      </c>
      <c r="N47" s="90"/>
      <c r="O47" s="97">
        <f>SUM(O40:P40)-SUM(O42:P42)</f>
        <v>20561569</v>
      </c>
      <c r="P47" s="90"/>
      <c r="Q47" s="97">
        <f>SUM(Q40:R40)-SUM(Q42:R42)</f>
        <v>445777</v>
      </c>
      <c r="R47" s="90"/>
      <c r="S47" s="97">
        <f>SUM(S40:T40)-SUM(S42:T42)</f>
        <v>148173</v>
      </c>
      <c r="T47" s="90"/>
      <c r="U47" s="97">
        <f>SUM(U40:V40)-SUM(U42:V42)</f>
        <v>888464</v>
      </c>
      <c r="V47" s="90"/>
      <c r="W47" s="5"/>
      <c r="X47" s="21" t="s">
        <v>18</v>
      </c>
      <c r="Y47" s="22" t="s">
        <v>19</v>
      </c>
      <c r="Z47" s="23">
        <f t="shared" si="31"/>
        <v>25030992.89</v>
      </c>
      <c r="AA47" s="23">
        <f t="shared" ref="AA47:AA54" si="38">AA34</f>
        <v>5800520</v>
      </c>
      <c r="AB47" s="63">
        <f t="shared" si="32"/>
        <v>0.2317335163</v>
      </c>
      <c r="AC47" s="24"/>
      <c r="AD47" s="63">
        <f t="shared" si="33"/>
        <v>0.19</v>
      </c>
      <c r="AE47" s="63">
        <f t="shared" si="34"/>
        <v>0.2317335163</v>
      </c>
      <c r="AF47" s="63">
        <f t="shared" si="35"/>
        <v>0.219650086</v>
      </c>
      <c r="AG47" s="55"/>
      <c r="AH47" s="55"/>
      <c r="AI47" s="5"/>
    </row>
    <row r="48">
      <c r="A48" s="2"/>
      <c r="B48" s="41" t="s">
        <v>42</v>
      </c>
      <c r="C48" s="30">
        <f>SUM(C46:C47)</f>
        <v>1693783</v>
      </c>
      <c r="D48" s="40"/>
      <c r="E48" s="2"/>
      <c r="F48" s="41" t="s">
        <v>42</v>
      </c>
      <c r="G48" s="30">
        <f>SUM(G46:G47)</f>
        <v>2772583</v>
      </c>
      <c r="H48" s="40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5"/>
      <c r="Y48" s="22" t="s">
        <v>27</v>
      </c>
      <c r="Z48" s="23">
        <f t="shared" si="31"/>
        <v>50514009.88</v>
      </c>
      <c r="AA48" s="23">
        <f t="shared" si="38"/>
        <v>6055805</v>
      </c>
      <c r="AB48" s="63">
        <f t="shared" si="32"/>
        <v>0.1198836722</v>
      </c>
      <c r="AC48" s="24"/>
      <c r="AD48" s="63">
        <f t="shared" si="33"/>
        <v>0.11</v>
      </c>
      <c r="AE48" s="63">
        <f t="shared" si="34"/>
        <v>0.1198836722</v>
      </c>
      <c r="AF48" s="63">
        <f t="shared" si="35"/>
        <v>0.08985156503</v>
      </c>
      <c r="AG48" s="55"/>
      <c r="AH48" s="55"/>
      <c r="AI48" s="5"/>
    </row>
    <row r="49">
      <c r="A49" s="2"/>
      <c r="B49" s="41" t="s">
        <v>43</v>
      </c>
      <c r="C49" s="2"/>
      <c r="D49" s="54">
        <f>O35</f>
        <v>35109564</v>
      </c>
      <c r="E49" s="2"/>
      <c r="F49" s="41" t="s">
        <v>43</v>
      </c>
      <c r="G49" s="2"/>
      <c r="H49" s="54">
        <f>P35</f>
        <v>109216574</v>
      </c>
      <c r="I49" s="2"/>
      <c r="J49" s="2"/>
      <c r="K49" s="2" t="s">
        <v>79</v>
      </c>
      <c r="L49" s="99">
        <v>2.35E8</v>
      </c>
      <c r="M49" s="30">
        <f t="shared" ref="M49:V49" si="39">$L$49*M36</f>
        <v>27404177.94</v>
      </c>
      <c r="N49" s="30">
        <f t="shared" si="39"/>
        <v>55166811.44</v>
      </c>
      <c r="O49" s="30">
        <f t="shared" si="39"/>
        <v>35692622.12</v>
      </c>
      <c r="P49" s="30">
        <f t="shared" si="39"/>
        <v>111030313.7</v>
      </c>
      <c r="Q49" s="30">
        <f t="shared" si="39"/>
        <v>824759.8951</v>
      </c>
      <c r="R49" s="30">
        <f t="shared" si="39"/>
        <v>3394518.276</v>
      </c>
      <c r="S49" s="30">
        <f t="shared" si="39"/>
        <v>103151.0273</v>
      </c>
      <c r="T49" s="30">
        <f t="shared" si="39"/>
        <v>370720.9251</v>
      </c>
      <c r="U49" s="30">
        <f t="shared" si="39"/>
        <v>0</v>
      </c>
      <c r="V49" s="30">
        <f t="shared" si="39"/>
        <v>1012924.668</v>
      </c>
      <c r="W49" s="5"/>
      <c r="X49" s="21" t="s">
        <v>31</v>
      </c>
      <c r="Y49" s="22" t="s">
        <v>19</v>
      </c>
      <c r="Z49" s="23">
        <f t="shared" si="31"/>
        <v>-4890173.226</v>
      </c>
      <c r="AA49" s="23">
        <f t="shared" si="38"/>
        <v>169923</v>
      </c>
      <c r="AB49" s="63">
        <f t="shared" si="32"/>
        <v>-0.03474784883</v>
      </c>
      <c r="AC49" s="24"/>
      <c r="AD49" s="63">
        <f t="shared" si="33"/>
        <v>0.18</v>
      </c>
      <c r="AE49" s="63">
        <f t="shared" si="34"/>
        <v>-0.03474784883</v>
      </c>
      <c r="AF49" s="63">
        <f t="shared" si="35"/>
        <v>-1.193043605</v>
      </c>
      <c r="AG49" s="55"/>
      <c r="AH49" s="55"/>
      <c r="AI49" s="5"/>
    </row>
    <row r="50">
      <c r="A50" s="2"/>
      <c r="B50" s="41" t="s">
        <v>44</v>
      </c>
      <c r="C50" s="2"/>
      <c r="D50" s="57">
        <f>C48/D49</f>
        <v>0.0482427808</v>
      </c>
      <c r="E50" s="2"/>
      <c r="F50" s="41" t="s">
        <v>44</v>
      </c>
      <c r="G50" s="2"/>
      <c r="H50" s="57">
        <f>G48/H49</f>
        <v>0.0253861012</v>
      </c>
      <c r="I50" s="2"/>
      <c r="J50" s="2"/>
      <c r="K50" s="2" t="s">
        <v>80</v>
      </c>
      <c r="L50" s="76">
        <f t="shared" ref="L50:V50" si="40">L49-L35</f>
        <v>3838851</v>
      </c>
      <c r="M50" s="30">
        <f t="shared" si="40"/>
        <v>447661.94</v>
      </c>
      <c r="N50" s="30">
        <f t="shared" si="40"/>
        <v>901179.4437</v>
      </c>
      <c r="O50" s="30">
        <f t="shared" si="40"/>
        <v>583058.1196</v>
      </c>
      <c r="P50" s="30">
        <f t="shared" si="40"/>
        <v>1813739.706</v>
      </c>
      <c r="Q50" s="30">
        <f t="shared" si="40"/>
        <v>13472.8951</v>
      </c>
      <c r="R50" s="30">
        <f t="shared" si="40"/>
        <v>55451.27608</v>
      </c>
      <c r="S50" s="30">
        <f t="shared" si="40"/>
        <v>1685.027338</v>
      </c>
      <c r="T50" s="30">
        <f t="shared" si="40"/>
        <v>6055.925081</v>
      </c>
      <c r="U50" s="30">
        <f t="shared" si="40"/>
        <v>0</v>
      </c>
      <c r="V50" s="30">
        <f t="shared" si="40"/>
        <v>16546.66754</v>
      </c>
      <c r="W50" s="5"/>
      <c r="Y50" s="22" t="s">
        <v>27</v>
      </c>
      <c r="Z50" s="23">
        <f t="shared" si="31"/>
        <v>3184978</v>
      </c>
      <c r="AA50" s="23">
        <f t="shared" si="38"/>
        <v>656002</v>
      </c>
      <c r="AB50" s="63">
        <f t="shared" si="32"/>
        <v>0.2059675137</v>
      </c>
      <c r="AC50" s="24"/>
      <c r="AD50" s="63">
        <f t="shared" si="33"/>
        <v>0.175</v>
      </c>
      <c r="AE50" s="63">
        <f t="shared" si="34"/>
        <v>0.2059675137</v>
      </c>
      <c r="AF50" s="63">
        <f t="shared" si="35"/>
        <v>0.1769572214</v>
      </c>
      <c r="AG50" s="55"/>
      <c r="AH50" s="55"/>
      <c r="AI50" s="5"/>
    </row>
    <row r="51">
      <c r="A51" s="35">
        <f>D50/C51</f>
        <v>0.482427808</v>
      </c>
      <c r="B51" s="41" t="s">
        <v>47</v>
      </c>
      <c r="C51" s="35">
        <v>0.1</v>
      </c>
      <c r="D51" s="54">
        <f>D49*C51</f>
        <v>3510956.4</v>
      </c>
      <c r="E51" s="2"/>
      <c r="F51" s="41" t="s">
        <v>47</v>
      </c>
      <c r="G51" s="35">
        <v>0.09</v>
      </c>
      <c r="H51" s="57">
        <f>H49*G51</f>
        <v>9829491.66</v>
      </c>
      <c r="I51" s="35">
        <f>H50/G51</f>
        <v>0.2820677911</v>
      </c>
      <c r="J51" s="2"/>
      <c r="K51" s="2" t="s">
        <v>81</v>
      </c>
      <c r="L51" s="76" t="str">
        <f>SUM(M51:V51)</f>
        <v>#DIV/0!</v>
      </c>
      <c r="M51" s="30" t="str">
        <f t="shared" ref="M51:V51" si="41">M50/($G$1-$C$1)</f>
        <v>#DIV/0!</v>
      </c>
      <c r="N51" s="30" t="str">
        <f t="shared" si="41"/>
        <v>#DIV/0!</v>
      </c>
      <c r="O51" s="30" t="str">
        <f t="shared" si="41"/>
        <v>#DIV/0!</v>
      </c>
      <c r="P51" s="30" t="str">
        <f t="shared" si="41"/>
        <v>#DIV/0!</v>
      </c>
      <c r="Q51" s="30" t="str">
        <f t="shared" si="41"/>
        <v>#DIV/0!</v>
      </c>
      <c r="R51" s="30" t="str">
        <f t="shared" si="41"/>
        <v>#DIV/0!</v>
      </c>
      <c r="S51" s="30" t="str">
        <f t="shared" si="41"/>
        <v>#DIV/0!</v>
      </c>
      <c r="T51" s="30" t="str">
        <f t="shared" si="41"/>
        <v>#DIV/0!</v>
      </c>
      <c r="U51" s="30" t="str">
        <f t="shared" si="41"/>
        <v>#DIV/0!</v>
      </c>
      <c r="V51" s="30" t="str">
        <f t="shared" si="41"/>
        <v>#DIV/0!</v>
      </c>
      <c r="W51" s="5"/>
      <c r="X51" s="44" t="s">
        <v>34</v>
      </c>
      <c r="Y51" s="22" t="s">
        <v>19</v>
      </c>
      <c r="Z51" s="23">
        <f t="shared" si="31"/>
        <v>101466</v>
      </c>
      <c r="AA51" s="23">
        <f t="shared" si="38"/>
        <v>0</v>
      </c>
      <c r="AB51" s="63">
        <f t="shared" si="32"/>
        <v>0</v>
      </c>
      <c r="AC51" s="46"/>
      <c r="AD51" s="63">
        <f t="shared" si="33"/>
        <v>0.15</v>
      </c>
      <c r="AE51" s="63">
        <f t="shared" si="34"/>
        <v>0</v>
      </c>
      <c r="AF51" s="63">
        <f t="shared" si="35"/>
        <v>-1</v>
      </c>
      <c r="AG51" s="46"/>
      <c r="AH51" s="46"/>
      <c r="AI51" s="5"/>
    </row>
    <row r="52">
      <c r="A52" s="2"/>
      <c r="B52" s="77" t="s">
        <v>50</v>
      </c>
      <c r="C52" s="61"/>
      <c r="D52" s="62">
        <f>C48-D51</f>
        <v>-1817173.4</v>
      </c>
      <c r="E52" s="2"/>
      <c r="F52" s="77" t="s">
        <v>50</v>
      </c>
      <c r="G52" s="61"/>
      <c r="H52" s="62">
        <f>G48-H51</f>
        <v>-7056908.66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5"/>
      <c r="Y52" s="22" t="s">
        <v>27</v>
      </c>
      <c r="Z52" s="23">
        <f t="shared" si="31"/>
        <v>314564</v>
      </c>
      <c r="AA52" s="23">
        <f t="shared" si="38"/>
        <v>0</v>
      </c>
      <c r="AB52" s="63">
        <f t="shared" si="32"/>
        <v>0</v>
      </c>
      <c r="AC52" s="46"/>
      <c r="AD52" s="63">
        <f t="shared" si="33"/>
        <v>0.15</v>
      </c>
      <c r="AE52" s="63">
        <f t="shared" si="34"/>
        <v>0</v>
      </c>
      <c r="AF52" s="63">
        <f t="shared" si="35"/>
        <v>-1</v>
      </c>
      <c r="AG52" s="46"/>
      <c r="AH52" s="46"/>
      <c r="AI52" s="5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31">
        <v>8.5E7</v>
      </c>
      <c r="O53" s="2"/>
      <c r="P53" s="2"/>
      <c r="Q53" s="2"/>
      <c r="R53" s="2"/>
      <c r="S53" s="2"/>
      <c r="T53" s="2"/>
      <c r="U53" s="2"/>
      <c r="V53" s="2"/>
      <c r="W53" s="5"/>
      <c r="X53" s="44" t="s">
        <v>37</v>
      </c>
      <c r="Y53" s="22" t="s">
        <v>19</v>
      </c>
      <c r="Z53" s="23">
        <f t="shared" si="31"/>
        <v>0</v>
      </c>
      <c r="AA53" s="23">
        <f t="shared" si="38"/>
        <v>0</v>
      </c>
      <c r="AB53" s="63" t="str">
        <f t="shared" si="32"/>
        <v>#DIV/0!</v>
      </c>
      <c r="AC53" s="46"/>
      <c r="AD53" s="63">
        <f t="shared" si="33"/>
        <v>0</v>
      </c>
      <c r="AE53" s="63" t="str">
        <f t="shared" si="34"/>
        <v>#DIV/0!</v>
      </c>
      <c r="AF53" s="63" t="str">
        <f t="shared" si="35"/>
        <v>#DIV/0!</v>
      </c>
      <c r="AG53" s="46"/>
      <c r="AH53" s="46"/>
      <c r="AI53" s="5"/>
    </row>
    <row r="54">
      <c r="A54" s="2"/>
      <c r="B54" s="58" t="s">
        <v>51</v>
      </c>
      <c r="C54" s="58"/>
      <c r="D54" s="64">
        <f>O42</f>
        <v>27392229</v>
      </c>
      <c r="E54" s="2"/>
      <c r="F54" s="58" t="s">
        <v>51</v>
      </c>
      <c r="G54" s="58"/>
      <c r="H54" s="64">
        <f>P42</f>
        <v>96372340</v>
      </c>
      <c r="I54" s="2"/>
      <c r="J54" s="2"/>
      <c r="K54" s="2"/>
      <c r="L54" s="2"/>
      <c r="M54" s="4"/>
      <c r="N54" s="58">
        <f>N53-SUM(M35:N35)</f>
        <v>3777852</v>
      </c>
      <c r="O54" s="2"/>
      <c r="P54" s="2"/>
      <c r="Q54" s="2"/>
      <c r="R54" s="2"/>
      <c r="S54" s="2"/>
      <c r="T54" s="2"/>
      <c r="U54" s="2"/>
      <c r="V54" s="2"/>
      <c r="W54" s="5"/>
      <c r="Y54" s="22" t="s">
        <v>27</v>
      </c>
      <c r="Z54" s="23">
        <f t="shared" si="31"/>
        <v>959556</v>
      </c>
      <c r="AA54" s="23">
        <f t="shared" si="38"/>
        <v>0</v>
      </c>
      <c r="AB54" s="63">
        <f t="shared" si="32"/>
        <v>0</v>
      </c>
      <c r="AC54" s="46"/>
      <c r="AD54" s="63">
        <f t="shared" si="33"/>
        <v>0</v>
      </c>
      <c r="AE54" s="63">
        <f t="shared" si="34"/>
        <v>0</v>
      </c>
      <c r="AF54" s="63" t="str">
        <f t="shared" si="35"/>
        <v>#DIV/0!</v>
      </c>
      <c r="AG54" s="46"/>
      <c r="AH54" s="46"/>
      <c r="AI54" s="5"/>
    </row>
    <row r="55">
      <c r="A55" s="2"/>
      <c r="B55" s="2" t="s">
        <v>52</v>
      </c>
      <c r="C55" s="2"/>
      <c r="D55" s="30">
        <f>D49/$C$1</f>
        <v>1170318.8</v>
      </c>
      <c r="E55" s="2"/>
      <c r="F55" s="2" t="s">
        <v>52</v>
      </c>
      <c r="G55" s="2"/>
      <c r="H55" s="30">
        <f>H49/$C$1</f>
        <v>3640552.467</v>
      </c>
      <c r="I55" s="2"/>
      <c r="J55" s="2"/>
      <c r="K55" s="2"/>
      <c r="L55" s="2"/>
      <c r="M55" s="56">
        <f>M35/SUM(M35:N35)</f>
        <v>0.3318862732</v>
      </c>
      <c r="N55" s="56">
        <f>N35/SUM(M35:N35)</f>
        <v>0.6681137268</v>
      </c>
      <c r="O55" s="2"/>
      <c r="P55" s="2"/>
      <c r="Q55" s="2"/>
      <c r="R55" s="2"/>
      <c r="S55" s="2"/>
      <c r="T55" s="2"/>
      <c r="U55" s="2"/>
      <c r="V55" s="2"/>
      <c r="W55" s="5"/>
      <c r="X55" s="5"/>
      <c r="Y55" s="5"/>
      <c r="Z55" s="52">
        <f t="shared" ref="Z55:AA55" si="42">SUM(Z45:Z54)</f>
        <v>218369496.5</v>
      </c>
      <c r="AA55" s="52">
        <f t="shared" si="42"/>
        <v>21756363</v>
      </c>
      <c r="AB55" s="69">
        <f t="shared" si="32"/>
        <v>0.09963096194</v>
      </c>
      <c r="AC55" s="5"/>
      <c r="AD55" s="69">
        <f t="shared" si="33"/>
        <v>0.1096244814</v>
      </c>
      <c r="AE55" s="69">
        <f t="shared" si="34"/>
        <v>0.09963096194</v>
      </c>
      <c r="AF55" s="69">
        <f t="shared" si="35"/>
        <v>-0.09116138403</v>
      </c>
      <c r="AG55" s="55"/>
      <c r="AH55" s="24"/>
      <c r="AI55" s="5"/>
    </row>
    <row r="56">
      <c r="A56" s="2"/>
      <c r="B56" s="2" t="s">
        <v>53</v>
      </c>
      <c r="C56" s="2"/>
      <c r="D56" s="30">
        <f>D54/$G$1*$C$1</f>
        <v>27392229</v>
      </c>
      <c r="E56" s="2"/>
      <c r="F56" s="2" t="s">
        <v>53</v>
      </c>
      <c r="G56" s="2"/>
      <c r="H56" s="30">
        <f>H54/$G$1*$C$1</f>
        <v>96372340</v>
      </c>
      <c r="I56" s="2"/>
      <c r="J56" s="2"/>
      <c r="K56" s="2"/>
      <c r="L56" s="2"/>
      <c r="M56" s="58">
        <f>N54*M55</f>
        <v>1253817.221</v>
      </c>
      <c r="N56" s="58">
        <f>N54*N55</f>
        <v>2524034.779</v>
      </c>
      <c r="O56" s="2"/>
      <c r="P56" s="2"/>
      <c r="Q56" s="2"/>
      <c r="R56" s="2"/>
      <c r="S56" s="2"/>
      <c r="T56" s="2"/>
      <c r="U56" s="2"/>
      <c r="V56" s="2"/>
      <c r="W56" s="5"/>
      <c r="X56" s="55"/>
      <c r="Y56" s="55"/>
      <c r="Z56" s="55"/>
      <c r="AA56" s="55"/>
      <c r="AB56" s="55"/>
      <c r="AC56" s="55"/>
      <c r="AD56" s="55"/>
      <c r="AE56" s="55"/>
      <c r="AF56" s="55"/>
      <c r="AG56" s="5"/>
      <c r="AH56" s="5"/>
      <c r="AI56" s="5"/>
    </row>
    <row r="57">
      <c r="A57" s="2"/>
      <c r="B57" s="2" t="s">
        <v>54</v>
      </c>
      <c r="C57" s="2"/>
      <c r="D57" s="30" t="str">
        <f>(D54-D49)/($G$1-$C$1)</f>
        <v>#DIV/0!</v>
      </c>
      <c r="E57" s="2"/>
      <c r="F57" s="2" t="s">
        <v>54</v>
      </c>
      <c r="G57" s="2"/>
      <c r="H57" s="30" t="str">
        <f>(H54-H49)/($G$1-$C$1)</f>
        <v>#DIV/0!</v>
      </c>
      <c r="I57" s="2"/>
      <c r="J57" s="2"/>
      <c r="K57" s="2"/>
      <c r="L57" s="2"/>
      <c r="M57" s="2" t="str">
        <f>M56/(G1-C1)</f>
        <v>#DIV/0!</v>
      </c>
      <c r="N57" s="2" t="str">
        <f>N56/(G1-C1)</f>
        <v>#DIV/0!</v>
      </c>
      <c r="O57" s="2"/>
      <c r="P57" s="2"/>
      <c r="Q57" s="2"/>
      <c r="R57" s="2"/>
      <c r="S57" s="2"/>
      <c r="T57" s="2"/>
      <c r="U57" s="2"/>
      <c r="V57" s="2"/>
      <c r="W57" s="5"/>
      <c r="X57" s="5"/>
      <c r="Y57" s="5"/>
      <c r="Z57" s="14" t="s">
        <v>12</v>
      </c>
      <c r="AA57" s="14" t="s">
        <v>17</v>
      </c>
      <c r="AB57" s="101" t="s">
        <v>48</v>
      </c>
      <c r="AC57" s="5"/>
      <c r="AD57" s="14" t="s">
        <v>63</v>
      </c>
      <c r="AE57" s="14" t="s">
        <v>64</v>
      </c>
      <c r="AF57" s="101" t="s">
        <v>48</v>
      </c>
      <c r="AG57" s="5"/>
      <c r="AH57" s="5"/>
      <c r="AI57" s="5"/>
    </row>
    <row r="58">
      <c r="A58" s="2"/>
      <c r="B58" s="2" t="s">
        <v>55</v>
      </c>
      <c r="C58" s="2"/>
      <c r="D58" s="30">
        <f>D49-D56</f>
        <v>7717335</v>
      </c>
      <c r="E58" s="2"/>
      <c r="F58" s="2" t="s">
        <v>55</v>
      </c>
      <c r="G58" s="2"/>
      <c r="H58" s="30">
        <f>H49-H56</f>
        <v>12844234</v>
      </c>
      <c r="I58" s="2"/>
      <c r="J58" s="2"/>
      <c r="K58" s="2"/>
      <c r="L58" s="2"/>
      <c r="M58" s="56"/>
      <c r="N58" s="56"/>
      <c r="O58" s="2"/>
      <c r="P58" s="2"/>
      <c r="Q58" s="2"/>
      <c r="R58" s="2"/>
      <c r="S58" s="2"/>
      <c r="T58" s="2"/>
      <c r="U58" s="2"/>
      <c r="V58" s="2"/>
      <c r="W58" s="5"/>
      <c r="X58" s="21" t="s">
        <v>24</v>
      </c>
      <c r="Y58" s="22" t="s">
        <v>19</v>
      </c>
      <c r="Z58" s="23">
        <f t="shared" ref="Z58:Z68" si="44">AB3</f>
        <v>27392229</v>
      </c>
      <c r="AA58" s="23">
        <f t="shared" ref="AA58:AA68" si="45">AH3</f>
        <v>34886232</v>
      </c>
      <c r="AB58" s="63">
        <f t="shared" ref="AB58:AB68" si="46">IFERROR(AA58/Z58, " ")</f>
        <v>1.27358135</v>
      </c>
      <c r="AC58" s="5"/>
      <c r="AD58" s="63">
        <f t="shared" ref="AD58:AE58" si="43">AD45</f>
        <v>0.1</v>
      </c>
      <c r="AE58" s="63">
        <f t="shared" si="43"/>
        <v>0.06874047045</v>
      </c>
      <c r="AF58" s="63">
        <f t="shared" ref="AF58:AF68" si="48">AE58/AD58-1</f>
        <v>-0.3125952955</v>
      </c>
      <c r="AG58" s="5"/>
      <c r="AH58" s="5"/>
      <c r="AI58" s="5"/>
    </row>
    <row r="59">
      <c r="A59" s="2"/>
      <c r="B59" s="2" t="s">
        <v>56</v>
      </c>
      <c r="C59" s="2"/>
      <c r="D59" s="30">
        <f>D49/$C$1*$G$1</f>
        <v>35109564</v>
      </c>
      <c r="E59" s="2"/>
      <c r="F59" s="2" t="s">
        <v>56</v>
      </c>
      <c r="G59" s="2"/>
      <c r="H59" s="30">
        <f>H49/$C$1*$G$1</f>
        <v>109216574</v>
      </c>
      <c r="I59" s="2"/>
      <c r="J59" s="2"/>
      <c r="K59" s="2"/>
      <c r="L59" s="2"/>
      <c r="M59" s="4"/>
      <c r="N59" s="4"/>
      <c r="O59" s="4"/>
      <c r="P59" s="4"/>
      <c r="Q59" s="4"/>
      <c r="R59" s="4"/>
      <c r="S59" s="4"/>
      <c r="T59" s="4"/>
      <c r="U59" s="4"/>
      <c r="V59" s="4"/>
      <c r="W59" s="5"/>
      <c r="Y59" s="22" t="s">
        <v>27</v>
      </c>
      <c r="Z59" s="23">
        <f t="shared" si="44"/>
        <v>96372340</v>
      </c>
      <c r="AA59" s="23">
        <f t="shared" si="45"/>
        <v>108267871</v>
      </c>
      <c r="AB59" s="63">
        <f t="shared" si="46"/>
        <v>1.123433041</v>
      </c>
      <c r="AC59" s="55"/>
      <c r="AD59" s="63">
        <f t="shared" ref="AD59:AE59" si="47">AD46</f>
        <v>0.09</v>
      </c>
      <c r="AE59" s="63">
        <f t="shared" si="47"/>
        <v>0.06166203268</v>
      </c>
      <c r="AF59" s="63">
        <f t="shared" si="48"/>
        <v>-0.3148663035</v>
      </c>
      <c r="AG59" s="5"/>
      <c r="AH59" s="5"/>
      <c r="AI59" s="5"/>
    </row>
    <row r="60">
      <c r="A60" s="2"/>
      <c r="B60" s="66" t="s">
        <v>57</v>
      </c>
      <c r="C60" s="66"/>
      <c r="D60" s="67">
        <f>D59/D54</f>
        <v>1.281734466</v>
      </c>
      <c r="E60" s="2"/>
      <c r="F60" s="66" t="s">
        <v>57</v>
      </c>
      <c r="G60" s="66"/>
      <c r="H60" s="67">
        <f>H59/H54</f>
        <v>1.133277183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5"/>
      <c r="X60" s="21" t="s">
        <v>18</v>
      </c>
      <c r="Y60" s="22" t="s">
        <v>19</v>
      </c>
      <c r="Z60" s="23">
        <f t="shared" si="44"/>
        <v>17426925</v>
      </c>
      <c r="AA60" s="23">
        <f t="shared" si="45"/>
        <v>25030992.89</v>
      </c>
      <c r="AB60" s="63">
        <f t="shared" si="46"/>
        <v>1.436340197</v>
      </c>
      <c r="AC60" s="55"/>
      <c r="AD60" s="63">
        <f t="shared" ref="AD60:AE60" si="49">AD47</f>
        <v>0.19</v>
      </c>
      <c r="AE60" s="63">
        <f t="shared" si="49"/>
        <v>0.2317335163</v>
      </c>
      <c r="AF60" s="63">
        <f t="shared" si="48"/>
        <v>0.219650086</v>
      </c>
      <c r="AG60" s="5"/>
      <c r="AH60" s="5"/>
      <c r="AI60" s="46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5"/>
      <c r="Y61" s="22" t="s">
        <v>27</v>
      </c>
      <c r="Z61" s="23">
        <f t="shared" si="44"/>
        <v>44123381.9</v>
      </c>
      <c r="AA61" s="23">
        <f t="shared" si="45"/>
        <v>50514009.88</v>
      </c>
      <c r="AB61" s="63">
        <f t="shared" si="46"/>
        <v>1.144835407</v>
      </c>
      <c r="AC61" s="55"/>
      <c r="AD61" s="63">
        <f t="shared" ref="AD61:AE61" si="50">AD48</f>
        <v>0.11</v>
      </c>
      <c r="AE61" s="63">
        <f t="shared" si="50"/>
        <v>0.1198836722</v>
      </c>
      <c r="AF61" s="63">
        <f t="shared" si="48"/>
        <v>0.08985156503</v>
      </c>
      <c r="AG61" s="5"/>
      <c r="AH61" s="5"/>
      <c r="AI61" s="46"/>
    </row>
    <row r="62">
      <c r="A62" s="2"/>
      <c r="B62" s="102" t="s">
        <v>31</v>
      </c>
      <c r="C62" s="17"/>
      <c r="D62" s="17"/>
      <c r="E62" s="17"/>
      <c r="F62" s="17"/>
      <c r="G62" s="17"/>
      <c r="H62" s="18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5"/>
      <c r="X62" s="21" t="s">
        <v>31</v>
      </c>
      <c r="Y62" s="22" t="s">
        <v>19</v>
      </c>
      <c r="Z62" s="23">
        <f t="shared" si="44"/>
        <v>906670</v>
      </c>
      <c r="AA62" s="23">
        <f t="shared" si="45"/>
        <v>-4890173.226</v>
      </c>
      <c r="AB62" s="63">
        <f t="shared" si="46"/>
        <v>-5.393553582</v>
      </c>
      <c r="AC62" s="55"/>
      <c r="AD62" s="63">
        <f t="shared" ref="AD62:AE62" si="51">AD49</f>
        <v>0.18</v>
      </c>
      <c r="AE62" s="63">
        <f t="shared" si="51"/>
        <v>-0.03474784883</v>
      </c>
      <c r="AF62" s="63">
        <f t="shared" si="48"/>
        <v>-1.193043605</v>
      </c>
      <c r="AG62" s="5"/>
      <c r="AH62" s="5"/>
      <c r="AI62" s="46"/>
    </row>
    <row r="63">
      <c r="A63" s="2"/>
      <c r="B63" s="70" t="str">
        <f>B27</f>
        <v>Биг–Л / Сентябрь | до </v>
      </c>
      <c r="C63" s="17"/>
      <c r="D63" s="28">
        <f>$D$4</f>
        <v>45930</v>
      </c>
      <c r="E63" s="2"/>
      <c r="F63" s="70" t="str">
        <f>F27</f>
        <v>Смарт / Сентябрь | до </v>
      </c>
      <c r="G63" s="17"/>
      <c r="H63" s="28">
        <f>$D$4</f>
        <v>45930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5"/>
      <c r="Y63" s="22" t="s">
        <v>27</v>
      </c>
      <c r="Z63" s="23">
        <f t="shared" si="44"/>
        <v>2797907</v>
      </c>
      <c r="AA63" s="23">
        <f t="shared" si="45"/>
        <v>3184978</v>
      </c>
      <c r="AB63" s="63">
        <f t="shared" si="46"/>
        <v>1.138343054</v>
      </c>
      <c r="AC63" s="55"/>
      <c r="AD63" s="63">
        <f t="shared" ref="AD63:AE63" si="52">AD50</f>
        <v>0.175</v>
      </c>
      <c r="AE63" s="63">
        <f t="shared" si="52"/>
        <v>0.2059675137</v>
      </c>
      <c r="AF63" s="63">
        <f t="shared" si="48"/>
        <v>0.1769572214</v>
      </c>
      <c r="AG63" s="5"/>
      <c r="AH63" s="5"/>
      <c r="AI63" s="46"/>
    </row>
    <row r="64">
      <c r="A64" s="35">
        <f t="shared" ref="A64:A68" si="54">IFERROR(C64/$C$69, " ")</f>
        <v>0.9888184648</v>
      </c>
      <c r="B64" s="41" t="s">
        <v>82</v>
      </c>
      <c r="C64" s="32">
        <v>168023.0</v>
      </c>
      <c r="D64" s="53"/>
      <c r="E64" s="2"/>
      <c r="F64" s="41" t="s">
        <v>82</v>
      </c>
      <c r="G64" s="32">
        <v>648902.0</v>
      </c>
      <c r="H64" s="53"/>
      <c r="I64" s="35">
        <f t="shared" ref="I64:I68" si="55">IFERROR(G64/$G$69, " ")</f>
        <v>0.9891768623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5"/>
      <c r="X64" s="44" t="s">
        <v>34</v>
      </c>
      <c r="Y64" s="22" t="s">
        <v>19</v>
      </c>
      <c r="Z64" s="23">
        <f t="shared" si="44"/>
        <v>13732</v>
      </c>
      <c r="AA64" s="23">
        <f t="shared" si="45"/>
        <v>101466</v>
      </c>
      <c r="AB64" s="63">
        <f t="shared" si="46"/>
        <v>7.389018351</v>
      </c>
      <c r="AC64" s="46"/>
      <c r="AD64" s="63">
        <f t="shared" ref="AD64:AE64" si="53">AD51</f>
        <v>0.15</v>
      </c>
      <c r="AE64" s="63">
        <f t="shared" si="53"/>
        <v>0</v>
      </c>
      <c r="AF64" s="63">
        <f t="shared" si="48"/>
        <v>-1</v>
      </c>
      <c r="AG64" s="46"/>
      <c r="AH64" s="46"/>
      <c r="AI64" s="46"/>
    </row>
    <row r="65">
      <c r="A65" s="35">
        <f t="shared" si="54"/>
        <v>0.01118153517</v>
      </c>
      <c r="B65" s="41" t="s">
        <v>83</v>
      </c>
      <c r="C65" s="32">
        <v>1900.0</v>
      </c>
      <c r="D65" s="53"/>
      <c r="E65" s="2"/>
      <c r="F65" s="41" t="s">
        <v>83</v>
      </c>
      <c r="G65" s="32">
        <v>7100.0</v>
      </c>
      <c r="H65" s="53"/>
      <c r="I65" s="35">
        <f t="shared" si="55"/>
        <v>0.01082313773</v>
      </c>
      <c r="J65" s="2"/>
      <c r="K65" s="56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5"/>
      <c r="Y65" s="22" t="s">
        <v>27</v>
      </c>
      <c r="Z65" s="23">
        <f t="shared" si="44"/>
        <v>304226</v>
      </c>
      <c r="AA65" s="23">
        <f t="shared" si="45"/>
        <v>314564</v>
      </c>
      <c r="AB65" s="63">
        <f t="shared" si="46"/>
        <v>1.033981317</v>
      </c>
      <c r="AC65" s="46"/>
      <c r="AD65" s="63">
        <f t="shared" ref="AD65:AE65" si="56">AD52</f>
        <v>0.15</v>
      </c>
      <c r="AE65" s="63">
        <f t="shared" si="56"/>
        <v>0</v>
      </c>
      <c r="AF65" s="63">
        <f t="shared" si="48"/>
        <v>-1</v>
      </c>
      <c r="AG65" s="46"/>
      <c r="AH65" s="46"/>
      <c r="AI65" s="46"/>
    </row>
    <row r="66">
      <c r="A66" s="35">
        <f t="shared" si="54"/>
        <v>0</v>
      </c>
      <c r="B66" s="41" t="s">
        <v>84</v>
      </c>
      <c r="C66" s="32"/>
      <c r="D66" s="53"/>
      <c r="E66" s="2"/>
      <c r="F66" s="41" t="s">
        <v>84</v>
      </c>
      <c r="G66" s="30"/>
      <c r="H66" s="53"/>
      <c r="I66" s="35">
        <f t="shared" si="55"/>
        <v>0</v>
      </c>
      <c r="J66" s="2"/>
      <c r="K66" s="56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5"/>
      <c r="X66" s="44" t="s">
        <v>37</v>
      </c>
      <c r="Y66" s="22" t="s">
        <v>19</v>
      </c>
      <c r="Z66" s="23">
        <f t="shared" si="44"/>
        <v>0</v>
      </c>
      <c r="AA66" s="23">
        <f t="shared" si="45"/>
        <v>0</v>
      </c>
      <c r="AB66" s="63" t="str">
        <f t="shared" si="46"/>
        <v> </v>
      </c>
      <c r="AC66" s="46"/>
      <c r="AD66" s="63">
        <f t="shared" ref="AD66:AE66" si="57">AD53</f>
        <v>0</v>
      </c>
      <c r="AE66" s="63" t="str">
        <f t="shared" si="57"/>
        <v>#DIV/0!</v>
      </c>
      <c r="AF66" s="63" t="str">
        <f t="shared" si="48"/>
        <v>#DIV/0!</v>
      </c>
      <c r="AG66" s="46"/>
      <c r="AH66" s="46"/>
      <c r="AI66" s="46"/>
    </row>
    <row r="67">
      <c r="A67" s="35">
        <f t="shared" si="54"/>
        <v>0</v>
      </c>
      <c r="B67" s="41" t="s">
        <v>85</v>
      </c>
      <c r="C67" s="30"/>
      <c r="D67" s="53"/>
      <c r="E67" s="2"/>
      <c r="F67" s="41" t="s">
        <v>85</v>
      </c>
      <c r="G67" s="30"/>
      <c r="H67" s="53"/>
      <c r="I67" s="35">
        <f t="shared" si="55"/>
        <v>0</v>
      </c>
      <c r="J67" s="2"/>
      <c r="K67" s="56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5"/>
      <c r="Y67" s="22" t="s">
        <v>27</v>
      </c>
      <c r="Z67" s="23">
        <f t="shared" si="44"/>
        <v>107914</v>
      </c>
      <c r="AA67" s="23">
        <f t="shared" si="45"/>
        <v>959556</v>
      </c>
      <c r="AB67" s="63">
        <f t="shared" si="46"/>
        <v>8.891858332</v>
      </c>
      <c r="AC67" s="46"/>
      <c r="AD67" s="63">
        <f t="shared" ref="AD67:AE67" si="58">AD54</f>
        <v>0</v>
      </c>
      <c r="AE67" s="63">
        <f t="shared" si="58"/>
        <v>0</v>
      </c>
      <c r="AF67" s="63" t="str">
        <f t="shared" si="48"/>
        <v>#DIV/0!</v>
      </c>
      <c r="AG67" s="46"/>
      <c r="AH67" s="46"/>
      <c r="AI67" s="46"/>
    </row>
    <row r="68">
      <c r="A68" s="35">
        <f t="shared" si="54"/>
        <v>0</v>
      </c>
      <c r="B68" s="41" t="s">
        <v>88</v>
      </c>
      <c r="C68" s="58"/>
      <c r="D68" s="53"/>
      <c r="E68" s="2"/>
      <c r="F68" s="41" t="s">
        <v>88</v>
      </c>
      <c r="G68" s="58"/>
      <c r="H68" s="53"/>
      <c r="I68" s="35">
        <f t="shared" si="55"/>
        <v>0</v>
      </c>
      <c r="J68" s="2"/>
      <c r="K68" s="56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5"/>
      <c r="X68" s="55"/>
      <c r="Y68" s="55"/>
      <c r="Z68" s="103">
        <f t="shared" si="44"/>
        <v>189445324.9</v>
      </c>
      <c r="AA68" s="103">
        <f t="shared" si="45"/>
        <v>218369496.5</v>
      </c>
      <c r="AB68" s="104">
        <f t="shared" si="46"/>
        <v>1.152678202</v>
      </c>
      <c r="AC68" s="55"/>
      <c r="AD68" s="69">
        <f t="shared" ref="AD68:AE68" si="59">AD55</f>
        <v>0.1096244814</v>
      </c>
      <c r="AE68" s="69">
        <f t="shared" si="59"/>
        <v>0.09963096194</v>
      </c>
      <c r="AF68" s="69">
        <f t="shared" si="48"/>
        <v>-0.09116138403</v>
      </c>
      <c r="AG68" s="5"/>
      <c r="AH68" s="5"/>
      <c r="AI68" s="46"/>
    </row>
    <row r="69">
      <c r="A69" s="2"/>
      <c r="B69" s="41" t="s">
        <v>42</v>
      </c>
      <c r="C69" s="30">
        <f>SUM(C64:C68)</f>
        <v>169923</v>
      </c>
      <c r="D69" s="53"/>
      <c r="E69" s="2"/>
      <c r="F69" s="41" t="s">
        <v>42</v>
      </c>
      <c r="G69" s="30">
        <f>SUM(G64:G68)</f>
        <v>656002</v>
      </c>
      <c r="H69" s="53"/>
      <c r="I69" s="2"/>
      <c r="J69" s="2"/>
      <c r="K69" s="56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</row>
    <row r="70">
      <c r="A70" s="2"/>
      <c r="B70" s="41" t="s">
        <v>43</v>
      </c>
      <c r="C70" s="58"/>
      <c r="D70" s="54">
        <f>Q35</f>
        <v>811287</v>
      </c>
      <c r="E70" s="2"/>
      <c r="F70" s="41" t="s">
        <v>43</v>
      </c>
      <c r="G70" s="58"/>
      <c r="H70" s="54">
        <f>R35</f>
        <v>3339067</v>
      </c>
      <c r="I70" s="2"/>
      <c r="J70" s="2"/>
      <c r="K70" s="56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5"/>
      <c r="X70" s="5"/>
      <c r="Y70" s="5"/>
      <c r="Z70" s="105" t="s">
        <v>143</v>
      </c>
      <c r="AA70" s="105" t="s">
        <v>86</v>
      </c>
      <c r="AB70" s="51"/>
      <c r="AC70" s="51"/>
      <c r="AD70" s="51"/>
      <c r="AE70" s="51"/>
      <c r="AF70" s="51" t="str">
        <f t="shared" ref="AF70:AG70" si="60">Z70</f>
        <v>Август</v>
      </c>
      <c r="AG70" s="51" t="str">
        <f t="shared" si="60"/>
        <v>Сентябрь</v>
      </c>
      <c r="AH70" s="5"/>
      <c r="AI70" s="5"/>
    </row>
    <row r="71">
      <c r="A71" s="2"/>
      <c r="B71" s="41" t="s">
        <v>44</v>
      </c>
      <c r="C71" s="2"/>
      <c r="D71" s="57">
        <f>C69/D70</f>
        <v>0.2094486908</v>
      </c>
      <c r="E71" s="2"/>
      <c r="F71" s="41" t="s">
        <v>44</v>
      </c>
      <c r="G71" s="2"/>
      <c r="H71" s="57">
        <f>G69/H70</f>
        <v>0.1964626646</v>
      </c>
      <c r="I71" s="2"/>
      <c r="J71" s="2"/>
      <c r="K71" s="56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5"/>
      <c r="X71" s="5"/>
      <c r="Y71" s="5"/>
      <c r="Z71" s="14" t="s">
        <v>17</v>
      </c>
      <c r="AA71" s="14" t="s">
        <v>17</v>
      </c>
      <c r="AB71" s="14" t="s">
        <v>48</v>
      </c>
      <c r="AC71" s="5"/>
      <c r="AD71" s="72" t="s">
        <v>71</v>
      </c>
      <c r="AF71" s="14" t="s">
        <v>64</v>
      </c>
      <c r="AG71" s="14" t="s">
        <v>64</v>
      </c>
      <c r="AH71" s="14" t="s">
        <v>48</v>
      </c>
      <c r="AI71" s="5"/>
    </row>
    <row r="72">
      <c r="A72" s="35">
        <f>D71/C72</f>
        <v>1.163603838</v>
      </c>
      <c r="B72" s="41" t="s">
        <v>47</v>
      </c>
      <c r="C72" s="35">
        <v>0.18</v>
      </c>
      <c r="D72" s="54">
        <f>D70*C72</f>
        <v>146031.66</v>
      </c>
      <c r="E72" s="2"/>
      <c r="F72" s="41" t="s">
        <v>47</v>
      </c>
      <c r="G72" s="35">
        <v>0.175</v>
      </c>
      <c r="H72" s="54">
        <f>H70*G72</f>
        <v>584336.725</v>
      </c>
      <c r="I72" s="35">
        <f>H71/G72</f>
        <v>1.122643798</v>
      </c>
      <c r="J72" s="2"/>
      <c r="K72" s="56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5"/>
      <c r="X72" s="21" t="s">
        <v>24</v>
      </c>
      <c r="Y72" s="22" t="s">
        <v>19</v>
      </c>
      <c r="Z72" s="23">
        <f>'Август 25'!Y50</f>
        <v>27086794</v>
      </c>
      <c r="AA72" s="23">
        <f t="shared" ref="AA72:AA81" si="61">AA58</f>
        <v>34886232</v>
      </c>
      <c r="AB72" s="63">
        <f t="shared" ref="AB72:AB82" si="62">AA72/Z72-1</f>
        <v>0.2879424564</v>
      </c>
      <c r="AC72" s="5"/>
      <c r="AD72" s="21" t="s">
        <v>24</v>
      </c>
      <c r="AE72" s="22" t="s">
        <v>19</v>
      </c>
      <c r="AF72" s="63">
        <f>'Август 25'!AE50</f>
        <v>0.08363776828</v>
      </c>
      <c r="AG72" s="63">
        <f t="shared" ref="AG72:AG81" si="63">AE45</f>
        <v>0.06874047045</v>
      </c>
      <c r="AH72" s="63">
        <f t="shared" ref="AH72:AH82" si="64">AG72/AF72-1</f>
        <v>-0.1781168739</v>
      </c>
      <c r="AI72" s="5"/>
    </row>
    <row r="73">
      <c r="A73" s="2"/>
      <c r="B73" s="77" t="s">
        <v>50</v>
      </c>
      <c r="C73" s="61"/>
      <c r="D73" s="62">
        <f>C69-D72</f>
        <v>23891.34</v>
      </c>
      <c r="E73" s="2"/>
      <c r="F73" s="77" t="s">
        <v>50</v>
      </c>
      <c r="G73" s="61"/>
      <c r="H73" s="62">
        <f>G69-H72</f>
        <v>71665.275</v>
      </c>
      <c r="I73" s="2"/>
      <c r="J73" s="2"/>
      <c r="K73" s="56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5"/>
      <c r="Y73" s="22" t="s">
        <v>27</v>
      </c>
      <c r="Z73" s="23">
        <f>'Август 25'!Y51</f>
        <v>94721059</v>
      </c>
      <c r="AA73" s="23">
        <f t="shared" si="61"/>
        <v>108267871</v>
      </c>
      <c r="AB73" s="63">
        <f t="shared" si="62"/>
        <v>0.1430179534</v>
      </c>
      <c r="AC73" s="5"/>
      <c r="AE73" s="22" t="s">
        <v>27</v>
      </c>
      <c r="AF73" s="63">
        <f>'Август 25'!AE51</f>
        <v>0.08445089281</v>
      </c>
      <c r="AG73" s="63">
        <f t="shared" si="63"/>
        <v>0.06166203268</v>
      </c>
      <c r="AH73" s="63">
        <f t="shared" si="64"/>
        <v>-0.2698474743</v>
      </c>
      <c r="AI73" s="5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56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5"/>
      <c r="X74" s="21" t="s">
        <v>18</v>
      </c>
      <c r="Y74" s="22" t="s">
        <v>19</v>
      </c>
      <c r="Z74" s="23">
        <f>'Август 25'!Y52</f>
        <v>15792001.74</v>
      </c>
      <c r="AA74" s="23">
        <f t="shared" si="61"/>
        <v>25030992.89</v>
      </c>
      <c r="AB74" s="63">
        <f t="shared" si="62"/>
        <v>0.5850424346</v>
      </c>
      <c r="AC74" s="5"/>
      <c r="AD74" s="21" t="s">
        <v>18</v>
      </c>
      <c r="AE74" s="22" t="s">
        <v>19</v>
      </c>
      <c r="AF74" s="63">
        <f>'Август 25'!AE52</f>
        <v>0.2402575089</v>
      </c>
      <c r="AG74" s="63">
        <f t="shared" si="63"/>
        <v>0.2317335163</v>
      </c>
      <c r="AH74" s="63">
        <f t="shared" si="64"/>
        <v>-0.03547856896</v>
      </c>
      <c r="AI74" s="5"/>
    </row>
    <row r="75">
      <c r="A75" s="2"/>
      <c r="B75" s="58" t="s">
        <v>51</v>
      </c>
      <c r="C75" s="58"/>
      <c r="D75" s="64">
        <f>Q42</f>
        <v>906670</v>
      </c>
      <c r="E75" s="2"/>
      <c r="F75" s="58" t="s">
        <v>51</v>
      </c>
      <c r="G75" s="58"/>
      <c r="H75" s="64">
        <f>R42</f>
        <v>2797907</v>
      </c>
      <c r="I75" s="2"/>
      <c r="J75" s="2"/>
      <c r="K75" s="56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5"/>
      <c r="Y75" s="22" t="s">
        <v>27</v>
      </c>
      <c r="Z75" s="23">
        <f>'Август 25'!Y53</f>
        <v>40650726.75</v>
      </c>
      <c r="AA75" s="23">
        <f t="shared" si="61"/>
        <v>50514009.88</v>
      </c>
      <c r="AB75" s="63">
        <f t="shared" si="62"/>
        <v>0.2426348534</v>
      </c>
      <c r="AC75" s="5"/>
      <c r="AE75" s="22" t="s">
        <v>27</v>
      </c>
      <c r="AF75" s="63">
        <f>'Август 25'!AE53</f>
        <v>0.09544980643</v>
      </c>
      <c r="AG75" s="63">
        <f t="shared" si="63"/>
        <v>0.1198836722</v>
      </c>
      <c r="AH75" s="63">
        <f t="shared" si="64"/>
        <v>0.2559865403</v>
      </c>
      <c r="AI75" s="5"/>
    </row>
    <row r="76">
      <c r="A76" s="2"/>
      <c r="B76" s="2" t="s">
        <v>52</v>
      </c>
      <c r="C76" s="2"/>
      <c r="D76" s="30">
        <f>D70/$C$1</f>
        <v>27042.9</v>
      </c>
      <c r="E76" s="2"/>
      <c r="F76" s="2" t="s">
        <v>52</v>
      </c>
      <c r="G76" s="2"/>
      <c r="H76" s="30">
        <f>H70/$C$1</f>
        <v>111302.2333</v>
      </c>
      <c r="I76" s="2"/>
      <c r="J76" s="2"/>
      <c r="K76" s="56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5"/>
      <c r="X76" s="21" t="s">
        <v>31</v>
      </c>
      <c r="Y76" s="22" t="s">
        <v>19</v>
      </c>
      <c r="Z76" s="23">
        <f>'Август 25'!Y54</f>
        <v>906670</v>
      </c>
      <c r="AA76" s="23">
        <f t="shared" si="61"/>
        <v>-4890173.226</v>
      </c>
      <c r="AB76" s="63">
        <f t="shared" si="62"/>
        <v>-6.393553582</v>
      </c>
      <c r="AC76" s="5"/>
      <c r="AD76" s="21" t="s">
        <v>31</v>
      </c>
      <c r="AE76" s="22" t="s">
        <v>19</v>
      </c>
      <c r="AF76" s="63">
        <f>'Август 25'!AE54</f>
        <v>0.2162914842</v>
      </c>
      <c r="AG76" s="63">
        <f t="shared" si="63"/>
        <v>-0.03474784883</v>
      </c>
      <c r="AH76" s="63">
        <f t="shared" si="64"/>
        <v>-1.160652875</v>
      </c>
      <c r="AI76" s="5"/>
    </row>
    <row r="77">
      <c r="A77" s="2"/>
      <c r="B77" s="2" t="s">
        <v>53</v>
      </c>
      <c r="C77" s="2"/>
      <c r="D77" s="30">
        <f>D75/$G$1*$C$1</f>
        <v>906670</v>
      </c>
      <c r="E77" s="2"/>
      <c r="F77" s="2" t="s">
        <v>53</v>
      </c>
      <c r="G77" s="2"/>
      <c r="H77" s="30">
        <f>H75/$G$1*$C$1</f>
        <v>2797907</v>
      </c>
      <c r="I77" s="2"/>
      <c r="J77" s="2"/>
      <c r="K77" s="56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5"/>
      <c r="Y77" s="22" t="s">
        <v>27</v>
      </c>
      <c r="Z77" s="23">
        <f>'Август 25'!Y55</f>
        <v>2797907</v>
      </c>
      <c r="AA77" s="23">
        <f t="shared" si="61"/>
        <v>3184978</v>
      </c>
      <c r="AB77" s="63">
        <f t="shared" si="62"/>
        <v>0.1383430543</v>
      </c>
      <c r="AC77" s="5"/>
      <c r="AE77" s="22" t="s">
        <v>27</v>
      </c>
      <c r="AF77" s="63">
        <f>'Август 25'!AE55</f>
        <v>0.1871684799</v>
      </c>
      <c r="AG77" s="63">
        <f t="shared" si="63"/>
        <v>0.2059675137</v>
      </c>
      <c r="AH77" s="63">
        <f t="shared" si="64"/>
        <v>0.1004391011</v>
      </c>
      <c r="AI77" s="5"/>
    </row>
    <row r="78">
      <c r="A78" s="2"/>
      <c r="B78" s="2" t="s">
        <v>54</v>
      </c>
      <c r="C78" s="2"/>
      <c r="D78" s="30" t="str">
        <f>(D75-D70)/($G$1-$C$1)</f>
        <v>#DIV/0!</v>
      </c>
      <c r="E78" s="2"/>
      <c r="F78" s="2" t="s">
        <v>54</v>
      </c>
      <c r="G78" s="2"/>
      <c r="H78" s="30" t="str">
        <f>(H75-H70)/($G$1-$C$1)</f>
        <v>#DIV/0!</v>
      </c>
      <c r="I78" s="2"/>
      <c r="J78" s="2"/>
      <c r="K78" s="56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5"/>
      <c r="X78" s="44" t="s">
        <v>34</v>
      </c>
      <c r="Y78" s="22" t="s">
        <v>19</v>
      </c>
      <c r="Z78" s="23">
        <f>'Август 25'!Y56</f>
        <v>13732</v>
      </c>
      <c r="AA78" s="23">
        <f t="shared" si="61"/>
        <v>101466</v>
      </c>
      <c r="AB78" s="63">
        <f t="shared" si="62"/>
        <v>6.389018351</v>
      </c>
      <c r="AC78" s="5"/>
      <c r="AD78" s="44" t="s">
        <v>34</v>
      </c>
      <c r="AE78" s="22" t="s">
        <v>19</v>
      </c>
      <c r="AF78" s="141">
        <v>0.0</v>
      </c>
      <c r="AG78" s="63">
        <f t="shared" si="63"/>
        <v>0</v>
      </c>
      <c r="AH78" s="63" t="str">
        <f t="shared" si="64"/>
        <v>#DIV/0!</v>
      </c>
      <c r="AI78" s="5"/>
    </row>
    <row r="79">
      <c r="A79" s="2"/>
      <c r="B79" s="2" t="s">
        <v>89</v>
      </c>
      <c r="C79" s="2"/>
      <c r="D79" s="30">
        <f>D70-D77</f>
        <v>-95383</v>
      </c>
      <c r="E79" s="2"/>
      <c r="F79" s="2" t="s">
        <v>89</v>
      </c>
      <c r="G79" s="2"/>
      <c r="H79" s="30">
        <f>H70-H77</f>
        <v>541160</v>
      </c>
      <c r="I79" s="2"/>
      <c r="J79" s="2"/>
      <c r="K79" s="56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5"/>
      <c r="Y79" s="22" t="s">
        <v>27</v>
      </c>
      <c r="Z79" s="23">
        <f>'Август 25'!Y57</f>
        <v>304226</v>
      </c>
      <c r="AA79" s="23">
        <f t="shared" si="61"/>
        <v>314564</v>
      </c>
      <c r="AB79" s="63">
        <f t="shared" si="62"/>
        <v>0.03398131652</v>
      </c>
      <c r="AC79" s="5"/>
      <c r="AE79" s="22" t="s">
        <v>27</v>
      </c>
      <c r="AF79" s="141">
        <v>0.0</v>
      </c>
      <c r="AG79" s="63">
        <f t="shared" si="63"/>
        <v>0</v>
      </c>
      <c r="AH79" s="63" t="str">
        <f t="shared" si="64"/>
        <v>#DIV/0!</v>
      </c>
      <c r="AI79" s="5"/>
    </row>
    <row r="80">
      <c r="A80" s="2"/>
      <c r="B80" s="2" t="s">
        <v>56</v>
      </c>
      <c r="C80" s="2"/>
      <c r="D80" s="30">
        <f>D70/$C$1*$G$1</f>
        <v>811287</v>
      </c>
      <c r="E80" s="2"/>
      <c r="F80" s="2" t="s">
        <v>56</v>
      </c>
      <c r="G80" s="2"/>
      <c r="H80" s="30">
        <f>H70/$C$1*$G$1</f>
        <v>3339067</v>
      </c>
      <c r="I80" s="2"/>
      <c r="J80" s="2"/>
      <c r="K80" s="56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5"/>
      <c r="X80" s="44" t="s">
        <v>37</v>
      </c>
      <c r="Y80" s="22" t="s">
        <v>19</v>
      </c>
      <c r="Z80" s="50">
        <v>0.0</v>
      </c>
      <c r="AA80" s="23">
        <f t="shared" si="61"/>
        <v>0</v>
      </c>
      <c r="AB80" s="63" t="str">
        <f t="shared" si="62"/>
        <v>#DIV/0!</v>
      </c>
      <c r="AC80" s="5"/>
      <c r="AD80" s="44" t="s">
        <v>37</v>
      </c>
      <c r="AE80" s="22" t="s">
        <v>19</v>
      </c>
      <c r="AF80" s="141">
        <v>0.0</v>
      </c>
      <c r="AG80" s="63" t="str">
        <f t="shared" si="63"/>
        <v>#DIV/0!</v>
      </c>
      <c r="AH80" s="63" t="str">
        <f t="shared" si="64"/>
        <v>#DIV/0!</v>
      </c>
      <c r="AI80" s="5"/>
    </row>
    <row r="81">
      <c r="A81" s="2"/>
      <c r="B81" s="66" t="s">
        <v>57</v>
      </c>
      <c r="C81" s="66"/>
      <c r="D81" s="67">
        <f>D80/D75</f>
        <v>0.8947985485</v>
      </c>
      <c r="E81" s="2"/>
      <c r="F81" s="66" t="s">
        <v>57</v>
      </c>
      <c r="G81" s="66"/>
      <c r="H81" s="67">
        <f>H80/H75</f>
        <v>1.193416007</v>
      </c>
      <c r="I81" s="2"/>
      <c r="J81" s="2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5"/>
      <c r="Y81" s="22" t="s">
        <v>27</v>
      </c>
      <c r="Z81" s="23">
        <f>V42</f>
        <v>107914</v>
      </c>
      <c r="AA81" s="23">
        <f t="shared" si="61"/>
        <v>959556</v>
      </c>
      <c r="AB81" s="63">
        <f t="shared" si="62"/>
        <v>7.891858332</v>
      </c>
      <c r="AC81" s="55"/>
      <c r="AE81" s="22" t="s">
        <v>27</v>
      </c>
      <c r="AF81" s="141">
        <v>0.0</v>
      </c>
      <c r="AG81" s="63">
        <f t="shared" si="63"/>
        <v>0</v>
      </c>
      <c r="AH81" s="63" t="str">
        <f t="shared" si="64"/>
        <v>#DIV/0!</v>
      </c>
      <c r="AI81" s="55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5"/>
      <c r="X82" s="55"/>
      <c r="Y82" s="55"/>
      <c r="Z82" s="52">
        <f t="shared" ref="Z82:AA82" si="65">SUM(Z72:Z81)</f>
        <v>182381030.5</v>
      </c>
      <c r="AA82" s="52">
        <f t="shared" si="65"/>
        <v>218369496.5</v>
      </c>
      <c r="AB82" s="69">
        <f t="shared" si="62"/>
        <v>0.1973257084</v>
      </c>
      <c r="AC82" s="55"/>
      <c r="AD82" s="55"/>
      <c r="AE82" s="55"/>
      <c r="AF82" s="69">
        <f>'Август 25'!AE56</f>
        <v>0.1025461062</v>
      </c>
      <c r="AG82" s="69">
        <f>AE68</f>
        <v>0.09963096194</v>
      </c>
      <c r="AH82" s="69">
        <f t="shared" si="64"/>
        <v>-0.02842764419</v>
      </c>
      <c r="AI82" s="55"/>
    </row>
    <row r="83">
      <c r="A83" s="2"/>
      <c r="B83" s="70" t="s">
        <v>34</v>
      </c>
      <c r="C83" s="17"/>
      <c r="D83" s="17"/>
      <c r="E83" s="17"/>
      <c r="F83" s="17"/>
      <c r="G83" s="17"/>
      <c r="H83" s="18"/>
      <c r="I83" s="2"/>
      <c r="J83" s="2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5"/>
      <c r="X83" s="55"/>
      <c r="Y83" s="55"/>
      <c r="Z83" s="55"/>
      <c r="AA83" s="55"/>
      <c r="AB83" s="52">
        <f>AA82-Z82</f>
        <v>35988466.05</v>
      </c>
      <c r="AC83" s="55"/>
      <c r="AD83" s="55"/>
      <c r="AE83" s="55"/>
      <c r="AF83" s="55"/>
      <c r="AG83" s="55"/>
      <c r="AH83" s="55"/>
      <c r="AI83" s="55"/>
    </row>
    <row r="84">
      <c r="A84" s="2"/>
      <c r="B84" s="70" t="str">
        <f>B63</f>
        <v>Биг–Л / Сентябрь | до </v>
      </c>
      <c r="C84" s="17"/>
      <c r="D84" s="28">
        <f>$D$4</f>
        <v>45930</v>
      </c>
      <c r="E84" s="2"/>
      <c r="F84" s="70" t="str">
        <f>F63</f>
        <v>Смарт / Сентябрь | до </v>
      </c>
      <c r="G84" s="17"/>
      <c r="H84" s="28">
        <f>$D$4</f>
        <v>45930</v>
      </c>
      <c r="I84" s="2"/>
      <c r="J84" s="2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55"/>
    </row>
    <row r="85">
      <c r="A85" s="2"/>
      <c r="B85" s="106" t="s">
        <v>90</v>
      </c>
      <c r="C85" s="109"/>
      <c r="D85" s="111"/>
      <c r="E85" s="2"/>
      <c r="F85" s="106" t="s">
        <v>90</v>
      </c>
      <c r="G85" s="109"/>
      <c r="H85" s="111"/>
      <c r="I85" s="2"/>
      <c r="J85" s="2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55"/>
    </row>
    <row r="86">
      <c r="A86" s="2"/>
      <c r="B86" s="41" t="s">
        <v>43</v>
      </c>
      <c r="C86" s="2"/>
      <c r="D86" s="54">
        <f>S35</f>
        <v>101466</v>
      </c>
      <c r="E86" s="2"/>
      <c r="F86" s="41" t="s">
        <v>43</v>
      </c>
      <c r="G86" s="2"/>
      <c r="H86" s="54">
        <f>T35</f>
        <v>364665</v>
      </c>
      <c r="I86" s="2"/>
      <c r="J86" s="2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AI86" s="55"/>
    </row>
    <row r="87">
      <c r="A87" s="2"/>
      <c r="B87" s="41" t="s">
        <v>44</v>
      </c>
      <c r="C87" s="2"/>
      <c r="D87" s="57">
        <f>C85/D86</f>
        <v>0</v>
      </c>
      <c r="E87" s="2"/>
      <c r="F87" s="41" t="s">
        <v>44</v>
      </c>
      <c r="G87" s="2"/>
      <c r="H87" s="57">
        <f>G85/H86</f>
        <v>0</v>
      </c>
      <c r="I87" s="2"/>
      <c r="J87" s="2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</row>
    <row r="88">
      <c r="A88" s="2"/>
      <c r="B88" s="41" t="s">
        <v>47</v>
      </c>
      <c r="C88" s="35">
        <v>0.15</v>
      </c>
      <c r="D88" s="54">
        <f>D86*C88</f>
        <v>15219.9</v>
      </c>
      <c r="E88" s="2"/>
      <c r="F88" s="41" t="s">
        <v>47</v>
      </c>
      <c r="G88" s="35">
        <v>0.15</v>
      </c>
      <c r="H88" s="54">
        <f>H86*G88</f>
        <v>54699.75</v>
      </c>
      <c r="I88" s="2"/>
      <c r="J88" s="2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</row>
    <row r="89">
      <c r="A89" s="2"/>
      <c r="B89" s="77" t="s">
        <v>50</v>
      </c>
      <c r="C89" s="61"/>
      <c r="D89" s="62">
        <f>C85-D88</f>
        <v>-15219.9</v>
      </c>
      <c r="E89" s="2"/>
      <c r="F89" s="77" t="s">
        <v>50</v>
      </c>
      <c r="G89" s="61"/>
      <c r="H89" s="62">
        <f>G85-H88</f>
        <v>-54699.75</v>
      </c>
      <c r="I89" s="2"/>
      <c r="J89" s="2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  <c r="AH89" s="55"/>
      <c r="AI89" s="55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  <c r="AH90" s="55"/>
      <c r="AI90" s="55"/>
    </row>
    <row r="91">
      <c r="A91" s="2"/>
      <c r="B91" s="58" t="s">
        <v>51</v>
      </c>
      <c r="C91" s="2"/>
      <c r="D91" s="64">
        <f>S42</f>
        <v>13732</v>
      </c>
      <c r="E91" s="2"/>
      <c r="F91" s="58" t="s">
        <v>51</v>
      </c>
      <c r="G91" s="2"/>
      <c r="H91" s="64">
        <f>T42</f>
        <v>304226</v>
      </c>
      <c r="I91" s="2"/>
      <c r="J91" s="2"/>
      <c r="K91" s="56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</row>
    <row r="92">
      <c r="A92" s="2"/>
      <c r="B92" s="2" t="s">
        <v>52</v>
      </c>
      <c r="C92" s="2"/>
      <c r="D92" s="30">
        <f>D86/$C$1</f>
        <v>3382.2</v>
      </c>
      <c r="E92" s="2"/>
      <c r="F92" s="2" t="s">
        <v>52</v>
      </c>
      <c r="G92" s="2"/>
      <c r="H92" s="30">
        <f>H86/$C$1</f>
        <v>12155.5</v>
      </c>
      <c r="I92" s="2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  <c r="AH92" s="55"/>
      <c r="AI92" s="55"/>
    </row>
    <row r="93">
      <c r="A93" s="2"/>
      <c r="B93" s="2" t="s">
        <v>53</v>
      </c>
      <c r="C93" s="2"/>
      <c r="D93" s="30">
        <f>D91/$G$1*$C$1</f>
        <v>13732</v>
      </c>
      <c r="E93" s="2"/>
      <c r="F93" s="2" t="s">
        <v>53</v>
      </c>
      <c r="G93" s="2"/>
      <c r="H93" s="30">
        <f>H91/$G$1*$C$1</f>
        <v>304226</v>
      </c>
      <c r="I93" s="2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5"/>
      <c r="X93" s="55"/>
      <c r="Y93" s="55"/>
      <c r="Z93" s="55"/>
      <c r="AA93" s="55"/>
      <c r="AB93" s="55"/>
      <c r="AC93" s="55"/>
      <c r="AD93" s="55"/>
      <c r="AE93" s="55"/>
      <c r="AF93" s="55"/>
      <c r="AG93" s="55"/>
      <c r="AH93" s="55"/>
      <c r="AI93" s="55"/>
    </row>
    <row r="94">
      <c r="A94" s="2"/>
      <c r="B94" s="2" t="s">
        <v>54</v>
      </c>
      <c r="C94" s="2"/>
      <c r="D94" s="30" t="str">
        <f>(D91-D86)/($G$1-$C$1)</f>
        <v>#DIV/0!</v>
      </c>
      <c r="E94" s="2"/>
      <c r="F94" s="2" t="s">
        <v>54</v>
      </c>
      <c r="G94" s="2"/>
      <c r="H94" s="30" t="str">
        <f>(H91-H86)/($G$1-$C$1)</f>
        <v>#DIV/0!</v>
      </c>
      <c r="I94" s="2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5"/>
      <c r="X94" s="55"/>
      <c r="Y94" s="55"/>
      <c r="Z94" s="55"/>
      <c r="AA94" s="55"/>
      <c r="AB94" s="55"/>
      <c r="AC94" s="55"/>
      <c r="AD94" s="55"/>
      <c r="AE94" s="55"/>
      <c r="AF94" s="55"/>
      <c r="AG94" s="55"/>
      <c r="AH94" s="55"/>
      <c r="AI94" s="55"/>
    </row>
    <row r="95">
      <c r="A95" s="2"/>
      <c r="B95" s="2" t="s">
        <v>89</v>
      </c>
      <c r="C95" s="2"/>
      <c r="D95" s="30">
        <f>D86-D93</f>
        <v>87734</v>
      </c>
      <c r="E95" s="2"/>
      <c r="F95" s="2" t="s">
        <v>89</v>
      </c>
      <c r="G95" s="2"/>
      <c r="H95" s="30">
        <f>H86-H93</f>
        <v>60439</v>
      </c>
      <c r="I95" s="2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5"/>
      <c r="X95" s="55"/>
      <c r="Y95" s="55"/>
      <c r="Z95" s="55"/>
      <c r="AA95" s="55"/>
      <c r="AB95" s="55"/>
      <c r="AC95" s="55"/>
      <c r="AD95" s="55"/>
      <c r="AE95" s="55"/>
      <c r="AF95" s="55"/>
      <c r="AG95" s="55"/>
      <c r="AH95" s="55"/>
      <c r="AI95" s="55"/>
    </row>
    <row r="96">
      <c r="A96" s="2"/>
      <c r="B96" s="2" t="s">
        <v>56</v>
      </c>
      <c r="C96" s="2"/>
      <c r="D96" s="30">
        <f>D86/$C$1*$G$1</f>
        <v>101466</v>
      </c>
      <c r="E96" s="2"/>
      <c r="F96" s="2" t="s">
        <v>56</v>
      </c>
      <c r="G96" s="2"/>
      <c r="H96" s="30">
        <f>H86/$C$1*$G$1</f>
        <v>364665</v>
      </c>
      <c r="I96" s="2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5"/>
      <c r="X96" s="55"/>
      <c r="Y96" s="55"/>
      <c r="Z96" s="55"/>
      <c r="AA96" s="55"/>
      <c r="AB96" s="55"/>
      <c r="AC96" s="55"/>
      <c r="AD96" s="55"/>
      <c r="AE96" s="55"/>
      <c r="AF96" s="55"/>
      <c r="AG96" s="55"/>
      <c r="AH96" s="55"/>
      <c r="AI96" s="55"/>
    </row>
    <row r="97">
      <c r="A97" s="2"/>
      <c r="B97" s="66" t="s">
        <v>57</v>
      </c>
      <c r="C97" s="66"/>
      <c r="D97" s="67">
        <f>D96/D91</f>
        <v>7.389018351</v>
      </c>
      <c r="E97" s="2"/>
      <c r="F97" s="66" t="s">
        <v>57</v>
      </c>
      <c r="G97" s="66"/>
      <c r="H97" s="67">
        <f>H96/H91</f>
        <v>1.198664808</v>
      </c>
      <c r="I97" s="2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5"/>
      <c r="X97" s="55"/>
      <c r="Y97" s="55"/>
      <c r="Z97" s="55"/>
      <c r="AA97" s="55"/>
      <c r="AB97" s="55"/>
      <c r="AC97" s="55"/>
      <c r="AD97" s="55"/>
      <c r="AE97" s="55"/>
      <c r="AF97" s="55"/>
      <c r="AG97" s="55"/>
      <c r="AH97" s="55"/>
      <c r="AI97" s="55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56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</row>
    <row r="99">
      <c r="A99" s="2"/>
      <c r="B99" s="26" t="s">
        <v>92</v>
      </c>
      <c r="C99" s="18"/>
      <c r="D99" s="2"/>
      <c r="E99" s="26" t="s">
        <v>51</v>
      </c>
      <c r="F99" s="18"/>
      <c r="G99" s="2"/>
      <c r="H99" s="112" t="s">
        <v>93</v>
      </c>
      <c r="I99" s="2"/>
      <c r="J99" s="2"/>
      <c r="K99" s="56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</row>
    <row r="101">
      <c r="A101" s="2"/>
      <c r="B101" s="26" t="s">
        <v>94</v>
      </c>
      <c r="C101" s="18"/>
      <c r="D101" s="2"/>
      <c r="E101" s="70" t="str">
        <f>B101</f>
        <v>Выручка по маркетплейсам</v>
      </c>
      <c r="F101" s="18"/>
      <c r="G101" s="2"/>
      <c r="H101" s="112" t="s">
        <v>93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</row>
    <row r="102">
      <c r="A102" s="2"/>
      <c r="B102" s="2" t="s">
        <v>95</v>
      </c>
      <c r="C102" s="30">
        <f>SUM(D13, H13)</f>
        <v>81222148</v>
      </c>
      <c r="D102" s="2"/>
      <c r="E102" s="2" t="s">
        <v>96</v>
      </c>
      <c r="F102" s="30">
        <f>SUM(D20, H20)</f>
        <v>61550306.9</v>
      </c>
      <c r="G102" s="2"/>
      <c r="H102" s="113">
        <f t="shared" ref="H102:H105" si="66">C102/F102</f>
        <v>1.319605898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</row>
    <row r="103">
      <c r="A103" s="2"/>
      <c r="B103" s="2" t="s">
        <v>97</v>
      </c>
      <c r="C103" s="30">
        <f>SUM(D31, H31)</f>
        <v>144326138</v>
      </c>
      <c r="D103" s="2"/>
      <c r="E103" s="2" t="s">
        <v>98</v>
      </c>
      <c r="F103" s="30">
        <f>SUM(D38, H38)</f>
        <v>123764569</v>
      </c>
      <c r="G103" s="2"/>
      <c r="H103" s="113">
        <f t="shared" si="66"/>
        <v>1.166134534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</row>
    <row r="104">
      <c r="A104" s="2"/>
      <c r="B104" s="2" t="s">
        <v>99</v>
      </c>
      <c r="C104" s="30">
        <f>SUM(D70, H70)</f>
        <v>4150354</v>
      </c>
      <c r="D104" s="2"/>
      <c r="E104" s="2" t="s">
        <v>100</v>
      </c>
      <c r="F104" s="30">
        <f>SUM(D77,H77)</f>
        <v>3704577</v>
      </c>
      <c r="G104" s="2"/>
      <c r="H104" s="113">
        <f t="shared" si="66"/>
        <v>1.120331417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</row>
    <row r="105">
      <c r="A105" s="2"/>
      <c r="B105" s="2" t="s">
        <v>101</v>
      </c>
      <c r="C105" s="30">
        <f>SUM(D86,H86)</f>
        <v>466131</v>
      </c>
      <c r="D105" s="2"/>
      <c r="E105" s="2" t="s">
        <v>102</v>
      </c>
      <c r="F105" s="30">
        <f>SUM(H93,D93)</f>
        <v>317958</v>
      </c>
      <c r="G105" s="2"/>
      <c r="H105" s="113">
        <f t="shared" si="66"/>
        <v>1.466014379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</row>
    <row r="107">
      <c r="A107" s="2"/>
      <c r="B107" s="26" t="s">
        <v>103</v>
      </c>
      <c r="C107" s="18"/>
      <c r="D107" s="2"/>
      <c r="E107" s="70" t="str">
        <f>B107</f>
        <v>Выручка по направлениям</v>
      </c>
      <c r="F107" s="18"/>
      <c r="G107" s="2"/>
      <c r="H107" s="112" t="s">
        <v>93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</row>
    <row r="108">
      <c r="A108" s="2"/>
      <c r="B108" s="4" t="s">
        <v>104</v>
      </c>
      <c r="C108" s="30">
        <f>SUM(D13, D31, D70)</f>
        <v>62877367</v>
      </c>
      <c r="D108" s="2"/>
      <c r="E108" s="2" t="s">
        <v>105</v>
      </c>
      <c r="F108" s="30">
        <f>SUM(D20, D38, D77)</f>
        <v>45725824</v>
      </c>
      <c r="G108" s="2"/>
      <c r="H108" s="113">
        <f t="shared" ref="H108:H109" si="67">C108/F108</f>
        <v>1.375095329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</row>
    <row r="109">
      <c r="A109" s="2"/>
      <c r="B109" s="4" t="s">
        <v>106</v>
      </c>
      <c r="C109" s="30">
        <f>SUM(H13, H31, H70, H86)</f>
        <v>167185938</v>
      </c>
      <c r="D109" s="2"/>
      <c r="E109" s="2" t="s">
        <v>107</v>
      </c>
      <c r="F109" s="30">
        <f>SUM(H20, H38, H77, H93)</f>
        <v>143597854.9</v>
      </c>
      <c r="G109" s="2"/>
      <c r="H109" s="113">
        <f t="shared" si="67"/>
        <v>1.164264871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46"/>
      <c r="X110" s="46"/>
      <c r="Y110" s="46"/>
      <c r="Z110" s="46"/>
      <c r="AA110" s="46"/>
      <c r="AB110" s="46"/>
      <c r="AC110" s="46"/>
      <c r="AD110" s="46"/>
      <c r="AE110" s="46"/>
      <c r="AF110" s="46"/>
      <c r="AG110" s="46"/>
      <c r="AH110" s="46"/>
      <c r="AI110" s="46"/>
    </row>
    <row r="111">
      <c r="A111" s="2"/>
      <c r="B111" s="26" t="s">
        <v>108</v>
      </c>
      <c r="C111" s="18"/>
      <c r="D111" s="2"/>
      <c r="E111" s="70" t="str">
        <f>B111</f>
        <v>Суммарная выручка</v>
      </c>
      <c r="F111" s="18"/>
      <c r="G111" s="2"/>
      <c r="H111" s="112" t="s">
        <v>93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46"/>
      <c r="X111" s="46"/>
      <c r="Y111" s="46"/>
      <c r="Z111" s="46"/>
      <c r="AA111" s="46"/>
      <c r="AB111" s="46"/>
      <c r="AC111" s="46"/>
      <c r="AD111" s="46"/>
      <c r="AE111" s="46"/>
      <c r="AF111" s="46"/>
      <c r="AG111" s="46"/>
      <c r="AH111" s="46"/>
      <c r="AI111" s="46"/>
    </row>
    <row r="112">
      <c r="A112" s="2"/>
      <c r="B112" s="2" t="s">
        <v>109</v>
      </c>
      <c r="C112" s="30">
        <f>SUM(C102:C105)</f>
        <v>230164771</v>
      </c>
      <c r="D112" s="2"/>
      <c r="E112" s="2" t="s">
        <v>110</v>
      </c>
      <c r="F112" s="30">
        <f>SUM(F102:F105)</f>
        <v>189337410.9</v>
      </c>
      <c r="G112" s="2"/>
      <c r="H112" s="113">
        <f t="shared" ref="H112:H113" si="68">C112/F112</f>
        <v>1.215632821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46"/>
      <c r="X112" s="46"/>
      <c r="Y112" s="46"/>
      <c r="Z112" s="46"/>
      <c r="AA112" s="46"/>
      <c r="AB112" s="46"/>
      <c r="AC112" s="46"/>
      <c r="AD112" s="46"/>
      <c r="AE112" s="46"/>
      <c r="AF112" s="46"/>
      <c r="AG112" s="46"/>
      <c r="AH112" s="46"/>
      <c r="AI112" s="46"/>
    </row>
    <row r="113">
      <c r="A113" s="2"/>
      <c r="B113" s="2" t="s">
        <v>111</v>
      </c>
      <c r="C113" s="30">
        <f>C112/$C$1*G1</f>
        <v>230164771</v>
      </c>
      <c r="D113" s="2"/>
      <c r="E113" s="2" t="s">
        <v>112</v>
      </c>
      <c r="F113" s="30">
        <f>SUM(D18, H18, D36, H36, D75, H75, D91, H91)</f>
        <v>189337410.9</v>
      </c>
      <c r="G113" s="2"/>
      <c r="H113" s="113">
        <f t="shared" si="68"/>
        <v>1.215632821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46"/>
      <c r="X113" s="46"/>
      <c r="Y113" s="46"/>
      <c r="Z113" s="46"/>
      <c r="AA113" s="46"/>
      <c r="AB113" s="46"/>
      <c r="AC113" s="46"/>
      <c r="AD113" s="46"/>
      <c r="AE113" s="46"/>
      <c r="AF113" s="46"/>
      <c r="AG113" s="46"/>
      <c r="AH113" s="46"/>
      <c r="AI113" s="46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46"/>
      <c r="X114" s="46"/>
      <c r="Y114" s="46"/>
      <c r="Z114" s="46"/>
      <c r="AA114" s="46"/>
      <c r="AB114" s="46"/>
      <c r="AC114" s="46"/>
      <c r="AD114" s="46"/>
      <c r="AE114" s="46"/>
      <c r="AF114" s="46"/>
      <c r="AG114" s="46"/>
      <c r="AH114" s="46"/>
      <c r="AI114" s="46"/>
    </row>
    <row r="115">
      <c r="A115" s="2"/>
      <c r="B115" s="26" t="s">
        <v>113</v>
      </c>
      <c r="C115" s="17"/>
      <c r="D115" s="17"/>
      <c r="E115" s="17"/>
      <c r="F115" s="18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46"/>
      <c r="X115" s="46"/>
      <c r="Y115" s="46"/>
      <c r="Z115" s="46"/>
      <c r="AA115" s="46"/>
      <c r="AB115" s="46"/>
      <c r="AC115" s="46"/>
      <c r="AD115" s="46"/>
      <c r="AE115" s="46"/>
      <c r="AF115" s="46"/>
      <c r="AG115" s="46"/>
      <c r="AH115" s="46"/>
      <c r="AI115" s="46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46"/>
      <c r="X116" s="46"/>
      <c r="Y116" s="46"/>
      <c r="Z116" s="46"/>
      <c r="AA116" s="46"/>
      <c r="AB116" s="46"/>
      <c r="AC116" s="46"/>
      <c r="AD116" s="46"/>
      <c r="AE116" s="46"/>
      <c r="AF116" s="46"/>
      <c r="AG116" s="46"/>
      <c r="AH116" s="46"/>
      <c r="AI116" s="46"/>
    </row>
    <row r="117">
      <c r="A117" s="2"/>
      <c r="B117" s="26" t="s">
        <v>114</v>
      </c>
      <c r="C117" s="18"/>
      <c r="D117" s="2"/>
      <c r="E117" s="70" t="str">
        <f>B117</f>
        <v>Доля Рекламных Расходов</v>
      </c>
      <c r="F117" s="18"/>
      <c r="G117" s="2"/>
      <c r="H117" s="112" t="s">
        <v>93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</row>
    <row r="118">
      <c r="A118" s="2"/>
      <c r="B118" s="2" t="s">
        <v>18</v>
      </c>
      <c r="C118" s="35">
        <f>SUM(C12,G12)/SUM(D13,H13)</f>
        <v>0.145974039</v>
      </c>
      <c r="D118" s="2"/>
      <c r="E118" s="2" t="s">
        <v>18</v>
      </c>
      <c r="F118" s="35">
        <f>(D18*C15+H18*G15)/SUM(D18, H18)</f>
        <v>0.1326506425</v>
      </c>
      <c r="G118" s="2"/>
      <c r="H118" s="35">
        <f t="shared" ref="H118:H121" si="69">C118/F118-1</f>
        <v>0.1004397431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46"/>
      <c r="X118" s="46"/>
      <c r="Y118" s="46"/>
      <c r="Z118" s="46"/>
      <c r="AA118" s="46"/>
      <c r="AB118" s="46"/>
      <c r="AC118" s="46"/>
      <c r="AD118" s="46"/>
      <c r="AE118" s="46"/>
      <c r="AF118" s="46"/>
      <c r="AG118" s="46"/>
      <c r="AH118" s="46"/>
      <c r="AI118" s="46"/>
    </row>
    <row r="119">
      <c r="A119" s="2"/>
      <c r="B119" s="2" t="s">
        <v>115</v>
      </c>
      <c r="C119" s="35">
        <f>SUM(C30,G30)/SUM(D31,H31)</f>
        <v>0.06287227751</v>
      </c>
      <c r="D119" s="2"/>
      <c r="E119" s="2" t="s">
        <v>115</v>
      </c>
      <c r="F119" s="35">
        <f>(D36*C33+H36*G33)/SUM(D36, H36)</f>
        <v>0.09221325289</v>
      </c>
      <c r="G119" s="2"/>
      <c r="H119" s="35">
        <f t="shared" si="69"/>
        <v>-0.3181861008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46"/>
      <c r="X119" s="46"/>
      <c r="Y119" s="46"/>
      <c r="Z119" s="46"/>
      <c r="AA119" s="46"/>
      <c r="AB119" s="46"/>
      <c r="AC119" s="46"/>
      <c r="AD119" s="46"/>
      <c r="AE119" s="46"/>
      <c r="AF119" s="46"/>
      <c r="AG119" s="46"/>
      <c r="AH119" s="46"/>
      <c r="AI119" s="46"/>
    </row>
    <row r="120">
      <c r="A120" s="2"/>
      <c r="B120" s="2" t="s">
        <v>31</v>
      </c>
      <c r="C120" s="35">
        <f>SUM(C69,G69)/SUM(D70,H70)</f>
        <v>0.1990010973</v>
      </c>
      <c r="D120" s="2"/>
      <c r="E120" s="2" t="s">
        <v>31</v>
      </c>
      <c r="F120" s="35">
        <f>(D75*C72+H75*G72)/SUM(D75, H75)</f>
        <v>0.176223716</v>
      </c>
      <c r="G120" s="2"/>
      <c r="H120" s="35">
        <f t="shared" si="69"/>
        <v>0.1292526444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46"/>
      <c r="X120" s="46"/>
      <c r="Y120" s="46"/>
      <c r="Z120" s="46"/>
      <c r="AA120" s="46"/>
      <c r="AB120" s="46"/>
      <c r="AC120" s="46"/>
      <c r="AD120" s="46"/>
      <c r="AE120" s="46"/>
      <c r="AF120" s="46"/>
      <c r="AG120" s="46"/>
      <c r="AH120" s="46"/>
      <c r="AI120" s="46"/>
    </row>
    <row r="121">
      <c r="A121" s="2"/>
      <c r="B121" s="2" t="s">
        <v>116</v>
      </c>
      <c r="C121" s="35">
        <f>SUM(C12, G12, C30, G30, C69, G69, C85, G85)/C112</f>
        <v>0.09452516519</v>
      </c>
      <c r="D121" s="2"/>
      <c r="E121" s="2" t="s">
        <v>116</v>
      </c>
      <c r="F121" s="35">
        <f>SUM(D13*C15, H13*G15, D31*C33, H31*G33, D70*C72, H70*G72, H86*G88, D86*C88)/C112</f>
        <v>0.1096244814</v>
      </c>
      <c r="G121" s="2"/>
      <c r="H121" s="35">
        <f t="shared" si="69"/>
        <v>-0.1377367173</v>
      </c>
      <c r="I121" s="67">
        <f>1+H121</f>
        <v>0.8622632827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46"/>
      <c r="X121" s="46"/>
      <c r="Y121" s="46"/>
      <c r="Z121" s="46"/>
      <c r="AA121" s="46"/>
      <c r="AB121" s="46"/>
      <c r="AC121" s="46"/>
      <c r="AD121" s="46"/>
      <c r="AE121" s="46"/>
      <c r="AF121" s="46"/>
      <c r="AG121" s="46"/>
      <c r="AH121" s="46"/>
      <c r="AI121" s="46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46"/>
      <c r="X122" s="46"/>
      <c r="Y122" s="46"/>
      <c r="Z122" s="46"/>
      <c r="AA122" s="46"/>
      <c r="AB122" s="46"/>
      <c r="AC122" s="46"/>
      <c r="AD122" s="46"/>
      <c r="AE122" s="46"/>
      <c r="AF122" s="46"/>
      <c r="AG122" s="46"/>
      <c r="AH122" s="46"/>
      <c r="AI122" s="46"/>
    </row>
    <row r="123">
      <c r="A123" s="2"/>
      <c r="B123" s="26" t="s">
        <v>117</v>
      </c>
      <c r="C123" s="17"/>
      <c r="D123" s="17"/>
      <c r="E123" s="17"/>
      <c r="F123" s="18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46"/>
      <c r="X123" s="46"/>
      <c r="Y123" s="46"/>
      <c r="Z123" s="46"/>
      <c r="AA123" s="46"/>
      <c r="AB123" s="46"/>
      <c r="AC123" s="46"/>
      <c r="AD123" s="46"/>
      <c r="AE123" s="46"/>
      <c r="AF123" s="46"/>
      <c r="AG123" s="46"/>
      <c r="AH123" s="46"/>
      <c r="AI123" s="46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4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46"/>
      <c r="X124" s="46"/>
      <c r="Y124" s="46"/>
      <c r="Z124" s="46"/>
      <c r="AA124" s="46"/>
      <c r="AB124" s="46"/>
      <c r="AC124" s="46"/>
      <c r="AD124" s="46"/>
      <c r="AE124" s="46"/>
      <c r="AF124" s="46"/>
      <c r="AG124" s="46"/>
      <c r="AH124" s="46"/>
      <c r="AI124" s="46"/>
    </row>
    <row r="125">
      <c r="A125" s="2"/>
      <c r="B125" s="26" t="s">
        <v>114</v>
      </c>
      <c r="C125" s="18"/>
      <c r="D125" s="2"/>
      <c r="E125" s="70" t="str">
        <f>B125</f>
        <v>Доля Рекламных Расходов</v>
      </c>
      <c r="F125" s="18"/>
      <c r="G125" s="2"/>
      <c r="H125" s="112" t="s">
        <v>93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</row>
    <row r="126">
      <c r="A126" s="2"/>
      <c r="B126" s="2" t="s">
        <v>18</v>
      </c>
      <c r="C126" s="35">
        <f>C118</f>
        <v>0.145974039</v>
      </c>
      <c r="D126" s="2"/>
      <c r="E126" s="2" t="s">
        <v>18</v>
      </c>
      <c r="F126" s="35">
        <f t="shared" ref="F126:F129" si="70">F118</f>
        <v>0.1326506425</v>
      </c>
      <c r="G126" s="2"/>
      <c r="H126" s="35">
        <f t="shared" ref="H126:H129" si="71">C126/F126-1</f>
        <v>0.1004397431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46"/>
      <c r="X126" s="46"/>
      <c r="Y126" s="46"/>
      <c r="Z126" s="46"/>
      <c r="AA126" s="46"/>
      <c r="AB126" s="46"/>
      <c r="AC126" s="46"/>
      <c r="AD126" s="46"/>
      <c r="AE126" s="46"/>
      <c r="AF126" s="46"/>
      <c r="AG126" s="46"/>
      <c r="AH126" s="46"/>
      <c r="AI126" s="46"/>
    </row>
    <row r="127">
      <c r="A127" s="2"/>
      <c r="B127" s="2" t="s">
        <v>115</v>
      </c>
      <c r="C127" s="35">
        <f>SUM(C48,G48)/SUM(D49,H49)</f>
        <v>0.03094634182</v>
      </c>
      <c r="D127" s="2"/>
      <c r="E127" s="2" t="s">
        <v>115</v>
      </c>
      <c r="F127" s="35">
        <f t="shared" si="70"/>
        <v>0.09221325289</v>
      </c>
      <c r="G127" s="2"/>
      <c r="H127" s="35">
        <f t="shared" si="71"/>
        <v>-0.6644046181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46"/>
      <c r="X127" s="46"/>
      <c r="Y127" s="46"/>
      <c r="Z127" s="46"/>
      <c r="AA127" s="46"/>
      <c r="AB127" s="46"/>
      <c r="AC127" s="46"/>
      <c r="AD127" s="46"/>
      <c r="AE127" s="46"/>
      <c r="AF127" s="46"/>
      <c r="AG127" s="46"/>
      <c r="AH127" s="46"/>
      <c r="AI127" s="46"/>
    </row>
    <row r="128">
      <c r="A128" s="2"/>
      <c r="B128" s="2" t="s">
        <v>31</v>
      </c>
      <c r="C128" s="35">
        <f>C120</f>
        <v>0.1990010973</v>
      </c>
      <c r="D128" s="2"/>
      <c r="E128" s="2" t="s">
        <v>31</v>
      </c>
      <c r="F128" s="35">
        <f t="shared" si="70"/>
        <v>0.176223716</v>
      </c>
      <c r="G128" s="2"/>
      <c r="H128" s="35">
        <f t="shared" si="71"/>
        <v>0.1292526444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46"/>
      <c r="X128" s="46"/>
      <c r="Y128" s="46"/>
      <c r="Z128" s="46"/>
      <c r="AA128" s="46"/>
      <c r="AB128" s="46"/>
      <c r="AC128" s="46"/>
      <c r="AD128" s="46"/>
      <c r="AE128" s="46"/>
      <c r="AF128" s="46"/>
      <c r="AG128" s="46"/>
      <c r="AH128" s="46"/>
      <c r="AI128" s="46"/>
    </row>
    <row r="129">
      <c r="A129" s="2"/>
      <c r="B129" s="2" t="s">
        <v>116</v>
      </c>
      <c r="C129" s="35">
        <f>SUM(C12, G12, C48, G48, C69, G69, C85, G85)/C112</f>
        <v>0.07450582435</v>
      </c>
      <c r="D129" s="2"/>
      <c r="E129" s="2" t="s">
        <v>116</v>
      </c>
      <c r="F129" s="35">
        <f t="shared" si="70"/>
        <v>0.1096244814</v>
      </c>
      <c r="G129" s="2"/>
      <c r="H129" s="35">
        <f t="shared" si="71"/>
        <v>-0.3203541453</v>
      </c>
      <c r="I129" s="67">
        <f>1+H129</f>
        <v>0.6796458547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46"/>
      <c r="X129" s="46"/>
      <c r="Y129" s="46"/>
      <c r="Z129" s="46"/>
      <c r="AA129" s="46"/>
      <c r="AB129" s="46"/>
      <c r="AC129" s="46"/>
      <c r="AD129" s="46"/>
      <c r="AE129" s="46"/>
      <c r="AF129" s="46"/>
      <c r="AG129" s="46"/>
      <c r="AH129" s="46"/>
      <c r="AI129" s="46"/>
    </row>
    <row r="130">
      <c r="A130" s="2"/>
      <c r="B130" s="2"/>
      <c r="C130" s="35"/>
      <c r="D130" s="2"/>
      <c r="E130" s="2"/>
      <c r="F130" s="35"/>
      <c r="G130" s="2"/>
      <c r="H130" s="35"/>
      <c r="I130" s="19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46"/>
      <c r="X130" s="46"/>
      <c r="Y130" s="46"/>
      <c r="Z130" s="46"/>
      <c r="AA130" s="46"/>
      <c r="AB130" s="46"/>
      <c r="AC130" s="46"/>
      <c r="AD130" s="46"/>
      <c r="AE130" s="46"/>
      <c r="AF130" s="46"/>
      <c r="AG130" s="46"/>
      <c r="AH130" s="46"/>
      <c r="AI130" s="46"/>
    </row>
    <row r="131">
      <c r="A131" s="2"/>
      <c r="B131" s="26" t="s">
        <v>118</v>
      </c>
      <c r="C131" s="17"/>
      <c r="D131" s="17"/>
      <c r="E131" s="17"/>
      <c r="F131" s="18"/>
      <c r="G131" s="2"/>
      <c r="H131" s="35"/>
      <c r="I131" s="19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46"/>
      <c r="X131" s="46"/>
      <c r="Y131" s="46"/>
      <c r="Z131" s="46"/>
      <c r="AA131" s="46"/>
      <c r="AB131" s="46"/>
      <c r="AC131" s="46"/>
      <c r="AD131" s="46"/>
      <c r="AE131" s="46"/>
      <c r="AF131" s="46"/>
      <c r="AG131" s="46"/>
      <c r="AH131" s="46"/>
      <c r="AI131" s="46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46"/>
      <c r="X132" s="46"/>
      <c r="Y132" s="46"/>
      <c r="Z132" s="46"/>
      <c r="AA132" s="46"/>
      <c r="AB132" s="46"/>
      <c r="AC132" s="46"/>
      <c r="AD132" s="46"/>
      <c r="AE132" s="46"/>
      <c r="AF132" s="46"/>
      <c r="AG132" s="46"/>
      <c r="AH132" s="46"/>
      <c r="AI132" s="46"/>
    </row>
    <row r="133">
      <c r="A133" s="2"/>
      <c r="B133" s="115" t="s">
        <v>119</v>
      </c>
      <c r="C133" s="18"/>
      <c r="D133" s="2"/>
      <c r="E133" s="26" t="s">
        <v>60</v>
      </c>
      <c r="F133" s="18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</row>
    <row r="134">
      <c r="A134" s="56">
        <f t="shared" ref="A134:A137" si="72">C134/$C$138</f>
        <v>0.5449589621</v>
      </c>
      <c r="B134" s="4" t="s">
        <v>18</v>
      </c>
      <c r="C134" s="58">
        <f>SUM(C12,G12)</f>
        <v>11856325</v>
      </c>
      <c r="D134" s="2"/>
      <c r="E134" s="4" t="s">
        <v>18</v>
      </c>
      <c r="F134" s="58">
        <f>SUM(C12,G12)</f>
        <v>11856325</v>
      </c>
      <c r="G134" s="56">
        <f t="shared" ref="G134:G137" si="73">F134/$F$138</f>
        <v>0.6913866985</v>
      </c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46"/>
      <c r="X134" s="46"/>
      <c r="Y134" s="46"/>
      <c r="Z134" s="46"/>
      <c r="AA134" s="46"/>
      <c r="AB134" s="46"/>
      <c r="AC134" s="46"/>
      <c r="AD134" s="46"/>
      <c r="AE134" s="46"/>
      <c r="AF134" s="46"/>
      <c r="AG134" s="46"/>
      <c r="AH134" s="46"/>
      <c r="AI134" s="46"/>
    </row>
    <row r="135">
      <c r="A135" s="56">
        <f t="shared" si="72"/>
        <v>0.4170785806</v>
      </c>
      <c r="B135" s="4" t="s">
        <v>115</v>
      </c>
      <c r="C135" s="58">
        <f>SUM(C30,G30)</f>
        <v>9074113</v>
      </c>
      <c r="D135" s="2"/>
      <c r="E135" s="4" t="s">
        <v>115</v>
      </c>
      <c r="F135" s="58">
        <f>SUM(C48,G48)</f>
        <v>4466366</v>
      </c>
      <c r="G135" s="56">
        <f t="shared" si="73"/>
        <v>0.2604505227</v>
      </c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46"/>
      <c r="X135" s="46"/>
      <c r="Y135" s="46"/>
      <c r="Z135" s="46"/>
      <c r="AA135" s="46"/>
      <c r="AB135" s="46"/>
      <c r="AC135" s="46"/>
      <c r="AD135" s="46"/>
      <c r="AE135" s="46"/>
      <c r="AF135" s="46"/>
      <c r="AG135" s="46"/>
      <c r="AH135" s="46"/>
      <c r="AI135" s="46"/>
    </row>
    <row r="136">
      <c r="A136" s="56">
        <f t="shared" si="72"/>
        <v>0.03796245724</v>
      </c>
      <c r="B136" s="4" t="s">
        <v>31</v>
      </c>
      <c r="C136" s="58">
        <f>SUM(C69,G69)</f>
        <v>825925</v>
      </c>
      <c r="D136" s="2"/>
      <c r="E136" s="4" t="s">
        <v>31</v>
      </c>
      <c r="F136" s="58">
        <f>SUM(C69,G69)</f>
        <v>825925</v>
      </c>
      <c r="G136" s="56">
        <f t="shared" si="73"/>
        <v>0.04816277885</v>
      </c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46"/>
      <c r="X136" s="46"/>
      <c r="Y136" s="46"/>
      <c r="Z136" s="46"/>
      <c r="AA136" s="46"/>
      <c r="AB136" s="46"/>
      <c r="AC136" s="46"/>
      <c r="AD136" s="46"/>
      <c r="AE136" s="46"/>
      <c r="AF136" s="46"/>
      <c r="AG136" s="46"/>
      <c r="AH136" s="46"/>
      <c r="AI136" s="46"/>
    </row>
    <row r="137">
      <c r="A137" s="56">
        <f t="shared" si="72"/>
        <v>0</v>
      </c>
      <c r="B137" s="4" t="s">
        <v>34</v>
      </c>
      <c r="C137" s="58">
        <f>SUM(C85,G85)</f>
        <v>0</v>
      </c>
      <c r="D137" s="2"/>
      <c r="E137" s="4" t="s">
        <v>34</v>
      </c>
      <c r="F137" s="58">
        <f>SUM(C85,G85)</f>
        <v>0</v>
      </c>
      <c r="G137" s="56">
        <f t="shared" si="73"/>
        <v>0</v>
      </c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46"/>
      <c r="X137" s="46"/>
      <c r="Y137" s="46"/>
      <c r="Z137" s="46"/>
      <c r="AA137" s="46"/>
      <c r="AB137" s="46"/>
      <c r="AC137" s="46"/>
      <c r="AD137" s="46"/>
      <c r="AE137" s="46"/>
      <c r="AF137" s="46"/>
      <c r="AG137" s="46"/>
      <c r="AH137" s="46"/>
      <c r="AI137" s="46"/>
    </row>
    <row r="138">
      <c r="A138" s="2"/>
      <c r="B138" s="20" t="s">
        <v>120</v>
      </c>
      <c r="C138" s="75">
        <f>SUM(C134:C137)</f>
        <v>21756363</v>
      </c>
      <c r="D138" s="2"/>
      <c r="E138" s="20" t="s">
        <v>120</v>
      </c>
      <c r="F138" s="75">
        <f>SUM(F134:F137)</f>
        <v>17148616</v>
      </c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46"/>
      <c r="X138" s="46"/>
      <c r="Y138" s="46"/>
      <c r="Z138" s="46"/>
      <c r="AA138" s="46"/>
      <c r="AB138" s="46"/>
      <c r="AC138" s="46"/>
      <c r="AD138" s="46"/>
      <c r="AE138" s="46"/>
      <c r="AF138" s="46"/>
      <c r="AG138" s="46"/>
      <c r="AH138" s="46"/>
      <c r="AI138" s="46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  <c r="AG139" s="46"/>
      <c r="AH139" s="46"/>
      <c r="AI139" s="46"/>
    </row>
    <row r="140">
      <c r="A140" s="2"/>
      <c r="B140" s="26" t="s">
        <v>121</v>
      </c>
      <c r="C140" s="17"/>
      <c r="D140" s="17"/>
      <c r="E140" s="17"/>
      <c r="F140" s="18"/>
      <c r="G140" s="2"/>
      <c r="H140" s="35"/>
      <c r="I140" s="19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46"/>
      <c r="X140" s="46"/>
      <c r="Y140" s="46"/>
      <c r="Z140" s="46"/>
      <c r="AA140" s="46"/>
      <c r="AB140" s="46"/>
      <c r="AC140" s="46"/>
      <c r="AD140" s="46"/>
      <c r="AE140" s="46"/>
      <c r="AF140" s="46"/>
      <c r="AG140" s="46"/>
      <c r="AH140" s="46"/>
      <c r="AI140" s="46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46"/>
      <c r="X141" s="46"/>
      <c r="Y141" s="46"/>
      <c r="Z141" s="46"/>
      <c r="AA141" s="46"/>
      <c r="AB141" s="46"/>
      <c r="AC141" s="46"/>
      <c r="AD141" s="46"/>
      <c r="AE141" s="46"/>
      <c r="AF141" s="46"/>
      <c r="AG141" s="46"/>
      <c r="AH141" s="46"/>
      <c r="AI141" s="46"/>
    </row>
    <row r="142">
      <c r="A142" s="2"/>
      <c r="B142" s="115" t="s">
        <v>119</v>
      </c>
      <c r="C142" s="18"/>
      <c r="D142" s="2"/>
      <c r="E142" s="26" t="s">
        <v>60</v>
      </c>
      <c r="F142" s="18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</row>
    <row r="143">
      <c r="A143" s="56">
        <f t="shared" ref="A143:A144" si="74">C143/$C$145</f>
        <v>0.3846478844</v>
      </c>
      <c r="B143" s="4" t="s">
        <v>19</v>
      </c>
      <c r="C143" s="58">
        <f>SUM(C12,C30,C69,C85)</f>
        <v>8368539</v>
      </c>
      <c r="D143" s="2"/>
      <c r="E143" s="4" t="s">
        <v>19</v>
      </c>
      <c r="F143" s="58">
        <f>SUM(C12,C48,C69,C85)</f>
        <v>7664226</v>
      </c>
      <c r="G143" s="56">
        <f t="shared" ref="G143:G144" si="75">F143/$F$145</f>
        <v>0.4469297114</v>
      </c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46"/>
      <c r="X143" s="46"/>
      <c r="Y143" s="46"/>
      <c r="Z143" s="46"/>
      <c r="AA143" s="46"/>
      <c r="AB143" s="46"/>
      <c r="AC143" s="46"/>
      <c r="AD143" s="46"/>
      <c r="AE143" s="46"/>
      <c r="AF143" s="46"/>
      <c r="AG143" s="46"/>
      <c r="AH143" s="46"/>
      <c r="AI143" s="46"/>
    </row>
    <row r="144">
      <c r="A144" s="56">
        <f t="shared" si="74"/>
        <v>0.6153521156</v>
      </c>
      <c r="B144" s="4" t="s">
        <v>122</v>
      </c>
      <c r="C144" s="58">
        <f>SUM(G12,G30,G69,G85)</f>
        <v>13387824</v>
      </c>
      <c r="D144" s="2"/>
      <c r="E144" s="4" t="s">
        <v>122</v>
      </c>
      <c r="F144" s="58">
        <f>SUM(G12,G48,G69,G85)</f>
        <v>9484390</v>
      </c>
      <c r="G144" s="56">
        <f t="shared" si="75"/>
        <v>0.5530702886</v>
      </c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46"/>
      <c r="X144" s="46"/>
      <c r="Y144" s="46"/>
      <c r="Z144" s="46"/>
      <c r="AA144" s="46"/>
      <c r="AB144" s="46"/>
      <c r="AC144" s="46"/>
      <c r="AD144" s="46"/>
      <c r="AE144" s="46"/>
      <c r="AF144" s="46"/>
      <c r="AG144" s="46"/>
      <c r="AH144" s="46"/>
      <c r="AI144" s="46"/>
    </row>
    <row r="145">
      <c r="A145" s="2"/>
      <c r="B145" s="20" t="s">
        <v>120</v>
      </c>
      <c r="C145" s="75">
        <f>SUM(C143:C144)</f>
        <v>21756363</v>
      </c>
      <c r="D145" s="2"/>
      <c r="E145" s="20" t="s">
        <v>120</v>
      </c>
      <c r="F145" s="75">
        <f>SUM(F143:F144)</f>
        <v>17148616</v>
      </c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46"/>
      <c r="X145" s="46"/>
      <c r="Y145" s="46"/>
      <c r="Z145" s="46"/>
      <c r="AA145" s="46"/>
      <c r="AB145" s="46"/>
      <c r="AC145" s="46"/>
      <c r="AD145" s="46"/>
      <c r="AE145" s="46"/>
      <c r="AF145" s="46"/>
      <c r="AG145" s="46"/>
      <c r="AH145" s="46"/>
      <c r="AI145" s="46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46"/>
      <c r="X146" s="46"/>
      <c r="Y146" s="46"/>
      <c r="Z146" s="46"/>
      <c r="AA146" s="46"/>
      <c r="AB146" s="46"/>
      <c r="AC146" s="46"/>
      <c r="AD146" s="46"/>
      <c r="AE146" s="46"/>
      <c r="AF146" s="46"/>
      <c r="AG146" s="46"/>
      <c r="AH146" s="46"/>
      <c r="AI146" s="46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46"/>
      <c r="X147" s="46"/>
      <c r="Y147" s="46"/>
      <c r="Z147" s="46"/>
      <c r="AA147" s="46"/>
      <c r="AB147" s="46"/>
      <c r="AC147" s="46"/>
      <c r="AD147" s="46"/>
      <c r="AE147" s="46"/>
      <c r="AF147" s="46"/>
      <c r="AG147" s="46"/>
      <c r="AH147" s="46"/>
      <c r="AI147" s="46"/>
    </row>
  </sheetData>
  <mergeCells count="98">
    <mergeCell ref="B4:C4"/>
    <mergeCell ref="F4:G4"/>
    <mergeCell ref="M2:N2"/>
    <mergeCell ref="O2:P2"/>
    <mergeCell ref="Q2:R2"/>
    <mergeCell ref="S2:T2"/>
    <mergeCell ref="U2:V2"/>
    <mergeCell ref="B3:H3"/>
    <mergeCell ref="X3:X4"/>
    <mergeCell ref="X5:X6"/>
    <mergeCell ref="X7:X8"/>
    <mergeCell ref="X9:X10"/>
    <mergeCell ref="X11:X12"/>
    <mergeCell ref="Z17:AB17"/>
    <mergeCell ref="AD17:AF17"/>
    <mergeCell ref="X19:X20"/>
    <mergeCell ref="X21:X22"/>
    <mergeCell ref="X23:X24"/>
    <mergeCell ref="X25:X26"/>
    <mergeCell ref="B26:H26"/>
    <mergeCell ref="B27:C27"/>
    <mergeCell ref="F27:G27"/>
    <mergeCell ref="X27:X28"/>
    <mergeCell ref="X31:Y31"/>
    <mergeCell ref="X32:X33"/>
    <mergeCell ref="X34:X35"/>
    <mergeCell ref="X36:X37"/>
    <mergeCell ref="K38:L38"/>
    <mergeCell ref="M38:N38"/>
    <mergeCell ref="O38:P38"/>
    <mergeCell ref="U38:V38"/>
    <mergeCell ref="M45:N45"/>
    <mergeCell ref="O45:P45"/>
    <mergeCell ref="Q45:R45"/>
    <mergeCell ref="S45:T45"/>
    <mergeCell ref="B99:C99"/>
    <mergeCell ref="E99:F99"/>
    <mergeCell ref="B101:C101"/>
    <mergeCell ref="E101:F101"/>
    <mergeCell ref="B107:C107"/>
    <mergeCell ref="E107:F107"/>
    <mergeCell ref="B111:C111"/>
    <mergeCell ref="B131:F131"/>
    <mergeCell ref="B133:C133"/>
    <mergeCell ref="E133:F133"/>
    <mergeCell ref="B140:F140"/>
    <mergeCell ref="B142:C142"/>
    <mergeCell ref="E142:F142"/>
    <mergeCell ref="E111:F111"/>
    <mergeCell ref="B115:F115"/>
    <mergeCell ref="B117:C117"/>
    <mergeCell ref="E117:F117"/>
    <mergeCell ref="B123:F123"/>
    <mergeCell ref="B125:C125"/>
    <mergeCell ref="E125:F125"/>
    <mergeCell ref="Q38:R38"/>
    <mergeCell ref="S38:T38"/>
    <mergeCell ref="X38:X39"/>
    <mergeCell ref="X40:X41"/>
    <mergeCell ref="B44:H44"/>
    <mergeCell ref="B45:C45"/>
    <mergeCell ref="U45:V45"/>
    <mergeCell ref="K45:L45"/>
    <mergeCell ref="K47:L47"/>
    <mergeCell ref="M47:N47"/>
    <mergeCell ref="O47:P47"/>
    <mergeCell ref="Q47:R47"/>
    <mergeCell ref="S47:T47"/>
    <mergeCell ref="U47:V47"/>
    <mergeCell ref="X44:Y44"/>
    <mergeCell ref="X45:X46"/>
    <mergeCell ref="X47:X48"/>
    <mergeCell ref="X49:X50"/>
    <mergeCell ref="X51:X52"/>
    <mergeCell ref="X53:X54"/>
    <mergeCell ref="X58:X59"/>
    <mergeCell ref="AD72:AD73"/>
    <mergeCell ref="AD74:AD75"/>
    <mergeCell ref="X76:X77"/>
    <mergeCell ref="AD76:AD77"/>
    <mergeCell ref="X78:X79"/>
    <mergeCell ref="AD78:AD79"/>
    <mergeCell ref="X80:X81"/>
    <mergeCell ref="AD80:AD81"/>
    <mergeCell ref="X60:X61"/>
    <mergeCell ref="X62:X63"/>
    <mergeCell ref="X64:X65"/>
    <mergeCell ref="X66:X67"/>
    <mergeCell ref="AD71:AE71"/>
    <mergeCell ref="X72:X73"/>
    <mergeCell ref="X74:X75"/>
    <mergeCell ref="F45:G45"/>
    <mergeCell ref="B62:H62"/>
    <mergeCell ref="B63:C63"/>
    <mergeCell ref="F63:G63"/>
    <mergeCell ref="B83:H83"/>
    <mergeCell ref="B84:C84"/>
    <mergeCell ref="F84:G84"/>
  </mergeCells>
  <conditionalFormatting sqref="D16 H16 D34 H34 AH49:AH77 D52 H52 D73 H73 AH82 D89 H89">
    <cfRule type="cellIs" dxfId="0" priority="1" operator="lessThan">
      <formula>0</formula>
    </cfRule>
  </conditionalFormatting>
  <conditionalFormatting sqref="D16 H16 D34 H34 AH49:AH77 D52 H52 D73 H73 AH82 D89 H89">
    <cfRule type="cellIs" dxfId="1" priority="2" operator="greaterThan">
      <formula>0</formula>
    </cfRule>
  </conditionalFormatting>
  <conditionalFormatting sqref="D22 H22 D40 H40 D58 H58 D79 H79 D95 H95">
    <cfRule type="cellIs" dxfId="0" priority="3" operator="greaterThan">
      <formula>0</formula>
    </cfRule>
  </conditionalFormatting>
  <conditionalFormatting sqref="D22 H22 D40 H40 D58 H58 D79 H79 D95 H95">
    <cfRule type="cellIs" dxfId="1" priority="4" operator="lessThan">
      <formula>0</formula>
    </cfRule>
  </conditionalFormatting>
  <conditionalFormatting sqref="H102:H106">
    <cfRule type="cellIs" dxfId="0" priority="5" operator="greaterThan">
      <formula>1</formula>
    </cfRule>
  </conditionalFormatting>
  <conditionalFormatting sqref="H102:H106">
    <cfRule type="cellIs" dxfId="1" priority="6" operator="lessThan">
      <formula>1</formula>
    </cfRule>
  </conditionalFormatting>
  <conditionalFormatting sqref="H108:H110 H112:H114">
    <cfRule type="cellIs" dxfId="0" priority="7" operator="greaterThan">
      <formula>1</formula>
    </cfRule>
  </conditionalFormatting>
  <conditionalFormatting sqref="H108:H110 H112:H114">
    <cfRule type="cellIs" dxfId="1" priority="8" operator="lessThan">
      <formula>1</formula>
    </cfRule>
  </conditionalFormatting>
  <conditionalFormatting sqref="L44 M44:V46">
    <cfRule type="cellIs" dxfId="0" priority="9" operator="greaterThan">
      <formula>0</formula>
    </cfRule>
  </conditionalFormatting>
  <conditionalFormatting sqref="L44 M44:V46">
    <cfRule type="cellIs" dxfId="1" priority="10" operator="lessThan">
      <formula>0</formula>
    </cfRule>
  </conditionalFormatting>
  <conditionalFormatting sqref="AB19:AB29 AF19:AF29">
    <cfRule type="cellIs" dxfId="0" priority="11" operator="greaterThan">
      <formula>1</formula>
    </cfRule>
  </conditionalFormatting>
  <conditionalFormatting sqref="AB19:AB29 AF19:AF29">
    <cfRule type="cellIs" dxfId="1" priority="12" operator="lessThan">
      <formula>1</formula>
    </cfRule>
  </conditionalFormatting>
  <conditionalFormatting sqref="AF32:AF42 AF45:AF55 AF58:AF68 AH72:AH82">
    <cfRule type="cellIs" dxfId="0" priority="13" operator="lessThan">
      <formula>0</formula>
    </cfRule>
  </conditionalFormatting>
  <conditionalFormatting sqref="AF32:AF42 AF45:AF55 AF58:AF68 AH72:AH82">
    <cfRule type="cellIs" dxfId="1" priority="14" operator="greaterThan">
      <formula>0</formula>
    </cfRule>
  </conditionalFormatting>
  <conditionalFormatting sqref="AB72:AB82">
    <cfRule type="cellIs" dxfId="0" priority="15" operator="greaterThan">
      <formula>0</formula>
    </cfRule>
  </conditionalFormatting>
  <conditionalFormatting sqref="AB72:AB82">
    <cfRule type="cellIs" dxfId="1" priority="16" operator="lessThan">
      <formula>0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5"/>
    <col customWidth="1" min="3" max="4" width="15.63"/>
    <col customWidth="1" min="5" max="5" width="23.0"/>
    <col customWidth="1" min="6" max="6" width="23.5"/>
    <col customWidth="1" min="7" max="8" width="15.63"/>
    <col customWidth="1" min="11" max="11" width="28.88"/>
    <col customWidth="1" min="12" max="12" width="16.38"/>
    <col customWidth="1" min="13" max="20" width="16.5"/>
    <col customWidth="1" min="24" max="26" width="17.88"/>
    <col customWidth="1" min="28" max="32" width="17.88"/>
  </cols>
  <sheetData>
    <row r="1">
      <c r="A1" s="142"/>
      <c r="B1" s="5" t="s">
        <v>0</v>
      </c>
      <c r="C1" s="143">
        <v>31.0</v>
      </c>
      <c r="D1" s="5"/>
      <c r="E1" s="5"/>
      <c r="F1" s="5" t="s">
        <v>1</v>
      </c>
      <c r="G1" s="144">
        <v>31.0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>
      <c r="A2" s="5" t="s">
        <v>2</v>
      </c>
      <c r="B2" s="145">
        <v>45900.0</v>
      </c>
      <c r="C2" s="5"/>
      <c r="D2" s="5"/>
      <c r="E2" s="5"/>
      <c r="F2" s="5"/>
      <c r="G2" s="5"/>
      <c r="H2" s="5"/>
      <c r="I2" s="5"/>
      <c r="J2" s="5"/>
      <c r="K2" s="5"/>
      <c r="L2" s="5"/>
      <c r="M2" s="146" t="s">
        <v>3</v>
      </c>
      <c r="O2" s="147" t="s">
        <v>4</v>
      </c>
      <c r="Q2" s="148" t="s">
        <v>5</v>
      </c>
      <c r="S2" s="149" t="s">
        <v>6</v>
      </c>
      <c r="U2" s="5"/>
      <c r="V2" s="5"/>
      <c r="W2" s="5"/>
      <c r="X2" s="14" t="s">
        <v>10</v>
      </c>
      <c r="Y2" s="15" t="s">
        <v>11</v>
      </c>
      <c r="Z2" s="14" t="s">
        <v>12</v>
      </c>
      <c r="AA2" s="5"/>
      <c r="AB2" s="14" t="s">
        <v>13</v>
      </c>
      <c r="AC2" s="14" t="s">
        <v>14</v>
      </c>
      <c r="AD2" s="14" t="s">
        <v>15</v>
      </c>
      <c r="AE2" s="14" t="s">
        <v>16</v>
      </c>
      <c r="AF2" s="14" t="s">
        <v>17</v>
      </c>
      <c r="AG2" s="5"/>
    </row>
    <row r="3">
      <c r="A3" s="5"/>
      <c r="B3" s="150" t="s">
        <v>18</v>
      </c>
      <c r="C3" s="17"/>
      <c r="D3" s="17"/>
      <c r="E3" s="17"/>
      <c r="F3" s="17"/>
      <c r="G3" s="17"/>
      <c r="H3" s="18"/>
      <c r="I3" s="5"/>
      <c r="J3" s="5"/>
      <c r="K3" s="5"/>
      <c r="L3" s="5"/>
      <c r="M3" s="51" t="s">
        <v>19</v>
      </c>
      <c r="N3" s="51" t="s">
        <v>20</v>
      </c>
      <c r="O3" s="51" t="s">
        <v>19</v>
      </c>
      <c r="P3" s="51" t="s">
        <v>20</v>
      </c>
      <c r="Q3" s="51" t="s">
        <v>19</v>
      </c>
      <c r="R3" s="51" t="s">
        <v>20</v>
      </c>
      <c r="S3" s="51" t="s">
        <v>19</v>
      </c>
      <c r="T3" s="51" t="s">
        <v>20</v>
      </c>
      <c r="U3" s="5"/>
      <c r="V3" s="5" t="s">
        <v>144</v>
      </c>
      <c r="W3" s="151" t="s">
        <v>145</v>
      </c>
      <c r="X3" s="23">
        <f>O42</f>
        <v>26708869</v>
      </c>
      <c r="Y3" s="24"/>
      <c r="Z3" s="25">
        <f t="shared" ref="Z3:Z8" si="1">X3-Y3</f>
        <v>26708869</v>
      </c>
      <c r="AA3" s="24"/>
      <c r="AB3" s="23">
        <f>O40</f>
        <v>27392229</v>
      </c>
      <c r="AC3" s="24"/>
      <c r="AD3" s="23">
        <f>14222+291213</f>
        <v>305435</v>
      </c>
      <c r="AE3" s="24"/>
      <c r="AF3" s="23">
        <f t="shared" ref="AF3:AF8" si="2">AB3-SUM(AC3:AE3)</f>
        <v>27086794</v>
      </c>
      <c r="AG3" s="5"/>
    </row>
    <row r="4">
      <c r="A4" s="5"/>
      <c r="B4" s="152" t="s">
        <v>146</v>
      </c>
      <c r="C4" s="17"/>
      <c r="D4" s="153">
        <v>45900.0</v>
      </c>
      <c r="E4" s="5"/>
      <c r="F4" s="152" t="s">
        <v>147</v>
      </c>
      <c r="G4" s="17"/>
      <c r="H4" s="154">
        <f>$D$4</f>
        <v>45900</v>
      </c>
      <c r="I4" s="5"/>
      <c r="J4" s="155"/>
      <c r="K4" s="156">
        <v>45870.0</v>
      </c>
      <c r="L4" s="23">
        <f t="shared" ref="L4:L34" si="3">SUM(M4:T4)</f>
        <v>6158202</v>
      </c>
      <c r="M4" s="23">
        <v>416572.0</v>
      </c>
      <c r="N4" s="23">
        <v>1281559.0</v>
      </c>
      <c r="O4" s="23">
        <v>906492.0</v>
      </c>
      <c r="P4" s="23">
        <v>3440831.0</v>
      </c>
      <c r="Q4" s="23">
        <v>30041.0</v>
      </c>
      <c r="R4" s="23">
        <v>75725.0</v>
      </c>
      <c r="S4" s="23">
        <v>0.0</v>
      </c>
      <c r="T4" s="23">
        <v>6982.0</v>
      </c>
      <c r="U4" s="5"/>
      <c r="V4" s="5" t="s">
        <v>144</v>
      </c>
      <c r="W4" s="151" t="s">
        <v>148</v>
      </c>
      <c r="X4" s="23">
        <f>P42</f>
        <v>91540803</v>
      </c>
      <c r="Y4" s="24"/>
      <c r="Z4" s="25">
        <f t="shared" si="1"/>
        <v>91540803</v>
      </c>
      <c r="AA4" s="24"/>
      <c r="AB4" s="23">
        <f>P40</f>
        <v>96372340</v>
      </c>
      <c r="AC4" s="24"/>
      <c r="AD4" s="23">
        <f>25798+1625483</f>
        <v>1651281</v>
      </c>
      <c r="AE4" s="24"/>
      <c r="AF4" s="23">
        <f t="shared" si="2"/>
        <v>94721059</v>
      </c>
      <c r="AG4" s="5"/>
    </row>
    <row r="5">
      <c r="A5" s="63">
        <f t="shared" ref="A5:A12" si="4">IFERROR(C5/$C$13, " ")</f>
        <v>0.4816386924</v>
      </c>
      <c r="B5" s="157" t="s">
        <v>149</v>
      </c>
      <c r="C5" s="158">
        <v>1827408.0</v>
      </c>
      <c r="D5" s="159"/>
      <c r="E5" s="5"/>
      <c r="F5" s="157" t="s">
        <v>149</v>
      </c>
      <c r="G5" s="158">
        <v>2340793.0</v>
      </c>
      <c r="H5" s="159"/>
      <c r="I5" s="63">
        <f t="shared" ref="I5:I8" si="5">IFERROR(G5/$G$13, " ")</f>
        <v>0.6032809945</v>
      </c>
      <c r="J5" s="155"/>
      <c r="K5" s="156">
        <v>45871.0</v>
      </c>
      <c r="L5" s="23">
        <f t="shared" si="3"/>
        <v>6154676</v>
      </c>
      <c r="M5" s="23">
        <v>333724.0</v>
      </c>
      <c r="N5" s="23">
        <v>1238196.0</v>
      </c>
      <c r="O5" s="23">
        <v>847233.0</v>
      </c>
      <c r="P5" s="23">
        <v>3627164.0</v>
      </c>
      <c r="Q5" s="23">
        <v>30597.0</v>
      </c>
      <c r="R5" s="23">
        <v>73268.0</v>
      </c>
      <c r="S5" s="23">
        <v>0.0</v>
      </c>
      <c r="T5" s="23">
        <v>4494.0</v>
      </c>
      <c r="U5" s="5"/>
      <c r="V5" s="5" t="s">
        <v>150</v>
      </c>
      <c r="W5" s="151" t="s">
        <v>145</v>
      </c>
      <c r="X5" s="23">
        <f>M42</f>
        <v>13508539</v>
      </c>
      <c r="Y5" s="24"/>
      <c r="Z5" s="25">
        <f t="shared" si="1"/>
        <v>13508539</v>
      </c>
      <c r="AA5" s="24"/>
      <c r="AB5" s="23">
        <f>M40</f>
        <v>17426925</v>
      </c>
      <c r="AC5" s="23">
        <f>AB5/19368*(1094+42)</f>
        <v>1022149.257</v>
      </c>
      <c r="AD5" s="23">
        <f>12032+600742</f>
        <v>612774</v>
      </c>
      <c r="AE5" s="24"/>
      <c r="AF5" s="23">
        <f t="shared" si="2"/>
        <v>15792001.74</v>
      </c>
      <c r="AG5" s="5"/>
    </row>
    <row r="6">
      <c r="A6" s="63">
        <f t="shared" si="4"/>
        <v>0.282603178</v>
      </c>
      <c r="B6" s="160" t="s">
        <v>151</v>
      </c>
      <c r="C6" s="50">
        <v>1072238.0</v>
      </c>
      <c r="D6" s="161"/>
      <c r="E6" s="5"/>
      <c r="F6" s="160" t="s">
        <v>151</v>
      </c>
      <c r="G6" s="50">
        <v>1274386.0</v>
      </c>
      <c r="H6" s="161"/>
      <c r="I6" s="63">
        <f t="shared" si="5"/>
        <v>0.3284411964</v>
      </c>
      <c r="J6" s="155"/>
      <c r="K6" s="156">
        <v>45872.0</v>
      </c>
      <c r="L6" s="23">
        <f t="shared" si="3"/>
        <v>6687923</v>
      </c>
      <c r="M6" s="23">
        <v>361388.0</v>
      </c>
      <c r="N6" s="23">
        <v>1350330.0</v>
      </c>
      <c r="O6" s="23">
        <v>813436.0</v>
      </c>
      <c r="P6" s="23">
        <v>4051542.0</v>
      </c>
      <c r="Q6" s="23">
        <v>35392.0</v>
      </c>
      <c r="R6" s="23">
        <v>65993.0</v>
      </c>
      <c r="S6" s="23">
        <v>369.0</v>
      </c>
      <c r="T6" s="23">
        <v>9473.0</v>
      </c>
      <c r="U6" s="5"/>
      <c r="V6" s="5" t="s">
        <v>150</v>
      </c>
      <c r="W6" s="151" t="s">
        <v>148</v>
      </c>
      <c r="X6" s="23">
        <f>N42</f>
        <v>45640321</v>
      </c>
      <c r="Y6" s="24"/>
      <c r="Z6" s="25">
        <f t="shared" si="1"/>
        <v>45640321</v>
      </c>
      <c r="AA6" s="24"/>
      <c r="AB6" s="23">
        <f>N40</f>
        <v>44123381.9</v>
      </c>
      <c r="AC6" s="23">
        <f>AB6/53194*(2606+69)</f>
        <v>2218860.146</v>
      </c>
      <c r="AD6" s="23">
        <f>2774+1251021</f>
        <v>1253795</v>
      </c>
      <c r="AE6" s="23"/>
      <c r="AF6" s="23">
        <f t="shared" si="2"/>
        <v>40650726.75</v>
      </c>
      <c r="AG6" s="5"/>
    </row>
    <row r="7">
      <c r="A7" s="63">
        <f t="shared" si="4"/>
        <v>0.201122413</v>
      </c>
      <c r="B7" s="160" t="s">
        <v>29</v>
      </c>
      <c r="C7" s="50">
        <v>763088.0</v>
      </c>
      <c r="D7" s="161"/>
      <c r="E7" s="5"/>
      <c r="F7" s="160" t="s">
        <v>29</v>
      </c>
      <c r="G7" s="50">
        <v>106730.0</v>
      </c>
      <c r="H7" s="161"/>
      <c r="I7" s="63">
        <f t="shared" si="5"/>
        <v>0.02750699466</v>
      </c>
      <c r="J7" s="155"/>
      <c r="K7" s="156">
        <v>45873.0</v>
      </c>
      <c r="L7" s="23">
        <f t="shared" si="3"/>
        <v>5921245</v>
      </c>
      <c r="M7" s="23">
        <v>395464.0</v>
      </c>
      <c r="N7" s="23">
        <v>1269953.0</v>
      </c>
      <c r="O7" s="50">
        <v>901926.0</v>
      </c>
      <c r="P7" s="50">
        <v>3250363.0</v>
      </c>
      <c r="Q7" s="23">
        <v>29593.0</v>
      </c>
      <c r="R7" s="23">
        <v>69402.0</v>
      </c>
      <c r="S7" s="23">
        <v>0.0</v>
      </c>
      <c r="T7" s="23">
        <v>4544.0</v>
      </c>
      <c r="U7" s="5"/>
      <c r="V7" s="5" t="s">
        <v>152</v>
      </c>
      <c r="W7" s="151" t="s">
        <v>145</v>
      </c>
      <c r="X7" s="23">
        <f>Q42</f>
        <v>757780</v>
      </c>
      <c r="Y7" s="24"/>
      <c r="Z7" s="25">
        <f t="shared" si="1"/>
        <v>757780</v>
      </c>
      <c r="AA7" s="24"/>
      <c r="AB7" s="23">
        <f>Q40</f>
        <v>906670</v>
      </c>
      <c r="AC7" s="23"/>
      <c r="AD7" s="23"/>
      <c r="AE7" s="24"/>
      <c r="AF7" s="23">
        <f t="shared" si="2"/>
        <v>906670</v>
      </c>
      <c r="AG7" s="5"/>
    </row>
    <row r="8">
      <c r="A8" s="63">
        <f t="shared" si="4"/>
        <v>0.01207992205</v>
      </c>
      <c r="B8" s="162" t="s">
        <v>30</v>
      </c>
      <c r="C8" s="50">
        <v>45833.0</v>
      </c>
      <c r="D8" s="161"/>
      <c r="E8" s="5"/>
      <c r="F8" s="162" t="s">
        <v>30</v>
      </c>
      <c r="G8" s="24"/>
      <c r="H8" s="161"/>
      <c r="I8" s="63">
        <f t="shared" si="5"/>
        <v>0</v>
      </c>
      <c r="J8" s="155"/>
      <c r="K8" s="156">
        <v>45874.0</v>
      </c>
      <c r="L8" s="23">
        <f t="shared" si="3"/>
        <v>5825468</v>
      </c>
      <c r="M8" s="50">
        <v>435424.0</v>
      </c>
      <c r="N8" s="50">
        <v>1344720.0</v>
      </c>
      <c r="O8" s="50">
        <v>866641.0</v>
      </c>
      <c r="P8" s="50">
        <v>3049670.0</v>
      </c>
      <c r="Q8" s="50">
        <v>43895.0</v>
      </c>
      <c r="R8" s="50">
        <v>74164.0</v>
      </c>
      <c r="S8" s="23">
        <v>2030.0</v>
      </c>
      <c r="T8" s="23">
        <v>8924.0</v>
      </c>
      <c r="U8" s="5"/>
      <c r="V8" s="5" t="s">
        <v>152</v>
      </c>
      <c r="W8" s="151" t="s">
        <v>148</v>
      </c>
      <c r="X8" s="23">
        <f>R42</f>
        <v>1748835</v>
      </c>
      <c r="Y8" s="24"/>
      <c r="Z8" s="25">
        <f t="shared" si="1"/>
        <v>1748835</v>
      </c>
      <c r="AA8" s="24"/>
      <c r="AB8" s="23">
        <f>R40</f>
        <v>2797907</v>
      </c>
      <c r="AC8" s="23"/>
      <c r="AD8" s="23"/>
      <c r="AE8" s="24"/>
      <c r="AF8" s="23">
        <f t="shared" si="2"/>
        <v>2797907</v>
      </c>
      <c r="AG8" s="5"/>
    </row>
    <row r="9">
      <c r="A9" s="63">
        <f t="shared" si="4"/>
        <v>0.003599491533</v>
      </c>
      <c r="B9" s="162" t="s">
        <v>65</v>
      </c>
      <c r="C9" s="50">
        <v>13657.0</v>
      </c>
      <c r="D9" s="163"/>
      <c r="E9" s="5"/>
      <c r="F9" s="162" t="s">
        <v>65</v>
      </c>
      <c r="G9" s="50">
        <v>26844.0</v>
      </c>
      <c r="H9" s="163"/>
      <c r="I9" s="63"/>
      <c r="J9" s="155"/>
      <c r="K9" s="156">
        <v>45875.0</v>
      </c>
      <c r="L9" s="23">
        <f t="shared" si="3"/>
        <v>5733934</v>
      </c>
      <c r="M9" s="164">
        <v>478359.0</v>
      </c>
      <c r="N9" s="164">
        <v>1287952.0</v>
      </c>
      <c r="O9" s="164">
        <v>835716.0</v>
      </c>
      <c r="P9" s="50">
        <v>3001514.0</v>
      </c>
      <c r="Q9" s="164">
        <v>41992.0</v>
      </c>
      <c r="R9" s="164">
        <v>79955.0</v>
      </c>
      <c r="S9" s="164">
        <v>718.0</v>
      </c>
      <c r="T9" s="164">
        <v>7728.0</v>
      </c>
      <c r="U9" s="5"/>
      <c r="V9" s="5"/>
      <c r="W9" s="51" t="s">
        <v>40</v>
      </c>
      <c r="X9" s="52">
        <f t="shared" ref="X9:Z9" si="6">SUM(X3:X8)</f>
        <v>179905147</v>
      </c>
      <c r="Y9" s="52">
        <f t="shared" si="6"/>
        <v>0</v>
      </c>
      <c r="Z9" s="52">
        <f t="shared" si="6"/>
        <v>179905147</v>
      </c>
      <c r="AA9" s="5"/>
      <c r="AB9" s="52">
        <f t="shared" ref="AB9:AF9" si="7">SUM(AB3:AB8)</f>
        <v>189019452.9</v>
      </c>
      <c r="AC9" s="52">
        <f t="shared" si="7"/>
        <v>3241009.402</v>
      </c>
      <c r="AD9" s="52">
        <f t="shared" si="7"/>
        <v>3823285</v>
      </c>
      <c r="AE9" s="52">
        <f t="shared" si="7"/>
        <v>0</v>
      </c>
      <c r="AF9" s="52">
        <f t="shared" si="7"/>
        <v>181955158.5</v>
      </c>
      <c r="AG9" s="5"/>
    </row>
    <row r="10">
      <c r="A10" s="63">
        <f t="shared" si="4"/>
        <v>0.00996877559</v>
      </c>
      <c r="B10" s="162" t="s">
        <v>33</v>
      </c>
      <c r="C10" s="50">
        <v>37823.0</v>
      </c>
      <c r="D10" s="161"/>
      <c r="E10" s="5"/>
      <c r="F10" s="162" t="s">
        <v>33</v>
      </c>
      <c r="G10" s="50">
        <v>106551.0</v>
      </c>
      <c r="H10" s="161"/>
      <c r="I10" s="63">
        <f t="shared" ref="I10:I12" si="8">IFERROR(G10/$G$13, " ")</f>
        <v>0.02746086187</v>
      </c>
      <c r="J10" s="155"/>
      <c r="K10" s="156">
        <v>45876.0</v>
      </c>
      <c r="L10" s="23">
        <f t="shared" si="3"/>
        <v>5548917</v>
      </c>
      <c r="M10" s="164">
        <v>415491.0</v>
      </c>
      <c r="N10" s="164">
        <v>1205681.0</v>
      </c>
      <c r="O10" s="164">
        <v>727083.0</v>
      </c>
      <c r="P10" s="50">
        <v>3071200.0</v>
      </c>
      <c r="Q10" s="164">
        <v>30962.0</v>
      </c>
      <c r="R10" s="164">
        <v>87978.0</v>
      </c>
      <c r="S10" s="164">
        <v>0.0</v>
      </c>
      <c r="T10" s="164">
        <v>10522.0</v>
      </c>
      <c r="U10" s="5"/>
      <c r="V10" s="5"/>
      <c r="W10" s="5"/>
      <c r="X10" s="5"/>
      <c r="Y10" s="5"/>
      <c r="Z10" s="5"/>
      <c r="AA10" s="55"/>
      <c r="AB10" s="55"/>
      <c r="AC10" s="5"/>
      <c r="AD10" s="82">
        <f>AD9/AB9</f>
        <v>0.0202269393</v>
      </c>
      <c r="AE10" s="5"/>
      <c r="AF10" s="5"/>
      <c r="AG10" s="5"/>
    </row>
    <row r="11">
      <c r="A11" s="63">
        <f t="shared" si="4"/>
        <v>0</v>
      </c>
      <c r="B11" s="162" t="s">
        <v>35</v>
      </c>
      <c r="C11" s="24"/>
      <c r="D11" s="161"/>
      <c r="E11" s="5"/>
      <c r="F11" s="162" t="s">
        <v>35</v>
      </c>
      <c r="G11" s="24"/>
      <c r="H11" s="161"/>
      <c r="I11" s="63">
        <f t="shared" si="8"/>
        <v>0</v>
      </c>
      <c r="J11" s="155"/>
      <c r="K11" s="156">
        <v>45877.0</v>
      </c>
      <c r="L11" s="23">
        <f t="shared" si="3"/>
        <v>6437537</v>
      </c>
      <c r="M11" s="164">
        <v>358300.0</v>
      </c>
      <c r="N11" s="164">
        <v>1365237.0</v>
      </c>
      <c r="O11" s="164">
        <v>714705.0</v>
      </c>
      <c r="P11" s="164">
        <v>3876266.0</v>
      </c>
      <c r="Q11" s="164">
        <v>28216.0</v>
      </c>
      <c r="R11" s="164">
        <v>86819.0</v>
      </c>
      <c r="S11" s="164">
        <v>778.0</v>
      </c>
      <c r="T11" s="164">
        <v>7216.0</v>
      </c>
      <c r="U11" s="5"/>
      <c r="V11" s="5"/>
      <c r="W11" s="5"/>
      <c r="X11" s="14" t="s">
        <v>45</v>
      </c>
      <c r="AA11" s="55"/>
      <c r="AB11" s="14" t="s">
        <v>46</v>
      </c>
      <c r="AE11" s="55"/>
      <c r="AF11" s="24"/>
      <c r="AG11" s="5"/>
    </row>
    <row r="12">
      <c r="A12" s="63">
        <f t="shared" si="4"/>
        <v>0.008987527368</v>
      </c>
      <c r="B12" s="162" t="s">
        <v>142</v>
      </c>
      <c r="C12" s="50">
        <v>34100.0</v>
      </c>
      <c r="D12" s="163"/>
      <c r="E12" s="5"/>
      <c r="F12" s="162" t="s">
        <v>142</v>
      </c>
      <c r="G12" s="50">
        <v>24800.0</v>
      </c>
      <c r="H12" s="161"/>
      <c r="I12" s="63">
        <f t="shared" si="8"/>
        <v>0.006391581257</v>
      </c>
      <c r="J12" s="155"/>
      <c r="K12" s="156">
        <v>45878.0</v>
      </c>
      <c r="L12" s="23">
        <f t="shared" si="3"/>
        <v>5424802</v>
      </c>
      <c r="M12" s="164">
        <v>355774.0</v>
      </c>
      <c r="N12" s="164">
        <v>1227311.0</v>
      </c>
      <c r="O12" s="164">
        <v>757055.0</v>
      </c>
      <c r="P12" s="164">
        <v>2949713.0</v>
      </c>
      <c r="Q12" s="164">
        <v>36138.0</v>
      </c>
      <c r="R12" s="164">
        <v>87154.0</v>
      </c>
      <c r="S12" s="164">
        <v>0.0</v>
      </c>
      <c r="T12" s="164">
        <v>11657.0</v>
      </c>
      <c r="U12" s="5"/>
      <c r="V12" s="55"/>
      <c r="W12" s="55"/>
      <c r="X12" s="14" t="s">
        <v>10</v>
      </c>
      <c r="Y12" s="14" t="s">
        <v>13</v>
      </c>
      <c r="Z12" s="14" t="s">
        <v>48</v>
      </c>
      <c r="AA12" s="5"/>
      <c r="AB12" s="14" t="s">
        <v>12</v>
      </c>
      <c r="AC12" s="14" t="s">
        <v>17</v>
      </c>
      <c r="AD12" s="14" t="s">
        <v>48</v>
      </c>
      <c r="AE12" s="5"/>
      <c r="AF12" s="5"/>
      <c r="AG12" s="5"/>
    </row>
    <row r="13">
      <c r="A13" s="5"/>
      <c r="B13" s="162" t="s">
        <v>42</v>
      </c>
      <c r="C13" s="23">
        <f>SUM(C5:C12)</f>
        <v>3794147</v>
      </c>
      <c r="D13" s="161"/>
      <c r="E13" s="5"/>
      <c r="F13" s="162" t="s">
        <v>42</v>
      </c>
      <c r="G13" s="23">
        <f>SUM(G5:G12)</f>
        <v>3880104</v>
      </c>
      <c r="H13" s="161"/>
      <c r="I13" s="5"/>
      <c r="J13" s="155"/>
      <c r="K13" s="156">
        <v>45879.0</v>
      </c>
      <c r="L13" s="23">
        <f t="shared" si="3"/>
        <v>6535684.1</v>
      </c>
      <c r="M13" s="164">
        <v>377561.0</v>
      </c>
      <c r="N13" s="164">
        <v>1385574.1</v>
      </c>
      <c r="O13" s="164">
        <v>823764.0</v>
      </c>
      <c r="P13" s="164">
        <v>3815941.0</v>
      </c>
      <c r="Q13" s="164">
        <v>19645.0</v>
      </c>
      <c r="R13" s="164">
        <v>95861.0</v>
      </c>
      <c r="S13" s="164">
        <v>524.0</v>
      </c>
      <c r="T13" s="164">
        <v>16814.0</v>
      </c>
      <c r="U13" s="5"/>
      <c r="V13" s="5" t="s">
        <v>144</v>
      </c>
      <c r="W13" s="151" t="s">
        <v>145</v>
      </c>
      <c r="X13" s="25">
        <f t="shared" ref="X13:X18" si="9">X3</f>
        <v>26708869</v>
      </c>
      <c r="Y13" s="23">
        <f t="shared" ref="Y13:Y18" si="10">AB3</f>
        <v>27392229</v>
      </c>
      <c r="Z13" s="63">
        <f t="shared" ref="Z13:Z19" si="11">IFERROR(Y13/X13, " ")</f>
        <v>1.025585509</v>
      </c>
      <c r="AA13" s="5"/>
      <c r="AB13" s="23">
        <f t="shared" ref="AB13:AB18" si="12">Z3</f>
        <v>26708869</v>
      </c>
      <c r="AC13" s="23">
        <f t="shared" ref="AC13:AC18" si="13">AF3</f>
        <v>27086794</v>
      </c>
      <c r="AD13" s="63">
        <f t="shared" ref="AD13:AD19" si="14">IFERROR(AC13/AB13, " ")</f>
        <v>1.014149794</v>
      </c>
      <c r="AE13" s="5"/>
      <c r="AF13" s="5"/>
      <c r="AG13" s="5"/>
    </row>
    <row r="14">
      <c r="A14" s="5"/>
      <c r="B14" s="162" t="s">
        <v>43</v>
      </c>
      <c r="C14" s="5"/>
      <c r="D14" s="165">
        <f>M35</f>
        <v>17426925</v>
      </c>
      <c r="E14" s="5"/>
      <c r="F14" s="162" t="s">
        <v>43</v>
      </c>
      <c r="G14" s="5"/>
      <c r="H14" s="165">
        <f>N35</f>
        <v>44123381.9</v>
      </c>
      <c r="I14" s="5"/>
      <c r="J14" s="155"/>
      <c r="K14" s="156">
        <v>45880.0</v>
      </c>
      <c r="L14" s="23">
        <f t="shared" si="3"/>
        <v>5926549.3</v>
      </c>
      <c r="M14" s="164">
        <v>470228.0</v>
      </c>
      <c r="N14" s="164">
        <v>1370408.3</v>
      </c>
      <c r="O14" s="164">
        <v>804026.0</v>
      </c>
      <c r="P14" s="164">
        <v>3142309.0</v>
      </c>
      <c r="Q14" s="164">
        <v>40115.0</v>
      </c>
      <c r="R14" s="164">
        <v>78827.0</v>
      </c>
      <c r="S14" s="164">
        <v>555.0</v>
      </c>
      <c r="T14" s="164">
        <v>20081.0</v>
      </c>
      <c r="U14" s="5"/>
      <c r="V14" s="5" t="s">
        <v>144</v>
      </c>
      <c r="W14" s="151" t="s">
        <v>148</v>
      </c>
      <c r="X14" s="25">
        <f t="shared" si="9"/>
        <v>91540803</v>
      </c>
      <c r="Y14" s="23">
        <f t="shared" si="10"/>
        <v>96372340</v>
      </c>
      <c r="Z14" s="63">
        <f t="shared" si="11"/>
        <v>1.052780147</v>
      </c>
      <c r="AA14" s="5"/>
      <c r="AB14" s="23">
        <f t="shared" si="12"/>
        <v>91540803</v>
      </c>
      <c r="AC14" s="23">
        <f t="shared" si="13"/>
        <v>94721059</v>
      </c>
      <c r="AD14" s="63">
        <f t="shared" si="14"/>
        <v>1.034741404</v>
      </c>
      <c r="AE14" s="5"/>
      <c r="AF14" s="5"/>
      <c r="AG14" s="5"/>
    </row>
    <row r="15">
      <c r="A15" s="5"/>
      <c r="B15" s="162" t="s">
        <v>44</v>
      </c>
      <c r="C15" s="55"/>
      <c r="D15" s="166">
        <f>C13/D14</f>
        <v>0.2177175262</v>
      </c>
      <c r="E15" s="55"/>
      <c r="F15" s="162" t="s">
        <v>44</v>
      </c>
      <c r="G15" s="55"/>
      <c r="H15" s="166">
        <f>G13/H14</f>
        <v>0.08793759302</v>
      </c>
      <c r="I15" s="5"/>
      <c r="J15" s="155"/>
      <c r="K15" s="156">
        <v>45881.0</v>
      </c>
      <c r="L15" s="23">
        <f t="shared" si="3"/>
        <v>6313995.7</v>
      </c>
      <c r="M15" s="164">
        <v>459308.0</v>
      </c>
      <c r="N15" s="164">
        <v>1441334.7</v>
      </c>
      <c r="O15" s="164">
        <v>867928.0</v>
      </c>
      <c r="P15" s="164">
        <v>3407650.0</v>
      </c>
      <c r="Q15" s="164">
        <v>20389.0</v>
      </c>
      <c r="R15" s="164">
        <v>98273.0</v>
      </c>
      <c r="S15" s="164">
        <v>1646.0</v>
      </c>
      <c r="T15" s="164">
        <v>17467.0</v>
      </c>
      <c r="U15" s="5"/>
      <c r="V15" s="5" t="s">
        <v>150</v>
      </c>
      <c r="W15" s="151" t="s">
        <v>145</v>
      </c>
      <c r="X15" s="25">
        <f t="shared" si="9"/>
        <v>13508539</v>
      </c>
      <c r="Y15" s="23">
        <f t="shared" si="10"/>
        <v>17426925</v>
      </c>
      <c r="Z15" s="63">
        <f t="shared" si="11"/>
        <v>1.290067342</v>
      </c>
      <c r="AA15" s="5"/>
      <c r="AB15" s="23">
        <f t="shared" si="12"/>
        <v>13508539</v>
      </c>
      <c r="AC15" s="23">
        <f t="shared" si="13"/>
        <v>15792001.74</v>
      </c>
      <c r="AD15" s="63">
        <f t="shared" si="14"/>
        <v>1.169038468</v>
      </c>
      <c r="AE15" s="5"/>
      <c r="AF15" s="5"/>
      <c r="AG15" s="5"/>
    </row>
    <row r="16">
      <c r="A16" s="63">
        <f>D15/C16</f>
        <v>1.145881717</v>
      </c>
      <c r="B16" s="162" t="s">
        <v>47</v>
      </c>
      <c r="C16" s="63">
        <v>0.19</v>
      </c>
      <c r="D16" s="165">
        <f>D14*C16</f>
        <v>3311115.75</v>
      </c>
      <c r="E16" s="5"/>
      <c r="F16" s="162" t="s">
        <v>47</v>
      </c>
      <c r="G16" s="63">
        <v>0.11</v>
      </c>
      <c r="H16" s="165">
        <f>H14*G16</f>
        <v>4853572.009</v>
      </c>
      <c r="I16" s="63">
        <f>H15/G16</f>
        <v>0.7994326638</v>
      </c>
      <c r="J16" s="155"/>
      <c r="K16" s="156">
        <v>45882.0</v>
      </c>
      <c r="L16" s="23">
        <f t="shared" si="3"/>
        <v>6797267</v>
      </c>
      <c r="M16" s="164">
        <v>448631.0</v>
      </c>
      <c r="N16" s="164">
        <v>1549572.0</v>
      </c>
      <c r="O16" s="164">
        <v>1030716.0</v>
      </c>
      <c r="P16" s="164">
        <v>3624316.0</v>
      </c>
      <c r="Q16" s="164">
        <v>25049.0</v>
      </c>
      <c r="R16" s="164">
        <v>102209.0</v>
      </c>
      <c r="S16" s="164">
        <v>1666.0</v>
      </c>
      <c r="T16" s="164">
        <v>15108.0</v>
      </c>
      <c r="U16" s="5"/>
      <c r="V16" s="5" t="s">
        <v>150</v>
      </c>
      <c r="W16" s="151" t="s">
        <v>148</v>
      </c>
      <c r="X16" s="25">
        <f t="shared" si="9"/>
        <v>45640321</v>
      </c>
      <c r="Y16" s="23">
        <f t="shared" si="10"/>
        <v>44123381.9</v>
      </c>
      <c r="Z16" s="63">
        <f t="shared" si="11"/>
        <v>0.9667631807</v>
      </c>
      <c r="AA16" s="24"/>
      <c r="AB16" s="23">
        <f t="shared" si="12"/>
        <v>45640321</v>
      </c>
      <c r="AC16" s="23">
        <f t="shared" si="13"/>
        <v>40650726.75</v>
      </c>
      <c r="AD16" s="63">
        <f t="shared" si="14"/>
        <v>0.8906757416</v>
      </c>
      <c r="AE16" s="24"/>
      <c r="AF16" s="24"/>
      <c r="AG16" s="5"/>
    </row>
    <row r="17">
      <c r="A17" s="5"/>
      <c r="B17" s="167" t="s">
        <v>49</v>
      </c>
      <c r="C17" s="168"/>
      <c r="D17" s="169">
        <f>C13-D16</f>
        <v>483031.25</v>
      </c>
      <c r="E17" s="24"/>
      <c r="F17" s="170" t="s">
        <v>50</v>
      </c>
      <c r="G17" s="168"/>
      <c r="H17" s="169">
        <f>G13-H16</f>
        <v>-973468.009</v>
      </c>
      <c r="I17" s="5"/>
      <c r="J17" s="155"/>
      <c r="K17" s="156">
        <v>45883.0</v>
      </c>
      <c r="L17" s="23">
        <f t="shared" si="3"/>
        <v>6273626.5</v>
      </c>
      <c r="M17" s="164">
        <v>537675.0</v>
      </c>
      <c r="N17" s="164">
        <v>1531512.5</v>
      </c>
      <c r="O17" s="164">
        <v>1000255.0</v>
      </c>
      <c r="P17" s="164">
        <v>3091221.0</v>
      </c>
      <c r="Q17" s="164">
        <v>25419.0</v>
      </c>
      <c r="R17" s="164">
        <v>83702.0</v>
      </c>
      <c r="S17" s="164">
        <v>0.0</v>
      </c>
      <c r="T17" s="164">
        <v>3842.0</v>
      </c>
      <c r="U17" s="5"/>
      <c r="V17" s="5" t="s">
        <v>152</v>
      </c>
      <c r="W17" s="151" t="s">
        <v>145</v>
      </c>
      <c r="X17" s="25">
        <f t="shared" si="9"/>
        <v>757780</v>
      </c>
      <c r="Y17" s="23">
        <f t="shared" si="10"/>
        <v>906670</v>
      </c>
      <c r="Z17" s="63">
        <f t="shared" si="11"/>
        <v>1.196481828</v>
      </c>
      <c r="AA17" s="24"/>
      <c r="AB17" s="23">
        <f t="shared" si="12"/>
        <v>757780</v>
      </c>
      <c r="AC17" s="23">
        <f t="shared" si="13"/>
        <v>906670</v>
      </c>
      <c r="AD17" s="63">
        <f t="shared" si="14"/>
        <v>1.196481828</v>
      </c>
      <c r="AE17" s="24"/>
      <c r="AF17" s="24"/>
      <c r="AG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155"/>
      <c r="K18" s="156">
        <v>45884.0</v>
      </c>
      <c r="L18" s="23">
        <f t="shared" si="3"/>
        <v>6329082</v>
      </c>
      <c r="M18" s="164">
        <v>573840.0</v>
      </c>
      <c r="N18" s="164">
        <v>1425506.0</v>
      </c>
      <c r="O18" s="164">
        <v>993040.0</v>
      </c>
      <c r="P18" s="164">
        <v>3197939.0</v>
      </c>
      <c r="Q18" s="164">
        <v>33444.0</v>
      </c>
      <c r="R18" s="164">
        <v>93020.0</v>
      </c>
      <c r="S18" s="164">
        <v>0.0</v>
      </c>
      <c r="T18" s="164">
        <v>12293.0</v>
      </c>
      <c r="U18" s="5"/>
      <c r="V18" s="5" t="s">
        <v>152</v>
      </c>
      <c r="W18" s="151" t="s">
        <v>148</v>
      </c>
      <c r="X18" s="25">
        <f t="shared" si="9"/>
        <v>1748835</v>
      </c>
      <c r="Y18" s="23">
        <f t="shared" si="10"/>
        <v>2797907</v>
      </c>
      <c r="Z18" s="63">
        <f t="shared" si="11"/>
        <v>1.599869056</v>
      </c>
      <c r="AA18" s="24"/>
      <c r="AB18" s="23">
        <f t="shared" si="12"/>
        <v>1748835</v>
      </c>
      <c r="AC18" s="23">
        <f t="shared" si="13"/>
        <v>2797907</v>
      </c>
      <c r="AD18" s="63">
        <f t="shared" si="14"/>
        <v>1.599869056</v>
      </c>
      <c r="AE18" s="24"/>
      <c r="AF18" s="24"/>
      <c r="AG18" s="5"/>
    </row>
    <row r="19">
      <c r="A19" s="5"/>
      <c r="B19" s="24" t="s">
        <v>51</v>
      </c>
      <c r="C19" s="24"/>
      <c r="D19" s="25">
        <f>M42</f>
        <v>13508539</v>
      </c>
      <c r="E19" s="5"/>
      <c r="F19" s="24" t="s">
        <v>51</v>
      </c>
      <c r="G19" s="24"/>
      <c r="H19" s="25">
        <f>N42</f>
        <v>45640321</v>
      </c>
      <c r="I19" s="5"/>
      <c r="J19" s="5"/>
      <c r="K19" s="156">
        <v>45885.0</v>
      </c>
      <c r="L19" s="23">
        <f t="shared" si="3"/>
        <v>6832573</v>
      </c>
      <c r="M19" s="164">
        <v>669635.0</v>
      </c>
      <c r="N19" s="164">
        <v>1506080.0</v>
      </c>
      <c r="O19" s="164">
        <v>1191957.0</v>
      </c>
      <c r="P19" s="164">
        <v>3322649.0</v>
      </c>
      <c r="Q19" s="164">
        <v>33308.0</v>
      </c>
      <c r="R19" s="164">
        <v>98523.0</v>
      </c>
      <c r="S19" s="164">
        <v>0.0</v>
      </c>
      <c r="T19" s="164">
        <v>10421.0</v>
      </c>
      <c r="U19" s="5"/>
      <c r="V19" s="24"/>
      <c r="W19" s="24"/>
      <c r="X19" s="52">
        <f t="shared" ref="X19:Y19" si="15">SUM(X13:X18)</f>
        <v>179905147</v>
      </c>
      <c r="Y19" s="52">
        <f t="shared" si="15"/>
        <v>189019452.9</v>
      </c>
      <c r="Z19" s="69">
        <f t="shared" si="11"/>
        <v>1.05066173</v>
      </c>
      <c r="AA19" s="24"/>
      <c r="AB19" s="52">
        <f t="shared" ref="AB19:AC19" si="16">SUM(AB13:AB18)</f>
        <v>179905147</v>
      </c>
      <c r="AC19" s="52">
        <f t="shared" si="16"/>
        <v>181955158.5</v>
      </c>
      <c r="AD19" s="69">
        <f t="shared" si="14"/>
        <v>1.011394957</v>
      </c>
      <c r="AE19" s="24"/>
      <c r="AF19" s="24"/>
      <c r="AG19" s="5"/>
    </row>
    <row r="20">
      <c r="A20" s="5"/>
      <c r="B20" s="5" t="s">
        <v>52</v>
      </c>
      <c r="C20" s="5"/>
      <c r="D20" s="23">
        <f>D14/$C$1</f>
        <v>562158.871</v>
      </c>
      <c r="E20" s="55"/>
      <c r="F20" s="5" t="s">
        <v>52</v>
      </c>
      <c r="G20" s="5"/>
      <c r="H20" s="23">
        <f>H14/$C$1</f>
        <v>1423334.9</v>
      </c>
      <c r="I20" s="24"/>
      <c r="J20" s="24"/>
      <c r="K20" s="156">
        <v>45886.0</v>
      </c>
      <c r="L20" s="23">
        <f t="shared" si="3"/>
        <v>6748255.1</v>
      </c>
      <c r="M20" s="164">
        <v>690176.0</v>
      </c>
      <c r="N20" s="164">
        <v>1467232.1</v>
      </c>
      <c r="O20" s="164">
        <v>1207186.0</v>
      </c>
      <c r="P20" s="164">
        <v>3247872.0</v>
      </c>
      <c r="Q20" s="164">
        <v>32462.0</v>
      </c>
      <c r="R20" s="164">
        <v>94067.0</v>
      </c>
      <c r="S20" s="164">
        <v>0.0</v>
      </c>
      <c r="T20" s="164">
        <v>9260.0</v>
      </c>
      <c r="U20" s="5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5"/>
    </row>
    <row r="21">
      <c r="A21" s="5"/>
      <c r="B21" s="5" t="s">
        <v>53</v>
      </c>
      <c r="C21" s="5"/>
      <c r="D21" s="23">
        <f>D19/$G$1*$C$1</f>
        <v>13508539</v>
      </c>
      <c r="E21" s="5"/>
      <c r="F21" s="5" t="s">
        <v>53</v>
      </c>
      <c r="G21" s="5"/>
      <c r="H21" s="23">
        <f>H19/$G$1*$C$1</f>
        <v>45640321</v>
      </c>
      <c r="I21" s="5"/>
      <c r="J21" s="24"/>
      <c r="K21" s="156">
        <v>45887.0</v>
      </c>
      <c r="L21" s="23">
        <f t="shared" si="3"/>
        <v>6086918</v>
      </c>
      <c r="M21" s="164">
        <v>732399.0</v>
      </c>
      <c r="N21" s="164">
        <v>1433179.0</v>
      </c>
      <c r="O21" s="164">
        <v>1010189.0</v>
      </c>
      <c r="P21" s="164">
        <v>2781648.0</v>
      </c>
      <c r="Q21" s="164">
        <v>32035.0</v>
      </c>
      <c r="R21" s="164">
        <v>84657.0</v>
      </c>
      <c r="S21" s="164">
        <v>585.0</v>
      </c>
      <c r="T21" s="164">
        <v>12226.0</v>
      </c>
      <c r="U21" s="5"/>
      <c r="V21" s="72" t="s">
        <v>60</v>
      </c>
      <c r="X21" s="14" t="s">
        <v>17</v>
      </c>
      <c r="Y21" s="14" t="s">
        <v>61</v>
      </c>
      <c r="Z21" s="14" t="s">
        <v>62</v>
      </c>
      <c r="AB21" s="73" t="s">
        <v>63</v>
      </c>
      <c r="AC21" s="73" t="s">
        <v>64</v>
      </c>
      <c r="AD21" s="14" t="s">
        <v>48</v>
      </c>
      <c r="AE21" s="24"/>
      <c r="AF21" s="24"/>
      <c r="AG21" s="5"/>
    </row>
    <row r="22">
      <c r="A22" s="5"/>
      <c r="B22" s="5" t="s">
        <v>54</v>
      </c>
      <c r="C22" s="5"/>
      <c r="D22" s="23" t="str">
        <f>(D19-D14)/($G$1-$C$1)</f>
        <v>#DIV/0!</v>
      </c>
      <c r="E22" s="5"/>
      <c r="F22" s="5" t="s">
        <v>54</v>
      </c>
      <c r="G22" s="5"/>
      <c r="H22" s="23" t="str">
        <f>(H19-H14)/($G$1-$C$1)</f>
        <v>#DIV/0!</v>
      </c>
      <c r="I22" s="5"/>
      <c r="J22" s="24"/>
      <c r="K22" s="156">
        <v>45888.0</v>
      </c>
      <c r="L22" s="23">
        <f t="shared" si="3"/>
        <v>5905865</v>
      </c>
      <c r="M22" s="164">
        <v>653170.0</v>
      </c>
      <c r="N22" s="164">
        <v>1315133.0</v>
      </c>
      <c r="O22" s="164">
        <v>1017705.0</v>
      </c>
      <c r="P22" s="164">
        <v>2779257.0</v>
      </c>
      <c r="Q22" s="164">
        <v>23859.0</v>
      </c>
      <c r="R22" s="164">
        <v>107864.0</v>
      </c>
      <c r="S22" s="164">
        <v>886.0</v>
      </c>
      <c r="T22" s="164">
        <v>7991.0</v>
      </c>
      <c r="U22" s="5"/>
      <c r="V22" s="5" t="s">
        <v>144</v>
      </c>
      <c r="W22" s="151" t="s">
        <v>145</v>
      </c>
      <c r="X22" s="23">
        <f t="shared" ref="X22:X27" si="17">AF3</f>
        <v>27086794</v>
      </c>
      <c r="Y22" s="23">
        <f>C49</f>
        <v>252300</v>
      </c>
      <c r="Z22" s="63">
        <f t="shared" ref="Z22:Z28" si="18">Y22/X22</f>
        <v>0.009314502115</v>
      </c>
      <c r="AB22" s="63">
        <f>C34</f>
        <v>0.1</v>
      </c>
      <c r="AC22" s="63">
        <f t="shared" ref="AC22:AC28" si="19">Z22</f>
        <v>0.009314502115</v>
      </c>
      <c r="AD22" s="63">
        <f t="shared" ref="AD22:AD28" si="20">AC22/AB22</f>
        <v>0.09314502115</v>
      </c>
      <c r="AE22" s="24"/>
      <c r="AF22" s="24"/>
      <c r="AG22" s="5"/>
    </row>
    <row r="23">
      <c r="A23" s="5"/>
      <c r="B23" s="5" t="s">
        <v>55</v>
      </c>
      <c r="C23" s="5"/>
      <c r="D23" s="23">
        <f>D14-D21</f>
        <v>3918386</v>
      </c>
      <c r="E23" s="5"/>
      <c r="F23" s="5" t="s">
        <v>55</v>
      </c>
      <c r="G23" s="5"/>
      <c r="H23" s="23">
        <f>H14-H21</f>
        <v>-1516939.1</v>
      </c>
      <c r="I23" s="5"/>
      <c r="J23" s="155"/>
      <c r="K23" s="156">
        <v>45889.0</v>
      </c>
      <c r="L23" s="23">
        <f t="shared" si="3"/>
        <v>6226823</v>
      </c>
      <c r="M23" s="164">
        <v>702040.0</v>
      </c>
      <c r="N23" s="164">
        <v>1531313.0</v>
      </c>
      <c r="O23" s="164">
        <v>996167.0</v>
      </c>
      <c r="P23" s="164">
        <v>2836542.0</v>
      </c>
      <c r="Q23" s="164">
        <v>38073.0</v>
      </c>
      <c r="R23" s="164">
        <v>112632.0</v>
      </c>
      <c r="S23" s="164">
        <v>0.0</v>
      </c>
      <c r="T23" s="164">
        <v>10056.0</v>
      </c>
      <c r="U23" s="5"/>
      <c r="V23" s="5" t="s">
        <v>144</v>
      </c>
      <c r="W23" s="151" t="s">
        <v>148</v>
      </c>
      <c r="X23" s="23">
        <f t="shared" si="17"/>
        <v>94721059</v>
      </c>
      <c r="Y23" s="23">
        <f>G49</f>
        <v>1597622</v>
      </c>
      <c r="Z23" s="63">
        <f t="shared" si="18"/>
        <v>0.01686659774</v>
      </c>
      <c r="AB23" s="63">
        <f>G34</f>
        <v>0.09</v>
      </c>
      <c r="AC23" s="63">
        <f t="shared" si="19"/>
        <v>0.01686659774</v>
      </c>
      <c r="AD23" s="63">
        <f t="shared" si="20"/>
        <v>0.1874066416</v>
      </c>
      <c r="AE23" s="5"/>
      <c r="AF23" s="24"/>
      <c r="AG23" s="5"/>
    </row>
    <row r="24">
      <c r="A24" s="5"/>
      <c r="B24" s="5" t="s">
        <v>56</v>
      </c>
      <c r="C24" s="5"/>
      <c r="D24" s="23">
        <f>D14/$C$1*$G$1</f>
        <v>17426925</v>
      </c>
      <c r="E24" s="55"/>
      <c r="F24" s="5" t="s">
        <v>56</v>
      </c>
      <c r="G24" s="5"/>
      <c r="H24" s="23">
        <f>H14/$C$1*$G$1</f>
        <v>44123381.9</v>
      </c>
      <c r="I24" s="5"/>
      <c r="J24" s="24"/>
      <c r="K24" s="156">
        <v>45890.0</v>
      </c>
      <c r="L24" s="23">
        <f t="shared" si="3"/>
        <v>6337408</v>
      </c>
      <c r="M24" s="164">
        <v>634369.0</v>
      </c>
      <c r="N24" s="164">
        <v>1721799.0</v>
      </c>
      <c r="O24" s="164">
        <v>1003340.0</v>
      </c>
      <c r="P24" s="164">
        <v>2841107.0</v>
      </c>
      <c r="Q24" s="164">
        <v>27915.0</v>
      </c>
      <c r="R24" s="164">
        <v>104338.0</v>
      </c>
      <c r="S24" s="164">
        <v>0.0</v>
      </c>
      <c r="T24" s="164">
        <v>4540.0</v>
      </c>
      <c r="U24" s="5"/>
      <c r="V24" s="5" t="s">
        <v>150</v>
      </c>
      <c r="W24" s="151" t="s">
        <v>145</v>
      </c>
      <c r="X24" s="23">
        <f t="shared" si="17"/>
        <v>15792001.74</v>
      </c>
      <c r="Y24" s="23">
        <f t="shared" ref="Y24:Y27" si="21">Y33</f>
        <v>3794147</v>
      </c>
      <c r="Z24" s="63">
        <f t="shared" si="18"/>
        <v>0.2402575089</v>
      </c>
      <c r="AB24" s="63">
        <f>C16</f>
        <v>0.19</v>
      </c>
      <c r="AC24" s="63">
        <f t="shared" si="19"/>
        <v>0.2402575089</v>
      </c>
      <c r="AD24" s="63">
        <f t="shared" si="20"/>
        <v>1.264513205</v>
      </c>
      <c r="AE24" s="5"/>
      <c r="AF24" s="24"/>
      <c r="AG24" s="5"/>
    </row>
    <row r="25">
      <c r="A25" s="5"/>
      <c r="B25" s="171" t="s">
        <v>57</v>
      </c>
      <c r="C25" s="171"/>
      <c r="D25" s="69">
        <f>D24/D19</f>
        <v>1.290067342</v>
      </c>
      <c r="E25" s="5"/>
      <c r="F25" s="171" t="s">
        <v>57</v>
      </c>
      <c r="G25" s="171"/>
      <c r="H25" s="69">
        <f>H24/H19</f>
        <v>0.9667631807</v>
      </c>
      <c r="I25" s="5"/>
      <c r="J25" s="155"/>
      <c r="K25" s="156">
        <v>45891.0</v>
      </c>
      <c r="L25" s="23">
        <f t="shared" si="3"/>
        <v>5540437</v>
      </c>
      <c r="M25" s="164">
        <v>587575.0</v>
      </c>
      <c r="N25" s="164">
        <v>1608879.0</v>
      </c>
      <c r="O25" s="164">
        <v>845394.0</v>
      </c>
      <c r="P25" s="164">
        <v>2378625.0</v>
      </c>
      <c r="Q25" s="164">
        <v>24701.0</v>
      </c>
      <c r="R25" s="164">
        <v>79795.0</v>
      </c>
      <c r="S25" s="164">
        <v>1163.0</v>
      </c>
      <c r="T25" s="164">
        <v>14305.0</v>
      </c>
      <c r="U25" s="5"/>
      <c r="V25" s="5" t="s">
        <v>150</v>
      </c>
      <c r="W25" s="151" t="s">
        <v>148</v>
      </c>
      <c r="X25" s="23">
        <f t="shared" si="17"/>
        <v>40650726.75</v>
      </c>
      <c r="Y25" s="23">
        <f t="shared" si="21"/>
        <v>3880104</v>
      </c>
      <c r="Z25" s="63">
        <f t="shared" si="18"/>
        <v>0.09544980643</v>
      </c>
      <c r="AB25" s="63">
        <f>G16</f>
        <v>0.11</v>
      </c>
      <c r="AC25" s="63">
        <f t="shared" si="19"/>
        <v>0.09544980643</v>
      </c>
      <c r="AD25" s="63">
        <f t="shared" si="20"/>
        <v>0.867725513</v>
      </c>
      <c r="AE25" s="5"/>
      <c r="AF25" s="24"/>
      <c r="AG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5"/>
      <c r="K26" s="156">
        <v>45892.0</v>
      </c>
      <c r="L26" s="23">
        <f t="shared" si="3"/>
        <v>5657065.1</v>
      </c>
      <c r="M26" s="164">
        <v>627636.0</v>
      </c>
      <c r="N26" s="164">
        <v>1448710.1</v>
      </c>
      <c r="O26" s="164">
        <v>794929.0</v>
      </c>
      <c r="P26" s="164">
        <v>2649767.0</v>
      </c>
      <c r="Q26" s="164">
        <v>29868.0</v>
      </c>
      <c r="R26" s="164">
        <v>92954.0</v>
      </c>
      <c r="S26" s="164">
        <v>0.0</v>
      </c>
      <c r="T26" s="164">
        <v>13201.0</v>
      </c>
      <c r="U26" s="5"/>
      <c r="V26" s="5" t="s">
        <v>152</v>
      </c>
      <c r="W26" s="151" t="s">
        <v>145</v>
      </c>
      <c r="X26" s="23">
        <f t="shared" si="17"/>
        <v>906670</v>
      </c>
      <c r="Y26" s="23">
        <f t="shared" si="21"/>
        <v>196105</v>
      </c>
      <c r="Z26" s="63">
        <f t="shared" si="18"/>
        <v>0.2162914842</v>
      </c>
      <c r="AB26" s="63">
        <f>C73</f>
        <v>0.18</v>
      </c>
      <c r="AC26" s="63">
        <f t="shared" si="19"/>
        <v>0.2162914842</v>
      </c>
      <c r="AD26" s="63">
        <f t="shared" si="20"/>
        <v>1.201619357</v>
      </c>
      <c r="AE26" s="5"/>
      <c r="AF26" s="24"/>
      <c r="AG26" s="5"/>
    </row>
    <row r="27">
      <c r="A27" s="5"/>
      <c r="B27" s="172" t="s">
        <v>58</v>
      </c>
      <c r="C27" s="17"/>
      <c r="D27" s="17"/>
      <c r="E27" s="17"/>
      <c r="F27" s="17"/>
      <c r="G27" s="17"/>
      <c r="H27" s="18"/>
      <c r="I27" s="5"/>
      <c r="J27" s="155"/>
      <c r="K27" s="156">
        <v>45893.0</v>
      </c>
      <c r="L27" s="23">
        <f t="shared" si="3"/>
        <v>6193949</v>
      </c>
      <c r="M27" s="164">
        <v>700323.0</v>
      </c>
      <c r="N27" s="164">
        <v>1470942.0</v>
      </c>
      <c r="O27" s="164">
        <v>792038.0</v>
      </c>
      <c r="P27" s="164">
        <v>3078858.0</v>
      </c>
      <c r="Q27" s="164">
        <v>24337.0</v>
      </c>
      <c r="R27" s="164">
        <v>114781.0</v>
      </c>
      <c r="S27" s="164">
        <v>0.0</v>
      </c>
      <c r="T27" s="164">
        <v>12670.0</v>
      </c>
      <c r="U27" s="5"/>
      <c r="V27" s="5" t="s">
        <v>152</v>
      </c>
      <c r="W27" s="151" t="s">
        <v>148</v>
      </c>
      <c r="X27" s="23">
        <f t="shared" si="17"/>
        <v>2797907</v>
      </c>
      <c r="Y27" s="23">
        <f t="shared" si="21"/>
        <v>523680</v>
      </c>
      <c r="Z27" s="63">
        <f t="shared" si="18"/>
        <v>0.1871684799</v>
      </c>
      <c r="AB27" s="63">
        <f>G73</f>
        <v>0.175</v>
      </c>
      <c r="AC27" s="63">
        <f t="shared" si="19"/>
        <v>0.1871684799</v>
      </c>
      <c r="AD27" s="63">
        <f t="shared" si="20"/>
        <v>1.069534171</v>
      </c>
      <c r="AE27" s="5"/>
      <c r="AF27" s="24"/>
      <c r="AG27" s="5"/>
    </row>
    <row r="28">
      <c r="A28" s="5"/>
      <c r="B28" s="173" t="str">
        <f>B4</f>
        <v>Биг–Л / Август | до </v>
      </c>
      <c r="C28" s="17"/>
      <c r="D28" s="154">
        <f>$D$4</f>
        <v>45900</v>
      </c>
      <c r="E28" s="5"/>
      <c r="F28" s="173" t="str">
        <f>F4</f>
        <v>Смарт / Август | до </v>
      </c>
      <c r="G28" s="17"/>
      <c r="H28" s="154">
        <f>$D$4</f>
        <v>45900</v>
      </c>
      <c r="I28" s="5"/>
      <c r="J28" s="155"/>
      <c r="K28" s="156">
        <v>45894.0</v>
      </c>
      <c r="L28" s="23">
        <f t="shared" si="3"/>
        <v>5908955</v>
      </c>
      <c r="M28" s="164">
        <v>702493.0</v>
      </c>
      <c r="N28" s="164">
        <v>1443008.0</v>
      </c>
      <c r="O28" s="164">
        <v>796292.0</v>
      </c>
      <c r="P28" s="164">
        <v>2842775.0</v>
      </c>
      <c r="Q28" s="164">
        <v>35260.0</v>
      </c>
      <c r="R28" s="164">
        <v>82559.0</v>
      </c>
      <c r="S28" s="164">
        <v>0.0</v>
      </c>
      <c r="T28" s="164">
        <v>6568.0</v>
      </c>
      <c r="U28" s="5"/>
      <c r="V28" s="5"/>
      <c r="W28" s="5"/>
      <c r="X28" s="52">
        <f t="shared" ref="X28:Y28" si="22">SUM(X22:X27)</f>
        <v>181955158.5</v>
      </c>
      <c r="Y28" s="52">
        <f t="shared" si="22"/>
        <v>10243958</v>
      </c>
      <c r="Z28" s="69">
        <f t="shared" si="18"/>
        <v>0.05629935466</v>
      </c>
      <c r="AB28" s="69">
        <f>F122</f>
        <v>0.1070995383</v>
      </c>
      <c r="AC28" s="69">
        <f t="shared" si="19"/>
        <v>0.05629935466</v>
      </c>
      <c r="AD28" s="69">
        <f t="shared" si="20"/>
        <v>0.5256731781</v>
      </c>
      <c r="AE28" s="5"/>
      <c r="AF28" s="5"/>
      <c r="AG28" s="5"/>
    </row>
    <row r="29">
      <c r="A29" s="63">
        <f t="shared" ref="A29:A30" si="23">IFERROR(C29/$C$31, " ")</f>
        <v>0.9845242441</v>
      </c>
      <c r="B29" s="162" t="s">
        <v>59</v>
      </c>
      <c r="C29" s="50">
        <v>2230419.0</v>
      </c>
      <c r="D29" s="174"/>
      <c r="E29" s="5"/>
      <c r="F29" s="162" t="s">
        <v>59</v>
      </c>
      <c r="G29" s="50">
        <v>7993293.0</v>
      </c>
      <c r="H29" s="174"/>
      <c r="I29" s="63">
        <f t="shared" ref="I29:I30" si="24">IFERROR(G29/$G$31, " ")</f>
        <v>0.9992518075</v>
      </c>
      <c r="J29" s="23"/>
      <c r="K29" s="156">
        <v>45895.0</v>
      </c>
      <c r="L29" s="23">
        <f t="shared" si="3"/>
        <v>5853200</v>
      </c>
      <c r="M29" s="164">
        <v>652550.0</v>
      </c>
      <c r="N29" s="164">
        <v>1527793.0</v>
      </c>
      <c r="O29" s="164">
        <v>811587.0</v>
      </c>
      <c r="P29" s="164">
        <v>2723861.0</v>
      </c>
      <c r="Q29" s="164">
        <v>25820.0</v>
      </c>
      <c r="R29" s="164">
        <v>103289.0</v>
      </c>
      <c r="S29" s="164">
        <v>1070.0</v>
      </c>
      <c r="T29" s="164">
        <v>7230.0</v>
      </c>
      <c r="U29" s="5"/>
      <c r="AE29" s="55"/>
      <c r="AF29" s="55"/>
      <c r="AG29" s="5"/>
    </row>
    <row r="30">
      <c r="A30" s="63">
        <f t="shared" si="23"/>
        <v>0.0154757559</v>
      </c>
      <c r="B30" s="160" t="s">
        <v>65</v>
      </c>
      <c r="C30" s="23">
        <f>1612+1411+316+3096+432+172+172+3456+22320+230+1843</f>
        <v>35060</v>
      </c>
      <c r="D30" s="161"/>
      <c r="E30" s="5"/>
      <c r="F30" s="160" t="s">
        <v>65</v>
      </c>
      <c r="G30" s="23">
        <f>374+907+360+244+100+489+86+345+892+2188</f>
        <v>5985</v>
      </c>
      <c r="H30" s="174"/>
      <c r="I30" s="63">
        <f t="shared" si="24"/>
        <v>0.0007481925244</v>
      </c>
      <c r="J30" s="23"/>
      <c r="K30" s="156">
        <v>45896.0</v>
      </c>
      <c r="L30" s="23">
        <f t="shared" si="3"/>
        <v>5651560.3</v>
      </c>
      <c r="M30" s="164">
        <v>698875.0</v>
      </c>
      <c r="N30" s="164">
        <v>1392093.3</v>
      </c>
      <c r="O30" s="164">
        <v>752505.0</v>
      </c>
      <c r="P30" s="164">
        <v>2668650.0</v>
      </c>
      <c r="Q30" s="164">
        <v>31777.0</v>
      </c>
      <c r="R30" s="164">
        <v>101516.0</v>
      </c>
      <c r="S30" s="164">
        <v>657.0</v>
      </c>
      <c r="T30" s="164">
        <v>5487.0</v>
      </c>
      <c r="U30" s="5"/>
      <c r="V30" s="72" t="s">
        <v>71</v>
      </c>
      <c r="X30" s="14" t="s">
        <v>17</v>
      </c>
      <c r="Y30" s="14" t="s">
        <v>61</v>
      </c>
      <c r="Z30" s="14" t="s">
        <v>62</v>
      </c>
      <c r="AA30" s="24"/>
      <c r="AB30" s="73" t="s">
        <v>63</v>
      </c>
      <c r="AC30" s="73" t="s">
        <v>64</v>
      </c>
      <c r="AD30" s="14" t="s">
        <v>48</v>
      </c>
      <c r="AE30" s="5"/>
      <c r="AF30" s="5"/>
      <c r="AG30" s="5"/>
    </row>
    <row r="31">
      <c r="A31" s="5"/>
      <c r="B31" s="162" t="s">
        <v>42</v>
      </c>
      <c r="C31" s="23">
        <f>SUM(C29:C30)</f>
        <v>2265479</v>
      </c>
      <c r="D31" s="161"/>
      <c r="E31" s="5"/>
      <c r="F31" s="162" t="s">
        <v>42</v>
      </c>
      <c r="G31" s="23">
        <f>SUM(G29:G30)</f>
        <v>7999278</v>
      </c>
      <c r="H31" s="161"/>
      <c r="I31" s="5"/>
      <c r="J31" s="155"/>
      <c r="K31" s="156">
        <v>45897.0</v>
      </c>
      <c r="L31" s="23">
        <f t="shared" si="3"/>
        <v>5729072.1</v>
      </c>
      <c r="M31" s="164">
        <v>675654.0</v>
      </c>
      <c r="N31" s="164">
        <v>1508225.1</v>
      </c>
      <c r="O31" s="164">
        <v>770236.0</v>
      </c>
      <c r="P31" s="164">
        <v>2656857.0</v>
      </c>
      <c r="Q31" s="164">
        <v>27536.0</v>
      </c>
      <c r="R31" s="164">
        <v>82797.0</v>
      </c>
      <c r="S31" s="164">
        <v>607.0</v>
      </c>
      <c r="T31" s="164">
        <v>7160.0</v>
      </c>
      <c r="U31" s="5"/>
      <c r="V31" s="5" t="s">
        <v>144</v>
      </c>
      <c r="W31" s="151" t="s">
        <v>145</v>
      </c>
      <c r="X31" s="23">
        <f t="shared" ref="X31:X36" si="25">AF3</f>
        <v>27086794</v>
      </c>
      <c r="Y31" s="23">
        <f>C31</f>
        <v>2265479</v>
      </c>
      <c r="Z31" s="63">
        <f t="shared" ref="Z31:Z37" si="26">Y31/X31</f>
        <v>0.08363776828</v>
      </c>
      <c r="AA31" s="24"/>
      <c r="AB31" s="63">
        <f t="shared" ref="AB31:AB37" si="27">AB22</f>
        <v>0.1</v>
      </c>
      <c r="AC31" s="63">
        <f t="shared" ref="AC31:AC37" si="28">Z31</f>
        <v>0.08363776828</v>
      </c>
      <c r="AD31" s="63">
        <f t="shared" ref="AD31:AD37" si="29">AC31/AB31</f>
        <v>0.8363776828</v>
      </c>
      <c r="AE31" s="5"/>
      <c r="AF31" s="5"/>
      <c r="AG31" s="5"/>
    </row>
    <row r="32">
      <c r="A32" s="5"/>
      <c r="B32" s="162" t="s">
        <v>43</v>
      </c>
      <c r="C32" s="5"/>
      <c r="D32" s="165">
        <f>O35</f>
        <v>27392229</v>
      </c>
      <c r="E32" s="5"/>
      <c r="F32" s="162" t="s">
        <v>43</v>
      </c>
      <c r="G32" s="5"/>
      <c r="H32" s="165">
        <f>P35</f>
        <v>96372340</v>
      </c>
      <c r="I32" s="5"/>
      <c r="J32" s="155"/>
      <c r="K32" s="156">
        <v>45898.0</v>
      </c>
      <c r="L32" s="23">
        <f t="shared" si="3"/>
        <v>5545937.7</v>
      </c>
      <c r="M32" s="164">
        <v>720242.0</v>
      </c>
      <c r="N32" s="164">
        <v>1502796.7</v>
      </c>
      <c r="O32" s="164">
        <v>775351.0</v>
      </c>
      <c r="P32" s="164">
        <v>2413234.0</v>
      </c>
      <c r="Q32" s="164">
        <v>20859.0</v>
      </c>
      <c r="R32" s="164">
        <v>103773.0</v>
      </c>
      <c r="S32" s="164">
        <v>0.0</v>
      </c>
      <c r="T32" s="164">
        <v>9682.0</v>
      </c>
      <c r="U32" s="5"/>
      <c r="V32" s="5" t="s">
        <v>144</v>
      </c>
      <c r="W32" s="151" t="s">
        <v>148</v>
      </c>
      <c r="X32" s="23">
        <f t="shared" si="25"/>
        <v>94721059</v>
      </c>
      <c r="Y32" s="23">
        <f>G31</f>
        <v>7999278</v>
      </c>
      <c r="Z32" s="63">
        <f t="shared" si="26"/>
        <v>0.08445089281</v>
      </c>
      <c r="AA32" s="24"/>
      <c r="AB32" s="63">
        <f t="shared" si="27"/>
        <v>0.09</v>
      </c>
      <c r="AC32" s="63">
        <f t="shared" si="28"/>
        <v>0.08445089281</v>
      </c>
      <c r="AD32" s="63">
        <f t="shared" si="29"/>
        <v>0.9383432534</v>
      </c>
      <c r="AE32" s="55"/>
      <c r="AF32" s="55"/>
      <c r="AG32" s="5"/>
    </row>
    <row r="33">
      <c r="A33" s="5"/>
      <c r="B33" s="162" t="s">
        <v>44</v>
      </c>
      <c r="C33" s="5"/>
      <c r="D33" s="166">
        <f>C31/D32</f>
        <v>0.0827051716</v>
      </c>
      <c r="E33" s="5"/>
      <c r="F33" s="162" t="s">
        <v>44</v>
      </c>
      <c r="G33" s="5"/>
      <c r="H33" s="166">
        <f>G31/H32</f>
        <v>0.0830038785</v>
      </c>
      <c r="I33" s="5"/>
      <c r="J33" s="155"/>
      <c r="K33" s="156">
        <v>45899.0</v>
      </c>
      <c r="L33" s="23">
        <f t="shared" si="3"/>
        <v>5783114</v>
      </c>
      <c r="M33" s="164">
        <v>768943.0</v>
      </c>
      <c r="N33" s="164">
        <v>1443874.0</v>
      </c>
      <c r="O33" s="164">
        <v>843432.0</v>
      </c>
      <c r="P33" s="164">
        <v>2610697.0</v>
      </c>
      <c r="Q33" s="164">
        <v>21229.0</v>
      </c>
      <c r="R33" s="164">
        <v>84328.0</v>
      </c>
      <c r="S33" s="164">
        <v>0.0</v>
      </c>
      <c r="T33" s="164">
        <v>10611.0</v>
      </c>
      <c r="U33" s="21"/>
      <c r="V33" s="5" t="s">
        <v>150</v>
      </c>
      <c r="W33" s="151" t="s">
        <v>145</v>
      </c>
      <c r="X33" s="23">
        <f t="shared" si="25"/>
        <v>15792001.74</v>
      </c>
      <c r="Y33" s="23">
        <f>C13</f>
        <v>3794147</v>
      </c>
      <c r="Z33" s="63">
        <f t="shared" si="26"/>
        <v>0.2402575089</v>
      </c>
      <c r="AA33" s="24"/>
      <c r="AB33" s="63">
        <f t="shared" si="27"/>
        <v>0.19</v>
      </c>
      <c r="AC33" s="63">
        <f t="shared" si="28"/>
        <v>0.2402575089</v>
      </c>
      <c r="AD33" s="63">
        <f t="shared" si="29"/>
        <v>1.264513205</v>
      </c>
      <c r="AE33" s="55"/>
      <c r="AF33" s="55"/>
      <c r="AG33" s="21"/>
    </row>
    <row r="34">
      <c r="A34" s="63">
        <f>D33/C34</f>
        <v>0.827051716</v>
      </c>
      <c r="B34" s="162" t="s">
        <v>47</v>
      </c>
      <c r="C34" s="63">
        <v>0.1</v>
      </c>
      <c r="D34" s="165">
        <f>D32*C34</f>
        <v>2739222.9</v>
      </c>
      <c r="E34" s="5"/>
      <c r="F34" s="162" t="s">
        <v>47</v>
      </c>
      <c r="G34" s="63">
        <v>0.09</v>
      </c>
      <c r="H34" s="165">
        <f>H32*G34</f>
        <v>8673510.6</v>
      </c>
      <c r="I34" s="63">
        <f>H33/G34</f>
        <v>0.9222653167</v>
      </c>
      <c r="J34" s="155"/>
      <c r="K34" s="156">
        <v>45900.0</v>
      </c>
      <c r="L34" s="23">
        <f t="shared" si="3"/>
        <v>7267370</v>
      </c>
      <c r="M34" s="164">
        <v>793106.0</v>
      </c>
      <c r="N34" s="164">
        <v>1527478.0</v>
      </c>
      <c r="O34" s="164">
        <v>893905.0</v>
      </c>
      <c r="P34" s="164">
        <v>3942302.0</v>
      </c>
      <c r="Q34" s="164">
        <v>6744.0</v>
      </c>
      <c r="R34" s="164">
        <v>97684.0</v>
      </c>
      <c r="S34" s="164">
        <v>478.0</v>
      </c>
      <c r="T34" s="164">
        <v>5673.0</v>
      </c>
      <c r="U34" s="5"/>
      <c r="V34" s="5" t="s">
        <v>150</v>
      </c>
      <c r="W34" s="151" t="s">
        <v>148</v>
      </c>
      <c r="X34" s="23">
        <f t="shared" si="25"/>
        <v>40650726.75</v>
      </c>
      <c r="Y34" s="23">
        <f>G13</f>
        <v>3880104</v>
      </c>
      <c r="Z34" s="63">
        <f t="shared" si="26"/>
        <v>0.09544980643</v>
      </c>
      <c r="AA34" s="24"/>
      <c r="AB34" s="63">
        <f t="shared" si="27"/>
        <v>0.11</v>
      </c>
      <c r="AC34" s="63">
        <f t="shared" si="28"/>
        <v>0.09544980643</v>
      </c>
      <c r="AD34" s="63">
        <f t="shared" si="29"/>
        <v>0.867725513</v>
      </c>
      <c r="AE34" s="55"/>
      <c r="AF34" s="55"/>
      <c r="AG34" s="5"/>
    </row>
    <row r="35">
      <c r="A35" s="5"/>
      <c r="B35" s="170" t="s">
        <v>50</v>
      </c>
      <c r="C35" s="168"/>
      <c r="D35" s="169">
        <f>C31-D34</f>
        <v>-473743.9</v>
      </c>
      <c r="E35" s="5"/>
      <c r="F35" s="170" t="s">
        <v>50</v>
      </c>
      <c r="G35" s="168"/>
      <c r="H35" s="169">
        <f>G31-H34</f>
        <v>-674232.6</v>
      </c>
      <c r="I35" s="5"/>
      <c r="J35" s="155"/>
      <c r="K35" s="52">
        <f>L35/C1</f>
        <v>6107658.416</v>
      </c>
      <c r="L35" s="103">
        <f t="shared" ref="L35:T35" si="30">SUM(L4:L34)</f>
        <v>189337410.9</v>
      </c>
      <c r="M35" s="23">
        <f t="shared" si="30"/>
        <v>17426925</v>
      </c>
      <c r="N35" s="23">
        <f t="shared" si="30"/>
        <v>44123381.9</v>
      </c>
      <c r="O35" s="23">
        <f t="shared" si="30"/>
        <v>27392229</v>
      </c>
      <c r="P35" s="23">
        <f t="shared" si="30"/>
        <v>96372340</v>
      </c>
      <c r="Q35" s="23">
        <f t="shared" si="30"/>
        <v>906670</v>
      </c>
      <c r="R35" s="23">
        <f t="shared" si="30"/>
        <v>2797907</v>
      </c>
      <c r="S35" s="23">
        <f t="shared" si="30"/>
        <v>13732</v>
      </c>
      <c r="T35" s="23">
        <f t="shared" si="30"/>
        <v>304226</v>
      </c>
      <c r="U35" s="5"/>
      <c r="V35" s="5" t="s">
        <v>152</v>
      </c>
      <c r="W35" s="151" t="s">
        <v>145</v>
      </c>
      <c r="X35" s="23">
        <f t="shared" si="25"/>
        <v>906670</v>
      </c>
      <c r="Y35" s="23">
        <f>C70</f>
        <v>196105</v>
      </c>
      <c r="Z35" s="63">
        <f t="shared" si="26"/>
        <v>0.2162914842</v>
      </c>
      <c r="AA35" s="24"/>
      <c r="AB35" s="63">
        <f t="shared" si="27"/>
        <v>0.18</v>
      </c>
      <c r="AC35" s="63">
        <f t="shared" si="28"/>
        <v>0.2162914842</v>
      </c>
      <c r="AD35" s="63">
        <f t="shared" si="29"/>
        <v>1.201619357</v>
      </c>
      <c r="AE35" s="55"/>
      <c r="AF35" s="55"/>
      <c r="AG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155"/>
      <c r="K36" s="5"/>
      <c r="L36" s="5"/>
      <c r="M36" s="63">
        <f t="shared" ref="M36:T36" si="31">M35/$L$35</f>
        <v>0.09204163571</v>
      </c>
      <c r="N36" s="63">
        <f t="shared" si="31"/>
        <v>0.2330410123</v>
      </c>
      <c r="O36" s="63">
        <f t="shared" si="31"/>
        <v>0.1446741501</v>
      </c>
      <c r="P36" s="63">
        <f t="shared" si="31"/>
        <v>0.508997876</v>
      </c>
      <c r="Q36" s="63">
        <f t="shared" si="31"/>
        <v>0.00478864687</v>
      </c>
      <c r="R36" s="63">
        <f t="shared" si="31"/>
        <v>0.01477735957</v>
      </c>
      <c r="S36" s="63">
        <f t="shared" si="31"/>
        <v>0.00007252660705</v>
      </c>
      <c r="T36" s="63">
        <f t="shared" si="31"/>
        <v>0.00160679286</v>
      </c>
      <c r="U36" s="5"/>
      <c r="V36" s="5" t="s">
        <v>152</v>
      </c>
      <c r="W36" s="151" t="s">
        <v>148</v>
      </c>
      <c r="X36" s="23">
        <f t="shared" si="25"/>
        <v>2797907</v>
      </c>
      <c r="Y36" s="23">
        <f>G70</f>
        <v>523680</v>
      </c>
      <c r="Z36" s="63">
        <f t="shared" si="26"/>
        <v>0.1871684799</v>
      </c>
      <c r="AA36" s="24"/>
      <c r="AB36" s="63">
        <f t="shared" si="27"/>
        <v>0.175</v>
      </c>
      <c r="AC36" s="63">
        <f t="shared" si="28"/>
        <v>0.1871684799</v>
      </c>
      <c r="AD36" s="63">
        <f t="shared" si="29"/>
        <v>1.069534171</v>
      </c>
      <c r="AE36" s="55"/>
      <c r="AF36" s="55"/>
      <c r="AG36" s="5"/>
    </row>
    <row r="37">
      <c r="A37" s="5"/>
      <c r="B37" s="24" t="s">
        <v>51</v>
      </c>
      <c r="C37" s="24"/>
      <c r="D37" s="25">
        <f>O42</f>
        <v>26708869</v>
      </c>
      <c r="E37" s="5"/>
      <c r="F37" s="24" t="s">
        <v>51</v>
      </c>
      <c r="G37" s="24"/>
      <c r="H37" s="25">
        <f>P42</f>
        <v>91540803</v>
      </c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2">
        <f t="shared" ref="X37:Y37" si="32">SUM(X31:X36)</f>
        <v>181955158.5</v>
      </c>
      <c r="Y37" s="52">
        <f t="shared" si="32"/>
        <v>18658793</v>
      </c>
      <c r="Z37" s="69">
        <f t="shared" si="26"/>
        <v>0.1025461062</v>
      </c>
      <c r="AA37" s="5"/>
      <c r="AB37" s="69">
        <f t="shared" si="27"/>
        <v>0.1070995383</v>
      </c>
      <c r="AC37" s="69">
        <f t="shared" si="28"/>
        <v>0.1025461062</v>
      </c>
      <c r="AD37" s="69">
        <f t="shared" si="29"/>
        <v>0.9574841108</v>
      </c>
      <c r="AE37" s="55"/>
      <c r="AF37" s="24"/>
      <c r="AG37" s="5"/>
    </row>
    <row r="38">
      <c r="A38" s="5"/>
      <c r="B38" s="5" t="s">
        <v>52</v>
      </c>
      <c r="C38" s="5"/>
      <c r="D38" s="23">
        <f>D32/$C$1</f>
        <v>883620.2903</v>
      </c>
      <c r="E38" s="5"/>
      <c r="F38" s="5" t="s">
        <v>52</v>
      </c>
      <c r="G38" s="5"/>
      <c r="H38" s="23">
        <f>H32/$C$1</f>
        <v>3108785.161</v>
      </c>
      <c r="I38" s="5"/>
      <c r="J38" s="5"/>
      <c r="K38" s="171" t="s">
        <v>66</v>
      </c>
      <c r="M38" s="175">
        <f>SUM(M39:N39)</f>
        <v>0.325082648</v>
      </c>
      <c r="N38" s="79"/>
      <c r="O38" s="175">
        <f>SUM(O39:P39)</f>
        <v>0.6536720261</v>
      </c>
      <c r="P38" s="79"/>
      <c r="Q38" s="175">
        <f>SUM(Q39:R39)</f>
        <v>0.01956600643</v>
      </c>
      <c r="R38" s="79"/>
      <c r="S38" s="175">
        <f>SUM(S39:T39)</f>
        <v>0.001679319467</v>
      </c>
      <c r="T38" s="79"/>
      <c r="U38" s="5"/>
      <c r="V38" s="55"/>
      <c r="W38" s="55"/>
      <c r="X38" s="55"/>
      <c r="Y38" s="55"/>
      <c r="Z38" s="55"/>
      <c r="AA38" s="55"/>
      <c r="AB38" s="55"/>
      <c r="AC38" s="55"/>
      <c r="AD38" s="55"/>
      <c r="AE38" s="5"/>
      <c r="AF38" s="5"/>
      <c r="AG38" s="5"/>
    </row>
    <row r="39">
      <c r="A39" s="5"/>
      <c r="B39" s="5" t="s">
        <v>53</v>
      </c>
      <c r="C39" s="5"/>
      <c r="D39" s="23">
        <f>D37/$G$1*$C$1</f>
        <v>26708869</v>
      </c>
      <c r="E39" s="5"/>
      <c r="F39" s="5" t="s">
        <v>53</v>
      </c>
      <c r="G39" s="5"/>
      <c r="H39" s="23">
        <f>H37/$G$1*$C$1</f>
        <v>91540803</v>
      </c>
      <c r="I39" s="5"/>
      <c r="J39" s="5"/>
      <c r="K39" s="5" t="s">
        <v>67</v>
      </c>
      <c r="L39" s="63">
        <f t="shared" ref="L39:T39" si="33">L40/$L$40</f>
        <v>1</v>
      </c>
      <c r="M39" s="176">
        <f t="shared" si="33"/>
        <v>0.09204163571</v>
      </c>
      <c r="N39" s="177">
        <f t="shared" si="33"/>
        <v>0.2330410123</v>
      </c>
      <c r="O39" s="176">
        <f t="shared" si="33"/>
        <v>0.1446741501</v>
      </c>
      <c r="P39" s="177">
        <f t="shared" si="33"/>
        <v>0.508997876</v>
      </c>
      <c r="Q39" s="176">
        <f t="shared" si="33"/>
        <v>0.00478864687</v>
      </c>
      <c r="R39" s="177">
        <f t="shared" si="33"/>
        <v>0.01477735957</v>
      </c>
      <c r="S39" s="176">
        <f t="shared" si="33"/>
        <v>0.00007252660705</v>
      </c>
      <c r="T39" s="177">
        <f t="shared" si="33"/>
        <v>0.00160679286</v>
      </c>
      <c r="U39" s="5"/>
      <c r="V39" s="5"/>
      <c r="W39" s="5"/>
      <c r="X39" s="14" t="s">
        <v>12</v>
      </c>
      <c r="Y39" s="14" t="s">
        <v>17</v>
      </c>
      <c r="Z39" s="101" t="s">
        <v>48</v>
      </c>
      <c r="AA39" s="5"/>
      <c r="AB39" s="14" t="s">
        <v>63</v>
      </c>
      <c r="AC39" s="14" t="s">
        <v>64</v>
      </c>
      <c r="AD39" s="101" t="s">
        <v>48</v>
      </c>
      <c r="AE39" s="5"/>
      <c r="AF39" s="5"/>
      <c r="AG39" s="5"/>
    </row>
    <row r="40">
      <c r="A40" s="5"/>
      <c r="B40" s="5" t="s">
        <v>54</v>
      </c>
      <c r="C40" s="5"/>
      <c r="D40" s="23" t="str">
        <f>(D37-D32)/($G$1-$C$1)</f>
        <v>#DIV/0!</v>
      </c>
      <c r="E40" s="5"/>
      <c r="F40" s="5" t="s">
        <v>54</v>
      </c>
      <c r="G40" s="5"/>
      <c r="H40" s="23" t="str">
        <f>(H37-H32)/($G$1-$C$1)</f>
        <v>#DIV/0!</v>
      </c>
      <c r="I40" s="5"/>
      <c r="J40" s="5"/>
      <c r="K40" s="5" t="s">
        <v>68</v>
      </c>
      <c r="L40" s="103">
        <f t="shared" ref="L40:T40" si="34">L35/$C$1*$G$1</f>
        <v>189337410.9</v>
      </c>
      <c r="M40" s="23">
        <f t="shared" si="34"/>
        <v>17426925</v>
      </c>
      <c r="N40" s="23">
        <f t="shared" si="34"/>
        <v>44123381.9</v>
      </c>
      <c r="O40" s="23">
        <f t="shared" si="34"/>
        <v>27392229</v>
      </c>
      <c r="P40" s="23">
        <f t="shared" si="34"/>
        <v>96372340</v>
      </c>
      <c r="Q40" s="23">
        <f t="shared" si="34"/>
        <v>906670</v>
      </c>
      <c r="R40" s="23">
        <f t="shared" si="34"/>
        <v>2797907</v>
      </c>
      <c r="S40" s="23">
        <f t="shared" si="34"/>
        <v>13732</v>
      </c>
      <c r="T40" s="23">
        <f t="shared" si="34"/>
        <v>304226</v>
      </c>
      <c r="U40" s="5"/>
      <c r="V40" s="5" t="s">
        <v>144</v>
      </c>
      <c r="W40" s="151" t="s">
        <v>145</v>
      </c>
      <c r="X40" s="23">
        <f t="shared" ref="X40:Y40" si="35">AB13</f>
        <v>26708869</v>
      </c>
      <c r="Y40" s="23">
        <f t="shared" si="35"/>
        <v>27086794</v>
      </c>
      <c r="Z40" s="63">
        <f t="shared" ref="Z40:Z46" si="39">IFERROR(Y40/X40, " ")</f>
        <v>1.014149794</v>
      </c>
      <c r="AA40" s="5"/>
      <c r="AB40" s="63">
        <f t="shared" ref="AB40:AC40" si="36">AB31</f>
        <v>0.1</v>
      </c>
      <c r="AC40" s="63">
        <f t="shared" si="36"/>
        <v>0.08363776828</v>
      </c>
      <c r="AD40" s="63">
        <f t="shared" ref="AD40:AD46" si="41">AC40/AB40</f>
        <v>0.8363776828</v>
      </c>
      <c r="AE40" s="5"/>
      <c r="AF40" s="5"/>
      <c r="AG40" s="5"/>
    </row>
    <row r="41">
      <c r="A41" s="5"/>
      <c r="B41" s="5" t="s">
        <v>55</v>
      </c>
      <c r="C41" s="5"/>
      <c r="D41" s="23">
        <f>D32-D39</f>
        <v>683360</v>
      </c>
      <c r="E41" s="5"/>
      <c r="F41" s="5" t="s">
        <v>55</v>
      </c>
      <c r="G41" s="5"/>
      <c r="H41" s="23">
        <f>H32-H39</f>
        <v>4831537</v>
      </c>
      <c r="I41" s="5"/>
      <c r="J41" s="5"/>
      <c r="K41" s="5" t="s">
        <v>52</v>
      </c>
      <c r="L41" s="103">
        <f t="shared" ref="L41:T41" si="37">L35/$C$1</f>
        <v>6107658.416</v>
      </c>
      <c r="M41" s="23">
        <f t="shared" si="37"/>
        <v>562158.871</v>
      </c>
      <c r="N41" s="23">
        <f t="shared" si="37"/>
        <v>1423334.9</v>
      </c>
      <c r="O41" s="23">
        <f t="shared" si="37"/>
        <v>883620.2903</v>
      </c>
      <c r="P41" s="23">
        <f t="shared" si="37"/>
        <v>3108785.161</v>
      </c>
      <c r="Q41" s="23">
        <f t="shared" si="37"/>
        <v>29247.41935</v>
      </c>
      <c r="R41" s="23">
        <f t="shared" si="37"/>
        <v>90255.06452</v>
      </c>
      <c r="S41" s="23">
        <f t="shared" si="37"/>
        <v>442.9677419</v>
      </c>
      <c r="T41" s="23">
        <f t="shared" si="37"/>
        <v>9813.741935</v>
      </c>
      <c r="U41" s="5"/>
      <c r="V41" s="5" t="s">
        <v>144</v>
      </c>
      <c r="W41" s="151" t="s">
        <v>148</v>
      </c>
      <c r="X41" s="23">
        <f t="shared" ref="X41:Y41" si="38">AB14</f>
        <v>91540803</v>
      </c>
      <c r="Y41" s="23">
        <f t="shared" si="38"/>
        <v>94721059</v>
      </c>
      <c r="Z41" s="63">
        <f t="shared" si="39"/>
        <v>1.034741404</v>
      </c>
      <c r="AA41" s="55"/>
      <c r="AB41" s="63">
        <f t="shared" ref="AB41:AC41" si="40">AB32</f>
        <v>0.09</v>
      </c>
      <c r="AC41" s="63">
        <f t="shared" si="40"/>
        <v>0.08445089281</v>
      </c>
      <c r="AD41" s="63">
        <f t="shared" si="41"/>
        <v>0.9383432534</v>
      </c>
      <c r="AE41" s="5"/>
      <c r="AF41" s="5"/>
      <c r="AG41" s="5"/>
    </row>
    <row r="42">
      <c r="A42" s="5"/>
      <c r="B42" s="5" t="s">
        <v>56</v>
      </c>
      <c r="C42" s="5"/>
      <c r="D42" s="23">
        <f>D32/$C$1*$G$1</f>
        <v>27392229</v>
      </c>
      <c r="E42" s="5"/>
      <c r="F42" s="5" t="s">
        <v>56</v>
      </c>
      <c r="G42" s="5"/>
      <c r="H42" s="23">
        <f>H32/$C$1*$G$1</f>
        <v>96372340</v>
      </c>
      <c r="I42" s="5"/>
      <c r="J42" s="5"/>
      <c r="K42" s="5" t="s">
        <v>69</v>
      </c>
      <c r="L42" s="103">
        <f>SUM(M42:T42)</f>
        <v>180200029</v>
      </c>
      <c r="M42" s="23">
        <f>'Июль 25'!M35</f>
        <v>13508539</v>
      </c>
      <c r="N42" s="23">
        <f>'Июль 25'!N35</f>
        <v>45640321</v>
      </c>
      <c r="O42" s="23">
        <f>'Июль 25'!O35</f>
        <v>26708869</v>
      </c>
      <c r="P42" s="23">
        <f>'Июль 25'!P35</f>
        <v>91540803</v>
      </c>
      <c r="Q42" s="23">
        <f>'Июль 25'!Q35</f>
        <v>757780</v>
      </c>
      <c r="R42" s="23">
        <f>'Июль 25'!R35</f>
        <v>1748835</v>
      </c>
      <c r="S42" s="23">
        <f>'Июль 25'!S35</f>
        <v>26985</v>
      </c>
      <c r="T42" s="23">
        <f>'Июль 25'!T35</f>
        <v>267897</v>
      </c>
      <c r="U42" s="5"/>
      <c r="V42" s="178" t="s">
        <v>150</v>
      </c>
      <c r="W42" s="151" t="s">
        <v>145</v>
      </c>
      <c r="X42" s="23">
        <f t="shared" ref="X42:Y42" si="42">AB15</f>
        <v>13508539</v>
      </c>
      <c r="Y42" s="23">
        <f t="shared" si="42"/>
        <v>15792001.74</v>
      </c>
      <c r="Z42" s="63">
        <f t="shared" si="39"/>
        <v>1.169038468</v>
      </c>
      <c r="AA42" s="55"/>
      <c r="AB42" s="63">
        <f t="shared" ref="AB42:AC42" si="43">AB33</f>
        <v>0.19</v>
      </c>
      <c r="AC42" s="63">
        <f t="shared" si="43"/>
        <v>0.2402575089</v>
      </c>
      <c r="AD42" s="63">
        <f t="shared" si="41"/>
        <v>1.264513205</v>
      </c>
      <c r="AE42" s="5"/>
      <c r="AF42" s="5"/>
      <c r="AG42" s="5"/>
    </row>
    <row r="43">
      <c r="A43" s="5"/>
      <c r="B43" s="171" t="s">
        <v>57</v>
      </c>
      <c r="C43" s="171"/>
      <c r="D43" s="69">
        <f>D42/D37</f>
        <v>1.025585509</v>
      </c>
      <c r="E43" s="5"/>
      <c r="F43" s="171" t="s">
        <v>57</v>
      </c>
      <c r="G43" s="171"/>
      <c r="H43" s="69">
        <f>H42/H37</f>
        <v>1.052780147</v>
      </c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 t="s">
        <v>150</v>
      </c>
      <c r="W43" s="151" t="s">
        <v>148</v>
      </c>
      <c r="X43" s="23">
        <f t="shared" ref="X43:Y43" si="44">AB16</f>
        <v>45640321</v>
      </c>
      <c r="Y43" s="23">
        <f t="shared" si="44"/>
        <v>40650726.75</v>
      </c>
      <c r="Z43" s="63">
        <f t="shared" si="39"/>
        <v>0.8906757416</v>
      </c>
      <c r="AA43" s="55"/>
      <c r="AB43" s="63">
        <f t="shared" ref="AB43:AC43" si="45">AB34</f>
        <v>0.11</v>
      </c>
      <c r="AC43" s="63">
        <f t="shared" si="45"/>
        <v>0.09544980643</v>
      </c>
      <c r="AD43" s="63">
        <f t="shared" si="41"/>
        <v>0.867725513</v>
      </c>
      <c r="AE43" s="5"/>
      <c r="AF43" s="5"/>
      <c r="AG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 t="s">
        <v>74</v>
      </c>
      <c r="L44" s="63">
        <f t="shared" ref="L44:T44" si="46">L40/L42-1</f>
        <v>0.05070688363</v>
      </c>
      <c r="M44" s="179">
        <f t="shared" si="46"/>
        <v>0.2900673418</v>
      </c>
      <c r="N44" s="180">
        <f t="shared" si="46"/>
        <v>-0.03323681926</v>
      </c>
      <c r="O44" s="179">
        <f t="shared" si="46"/>
        <v>0.02558550869</v>
      </c>
      <c r="P44" s="180">
        <f t="shared" si="46"/>
        <v>0.05278014658</v>
      </c>
      <c r="Q44" s="179">
        <f t="shared" si="46"/>
        <v>0.1964818285</v>
      </c>
      <c r="R44" s="180">
        <f t="shared" si="46"/>
        <v>0.5998690557</v>
      </c>
      <c r="S44" s="179">
        <f t="shared" si="46"/>
        <v>-0.4911246989</v>
      </c>
      <c r="T44" s="180">
        <f t="shared" si="46"/>
        <v>0.1356080882</v>
      </c>
      <c r="U44" s="5"/>
      <c r="V44" s="5" t="s">
        <v>152</v>
      </c>
      <c r="W44" s="151" t="s">
        <v>145</v>
      </c>
      <c r="X44" s="23">
        <f t="shared" ref="X44:Y44" si="47">AB17</f>
        <v>757780</v>
      </c>
      <c r="Y44" s="23">
        <f t="shared" si="47"/>
        <v>906670</v>
      </c>
      <c r="Z44" s="63">
        <f t="shared" si="39"/>
        <v>1.196481828</v>
      </c>
      <c r="AA44" s="55"/>
      <c r="AB44" s="63">
        <f t="shared" ref="AB44:AC44" si="48">AB35</f>
        <v>0.18</v>
      </c>
      <c r="AC44" s="63">
        <f t="shared" si="48"/>
        <v>0.2162914842</v>
      </c>
      <c r="AD44" s="63">
        <f t="shared" si="41"/>
        <v>1.201619357</v>
      </c>
      <c r="AE44" s="5"/>
      <c r="AF44" s="5"/>
      <c r="AG44" s="5"/>
    </row>
    <row r="45">
      <c r="A45" s="5"/>
      <c r="B45" s="172" t="s">
        <v>73</v>
      </c>
      <c r="C45" s="17"/>
      <c r="D45" s="17"/>
      <c r="E45" s="17"/>
      <c r="F45" s="17"/>
      <c r="G45" s="17"/>
      <c r="H45" s="18"/>
      <c r="I45" s="5"/>
      <c r="J45" s="5"/>
      <c r="K45" s="51" t="s">
        <v>75</v>
      </c>
      <c r="M45" s="181">
        <f>SUM(M40:N40)/SUM(M42:N42)-1</f>
        <v>0.04060005383</v>
      </c>
      <c r="N45" s="90"/>
      <c r="O45" s="181">
        <f>SUM(O40:P40)/SUM(O42:P42)-1</f>
        <v>0.04663773613</v>
      </c>
      <c r="P45" s="90"/>
      <c r="Q45" s="181">
        <f>SUM(Q40:R40)/SUM(Q42:R42)-1</f>
        <v>0.4779202231</v>
      </c>
      <c r="R45" s="90"/>
      <c r="S45" s="181">
        <f>SUM(S40:T40)/SUM(S42:T42)-1</f>
        <v>0.07825503083</v>
      </c>
      <c r="T45" s="90"/>
      <c r="U45" s="5"/>
      <c r="V45" s="5" t="s">
        <v>152</v>
      </c>
      <c r="W45" s="151" t="s">
        <v>148</v>
      </c>
      <c r="X45" s="23">
        <f t="shared" ref="X45:Y45" si="49">AB18</f>
        <v>1748835</v>
      </c>
      <c r="Y45" s="23">
        <f t="shared" si="49"/>
        <v>2797907</v>
      </c>
      <c r="Z45" s="63">
        <f t="shared" si="39"/>
        <v>1.599869056</v>
      </c>
      <c r="AA45" s="55"/>
      <c r="AB45" s="63">
        <f t="shared" ref="AB45:AC45" si="50">AB36</f>
        <v>0.175</v>
      </c>
      <c r="AC45" s="63">
        <f t="shared" si="50"/>
        <v>0.1871684799</v>
      </c>
      <c r="AD45" s="63">
        <f t="shared" si="41"/>
        <v>1.069534171</v>
      </c>
      <c r="AE45" s="5"/>
      <c r="AF45" s="5"/>
      <c r="AG45" s="5"/>
    </row>
    <row r="46">
      <c r="A46" s="5"/>
      <c r="B46" s="173" t="str">
        <f>B28</f>
        <v>Биг–Л / Август | до </v>
      </c>
      <c r="C46" s="17"/>
      <c r="D46" s="154">
        <f>$D$4</f>
        <v>45900</v>
      </c>
      <c r="E46" s="5"/>
      <c r="F46" s="173" t="str">
        <f>F28</f>
        <v>Смарт / Август | до </v>
      </c>
      <c r="G46" s="17"/>
      <c r="H46" s="154">
        <f>$D$4</f>
        <v>45900</v>
      </c>
      <c r="I46" s="5"/>
      <c r="J46" s="5"/>
      <c r="K46" s="5" t="s">
        <v>76</v>
      </c>
      <c r="L46" s="23">
        <f t="shared" ref="L46:T46" si="51">L40-L42</f>
        <v>9137381.9</v>
      </c>
      <c r="M46" s="182">
        <f t="shared" si="51"/>
        <v>3918386</v>
      </c>
      <c r="N46" s="183">
        <f t="shared" si="51"/>
        <v>-1516939.1</v>
      </c>
      <c r="O46" s="182">
        <f t="shared" si="51"/>
        <v>683360</v>
      </c>
      <c r="P46" s="183">
        <f t="shared" si="51"/>
        <v>4831537</v>
      </c>
      <c r="Q46" s="182">
        <f t="shared" si="51"/>
        <v>148890</v>
      </c>
      <c r="R46" s="183">
        <f t="shared" si="51"/>
        <v>1049072</v>
      </c>
      <c r="S46" s="184">
        <f t="shared" si="51"/>
        <v>-13253</v>
      </c>
      <c r="T46" s="165">
        <f t="shared" si="51"/>
        <v>36329</v>
      </c>
      <c r="U46" s="5"/>
      <c r="V46" s="55"/>
      <c r="W46" s="55"/>
      <c r="X46" s="52">
        <f t="shared" ref="X46:Y46" si="52">SUM(X40:X45)</f>
        <v>179905147</v>
      </c>
      <c r="Y46" s="52">
        <f t="shared" si="52"/>
        <v>181955158.5</v>
      </c>
      <c r="Z46" s="69">
        <f t="shared" si="39"/>
        <v>1.011394957</v>
      </c>
      <c r="AA46" s="55"/>
      <c r="AB46" s="69">
        <f t="shared" ref="AB46:AC46" si="53">AB37</f>
        <v>0.1070995383</v>
      </c>
      <c r="AC46" s="69">
        <f t="shared" si="53"/>
        <v>0.1025461062</v>
      </c>
      <c r="AD46" s="69">
        <f t="shared" si="41"/>
        <v>0.9574841108</v>
      </c>
      <c r="AE46" s="5"/>
      <c r="AF46" s="5"/>
      <c r="AG46" s="5"/>
    </row>
    <row r="47">
      <c r="A47" s="63">
        <f t="shared" ref="A47:A48" si="54">IFERROR(C47/$C$31, " ")</f>
        <v>0.09589142075</v>
      </c>
      <c r="B47" s="162" t="s">
        <v>59</v>
      </c>
      <c r="C47" s="50">
        <v>217240.0</v>
      </c>
      <c r="D47" s="174"/>
      <c r="E47" s="5"/>
      <c r="F47" s="162" t="s">
        <v>59</v>
      </c>
      <c r="G47" s="50">
        <v>1591637.0</v>
      </c>
      <c r="H47" s="174"/>
      <c r="I47" s="63">
        <f t="shared" ref="I47:I48" si="55">IFERROR(G47/$G$31, " ")</f>
        <v>0.1989725823</v>
      </c>
      <c r="J47" s="5"/>
      <c r="K47" s="51" t="s">
        <v>78</v>
      </c>
      <c r="M47" s="185">
        <f>SUM(M40:N40)-SUM(M42:N42)</f>
        <v>2401446.9</v>
      </c>
      <c r="N47" s="90"/>
      <c r="O47" s="185">
        <f>SUM(O40:P40)-SUM(O42:P42)</f>
        <v>5514897</v>
      </c>
      <c r="P47" s="90"/>
      <c r="Q47" s="185">
        <f>SUM(Q40:R40)-SUM(Q42:R42)</f>
        <v>1197962</v>
      </c>
      <c r="R47" s="90"/>
      <c r="S47" s="185">
        <f>SUM(S40:T40)-SUM(S42:T42)</f>
        <v>23076</v>
      </c>
      <c r="T47" s="90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>
      <c r="A48" s="63">
        <f t="shared" si="54"/>
        <v>0.0154757559</v>
      </c>
      <c r="B48" s="162" t="s">
        <v>77</v>
      </c>
      <c r="C48" s="23">
        <f>C30</f>
        <v>35060</v>
      </c>
      <c r="D48" s="161"/>
      <c r="E48" s="5"/>
      <c r="F48" s="162" t="s">
        <v>77</v>
      </c>
      <c r="G48" s="23">
        <f>G30</f>
        <v>5985</v>
      </c>
      <c r="H48" s="174"/>
      <c r="I48" s="63">
        <f t="shared" si="55"/>
        <v>0.0007481925244</v>
      </c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105" t="s">
        <v>153</v>
      </c>
      <c r="Y48" s="105" t="s">
        <v>143</v>
      </c>
      <c r="Z48" s="51"/>
      <c r="AA48" s="51"/>
      <c r="AB48" s="51"/>
      <c r="AC48" s="51"/>
      <c r="AD48" s="51" t="str">
        <f t="shared" ref="AD48:AE48" si="56">X48</f>
        <v>Июль</v>
      </c>
      <c r="AE48" s="51" t="str">
        <f t="shared" si="56"/>
        <v>Август</v>
      </c>
      <c r="AF48" s="5"/>
      <c r="AG48" s="5"/>
    </row>
    <row r="49">
      <c r="A49" s="5"/>
      <c r="B49" s="162" t="s">
        <v>42</v>
      </c>
      <c r="C49" s="23">
        <f>SUM(C47:C48)</f>
        <v>252300</v>
      </c>
      <c r="D49" s="161"/>
      <c r="E49" s="5"/>
      <c r="F49" s="162" t="s">
        <v>42</v>
      </c>
      <c r="G49" s="23">
        <f>SUM(G47:G48)</f>
        <v>1597622</v>
      </c>
      <c r="H49" s="161"/>
      <c r="I49" s="5"/>
      <c r="J49" s="5"/>
      <c r="K49" s="5" t="s">
        <v>79</v>
      </c>
      <c r="L49" s="186">
        <v>2.25E8</v>
      </c>
      <c r="M49" s="23">
        <f t="shared" ref="M49:T49" si="57">$L$49*M36</f>
        <v>20709368.03</v>
      </c>
      <c r="N49" s="23">
        <f t="shared" si="57"/>
        <v>52434227.76</v>
      </c>
      <c r="O49" s="23">
        <f t="shared" si="57"/>
        <v>32551683.77</v>
      </c>
      <c r="P49" s="23">
        <f t="shared" si="57"/>
        <v>114524522.1</v>
      </c>
      <c r="Q49" s="23">
        <f t="shared" si="57"/>
        <v>1077445.546</v>
      </c>
      <c r="R49" s="23">
        <f t="shared" si="57"/>
        <v>3324905.902</v>
      </c>
      <c r="S49" s="23">
        <f t="shared" si="57"/>
        <v>16318.48659</v>
      </c>
      <c r="T49" s="23">
        <f t="shared" si="57"/>
        <v>361528.3935</v>
      </c>
      <c r="U49" s="5"/>
      <c r="V49" s="5"/>
      <c r="W49" s="5"/>
      <c r="X49" s="14" t="s">
        <v>17</v>
      </c>
      <c r="Y49" s="14" t="s">
        <v>17</v>
      </c>
      <c r="Z49" s="14" t="s">
        <v>48</v>
      </c>
      <c r="AA49" s="5"/>
      <c r="AB49" s="72" t="s">
        <v>71</v>
      </c>
      <c r="AD49" s="14" t="s">
        <v>64</v>
      </c>
      <c r="AE49" s="14" t="s">
        <v>64</v>
      </c>
      <c r="AF49" s="14" t="s">
        <v>48</v>
      </c>
      <c r="AG49" s="5"/>
    </row>
    <row r="50">
      <c r="A50" s="5"/>
      <c r="B50" s="162" t="s">
        <v>43</v>
      </c>
      <c r="C50" s="5"/>
      <c r="D50" s="165">
        <f>O35</f>
        <v>27392229</v>
      </c>
      <c r="E50" s="5"/>
      <c r="F50" s="162" t="s">
        <v>43</v>
      </c>
      <c r="G50" s="5"/>
      <c r="H50" s="165">
        <f>P35</f>
        <v>96372340</v>
      </c>
      <c r="I50" s="5"/>
      <c r="J50" s="5"/>
      <c r="K50" s="5" t="s">
        <v>80</v>
      </c>
      <c r="L50" s="103">
        <f t="shared" ref="L50:T50" si="58">L49-L35</f>
        <v>35662589.1</v>
      </c>
      <c r="M50" s="23">
        <f t="shared" si="58"/>
        <v>3282443.034</v>
      </c>
      <c r="N50" s="23">
        <f t="shared" si="58"/>
        <v>8310845.865</v>
      </c>
      <c r="O50" s="23">
        <f t="shared" si="58"/>
        <v>5159454.768</v>
      </c>
      <c r="P50" s="23">
        <f t="shared" si="58"/>
        <v>18152182.11</v>
      </c>
      <c r="Q50" s="23">
        <f t="shared" si="58"/>
        <v>170775.5457</v>
      </c>
      <c r="R50" s="23">
        <f t="shared" si="58"/>
        <v>526998.9022</v>
      </c>
      <c r="S50" s="23">
        <f t="shared" si="58"/>
        <v>2586.486586</v>
      </c>
      <c r="T50" s="23">
        <f t="shared" si="58"/>
        <v>57302.39354</v>
      </c>
      <c r="U50" s="5"/>
      <c r="V50" s="5" t="s">
        <v>115</v>
      </c>
      <c r="W50" s="151" t="s">
        <v>19</v>
      </c>
      <c r="X50" s="23">
        <v>2.6539822E7</v>
      </c>
      <c r="Y50" s="23">
        <f t="shared" ref="Y50:Y55" si="60">AF3</f>
        <v>27086794</v>
      </c>
      <c r="Z50" s="63">
        <f t="shared" ref="Z50:Z58" si="61">Y50/X50</f>
        <v>1.020609483</v>
      </c>
      <c r="AA50" s="5"/>
      <c r="AB50" s="5" t="s">
        <v>115</v>
      </c>
      <c r="AC50" s="151" t="s">
        <v>19</v>
      </c>
      <c r="AD50" s="63">
        <v>0.0869004848638397</v>
      </c>
      <c r="AE50" s="63">
        <f t="shared" ref="AE50:AE56" si="62">AC40</f>
        <v>0.08363776828</v>
      </c>
      <c r="AF50" s="63">
        <f t="shared" ref="AF50:AF56" si="63">AE50/AD50-1</f>
        <v>-0.03754543591</v>
      </c>
      <c r="AG50" s="5"/>
    </row>
    <row r="51">
      <c r="A51" s="5"/>
      <c r="B51" s="162" t="s">
        <v>44</v>
      </c>
      <c r="C51" s="5"/>
      <c r="D51" s="166">
        <f>C49/D50</f>
        <v>0.009210641456</v>
      </c>
      <c r="E51" s="5"/>
      <c r="F51" s="162" t="s">
        <v>44</v>
      </c>
      <c r="G51" s="5"/>
      <c r="H51" s="166">
        <f>G49/H50</f>
        <v>0.01657759893</v>
      </c>
      <c r="I51" s="5"/>
      <c r="J51" s="5"/>
      <c r="K51" s="5" t="s">
        <v>81</v>
      </c>
      <c r="L51" s="103" t="str">
        <f>SUM(M51:T51)</f>
        <v>#DIV/0!</v>
      </c>
      <c r="M51" s="23" t="str">
        <f t="shared" ref="M51:T51" si="59">M50/($G$1-$C$1)</f>
        <v>#DIV/0!</v>
      </c>
      <c r="N51" s="23" t="str">
        <f t="shared" si="59"/>
        <v>#DIV/0!</v>
      </c>
      <c r="O51" s="23" t="str">
        <f t="shared" si="59"/>
        <v>#DIV/0!</v>
      </c>
      <c r="P51" s="23" t="str">
        <f t="shared" si="59"/>
        <v>#DIV/0!</v>
      </c>
      <c r="Q51" s="23" t="str">
        <f t="shared" si="59"/>
        <v>#DIV/0!</v>
      </c>
      <c r="R51" s="23" t="str">
        <f t="shared" si="59"/>
        <v>#DIV/0!</v>
      </c>
      <c r="S51" s="23" t="str">
        <f t="shared" si="59"/>
        <v>#DIV/0!</v>
      </c>
      <c r="T51" s="23" t="str">
        <f t="shared" si="59"/>
        <v>#DIV/0!</v>
      </c>
      <c r="U51" s="5"/>
      <c r="V51" s="5" t="s">
        <v>115</v>
      </c>
      <c r="W51" s="151" t="s">
        <v>122</v>
      </c>
      <c r="X51" s="23">
        <v>9.0653246E7</v>
      </c>
      <c r="Y51" s="23">
        <f t="shared" si="60"/>
        <v>94721059</v>
      </c>
      <c r="Z51" s="63">
        <f t="shared" si="61"/>
        <v>1.044872227</v>
      </c>
      <c r="AA51" s="5"/>
      <c r="AB51" s="5" t="s">
        <v>115</v>
      </c>
      <c r="AC51" s="151" t="s">
        <v>122</v>
      </c>
      <c r="AD51" s="63">
        <v>0.07672470989069713</v>
      </c>
      <c r="AE51" s="63">
        <f t="shared" si="62"/>
        <v>0.08445089281</v>
      </c>
      <c r="AF51" s="63">
        <f t="shared" si="63"/>
        <v>0.1007000603</v>
      </c>
      <c r="AG51" s="5"/>
    </row>
    <row r="52">
      <c r="A52" s="63">
        <f>D51/C52</f>
        <v>0.09210641456</v>
      </c>
      <c r="B52" s="162" t="s">
        <v>47</v>
      </c>
      <c r="C52" s="63">
        <v>0.1</v>
      </c>
      <c r="D52" s="165">
        <f>D50*C52</f>
        <v>2739222.9</v>
      </c>
      <c r="E52" s="5"/>
      <c r="F52" s="162" t="s">
        <v>47</v>
      </c>
      <c r="G52" s="63">
        <v>0.09</v>
      </c>
      <c r="H52" s="166">
        <f>H50*G52</f>
        <v>8673510.6</v>
      </c>
      <c r="I52" s="63">
        <f>H51/G52</f>
        <v>0.1841955436</v>
      </c>
      <c r="J52" s="5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5"/>
      <c r="V52" s="5" t="s">
        <v>18</v>
      </c>
      <c r="W52" s="151" t="s">
        <v>19</v>
      </c>
      <c r="X52" s="23">
        <v>1.2640908838785047E7</v>
      </c>
      <c r="Y52" s="23">
        <f t="shared" si="60"/>
        <v>15792001.74</v>
      </c>
      <c r="Z52" s="63">
        <f t="shared" si="61"/>
        <v>1.249277401</v>
      </c>
      <c r="AA52" s="5"/>
      <c r="AB52" s="5" t="s">
        <v>18</v>
      </c>
      <c r="AC52" s="151" t="s">
        <v>19</v>
      </c>
      <c r="AD52" s="63">
        <v>0.22293816338215594</v>
      </c>
      <c r="AE52" s="63">
        <f t="shared" si="62"/>
        <v>0.2402575089</v>
      </c>
      <c r="AF52" s="63">
        <f t="shared" si="63"/>
        <v>0.07768676879</v>
      </c>
      <c r="AG52" s="5"/>
    </row>
    <row r="53">
      <c r="A53" s="5"/>
      <c r="B53" s="170" t="s">
        <v>50</v>
      </c>
      <c r="C53" s="168"/>
      <c r="D53" s="169">
        <f>C49-D52</f>
        <v>-2486922.9</v>
      </c>
      <c r="E53" s="5"/>
      <c r="F53" s="170" t="s">
        <v>50</v>
      </c>
      <c r="G53" s="168"/>
      <c r="H53" s="169">
        <f>G49-H52</f>
        <v>-7075888.6</v>
      </c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 t="s">
        <v>18</v>
      </c>
      <c r="W53" s="151" t="s">
        <v>122</v>
      </c>
      <c r="X53" s="23">
        <v>4.300514572166096E7</v>
      </c>
      <c r="Y53" s="23">
        <f t="shared" si="60"/>
        <v>40650726.75</v>
      </c>
      <c r="Z53" s="63">
        <f t="shared" si="61"/>
        <v>0.945252622</v>
      </c>
      <c r="AA53" s="5"/>
      <c r="AB53" s="5" t="s">
        <v>18</v>
      </c>
      <c r="AC53" s="151" t="s">
        <v>122</v>
      </c>
      <c r="AD53" s="63">
        <v>0.12060154460510653</v>
      </c>
      <c r="AE53" s="63">
        <f t="shared" si="62"/>
        <v>0.09544980643</v>
      </c>
      <c r="AF53" s="63">
        <f t="shared" si="63"/>
        <v>-0.2085523718</v>
      </c>
      <c r="AG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 t="s">
        <v>31</v>
      </c>
      <c r="W54" s="151" t="s">
        <v>19</v>
      </c>
      <c r="X54" s="23">
        <v>623046.4610318332</v>
      </c>
      <c r="Y54" s="23">
        <f t="shared" si="60"/>
        <v>906670</v>
      </c>
      <c r="Z54" s="63">
        <f t="shared" si="61"/>
        <v>1.455220528</v>
      </c>
      <c r="AA54" s="5"/>
      <c r="AB54" s="5" t="s">
        <v>31</v>
      </c>
      <c r="AC54" s="151" t="s">
        <v>19</v>
      </c>
      <c r="AD54" s="63">
        <v>0.18906776198505904</v>
      </c>
      <c r="AE54" s="63">
        <f t="shared" si="62"/>
        <v>0.2162914842</v>
      </c>
      <c r="AF54" s="63">
        <f t="shared" si="63"/>
        <v>0.1439892341</v>
      </c>
      <c r="AG54" s="5"/>
    </row>
    <row r="55">
      <c r="A55" s="5"/>
      <c r="B55" s="24" t="s">
        <v>51</v>
      </c>
      <c r="C55" s="24"/>
      <c r="D55" s="25">
        <f>O42</f>
        <v>26708869</v>
      </c>
      <c r="E55" s="5"/>
      <c r="F55" s="24" t="s">
        <v>51</v>
      </c>
      <c r="G55" s="24"/>
      <c r="H55" s="25">
        <f>P42</f>
        <v>91540803</v>
      </c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 t="s">
        <v>31</v>
      </c>
      <c r="W55" s="151" t="s">
        <v>122</v>
      </c>
      <c r="X55" s="23">
        <v>1538504.1343223737</v>
      </c>
      <c r="Y55" s="23">
        <f t="shared" si="60"/>
        <v>2797907</v>
      </c>
      <c r="Z55" s="63">
        <f t="shared" si="61"/>
        <v>1.818589198</v>
      </c>
      <c r="AA55" s="5"/>
      <c r="AB55" s="5" t="s">
        <v>31</v>
      </c>
      <c r="AC55" s="151" t="s">
        <v>122</v>
      </c>
      <c r="AD55" s="63">
        <v>0.17977397254237446</v>
      </c>
      <c r="AE55" s="63">
        <f t="shared" si="62"/>
        <v>0.1871684799</v>
      </c>
      <c r="AF55" s="63">
        <f t="shared" si="63"/>
        <v>0.04113224634</v>
      </c>
      <c r="AG55" s="5"/>
    </row>
    <row r="56">
      <c r="A56" s="5"/>
      <c r="B56" s="5" t="s">
        <v>52</v>
      </c>
      <c r="C56" s="5"/>
      <c r="D56" s="23">
        <f>D50/$C$1</f>
        <v>883620.2903</v>
      </c>
      <c r="E56" s="5"/>
      <c r="F56" s="5" t="s">
        <v>52</v>
      </c>
      <c r="G56" s="5"/>
      <c r="H56" s="23">
        <f>H50/$C$1</f>
        <v>3108785.161</v>
      </c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 t="s">
        <v>34</v>
      </c>
      <c r="W56" s="151" t="s">
        <v>19</v>
      </c>
      <c r="X56" s="23">
        <v>26985.0</v>
      </c>
      <c r="Y56" s="23">
        <f>S40</f>
        <v>13732</v>
      </c>
      <c r="Z56" s="63">
        <f t="shared" si="61"/>
        <v>0.5088753011</v>
      </c>
      <c r="AA56" s="5"/>
      <c r="AB56" s="5"/>
      <c r="AC56" s="5"/>
      <c r="AD56" s="69">
        <v>0.10091776266641551</v>
      </c>
      <c r="AE56" s="69">
        <f t="shared" si="62"/>
        <v>0.1025461062</v>
      </c>
      <c r="AF56" s="69">
        <f t="shared" si="63"/>
        <v>0.01613535073</v>
      </c>
      <c r="AG56" s="5"/>
    </row>
    <row r="57">
      <c r="A57" s="5"/>
      <c r="B57" s="5" t="s">
        <v>53</v>
      </c>
      <c r="C57" s="5"/>
      <c r="D57" s="23">
        <f>D55/$G$1*$C$1</f>
        <v>26708869</v>
      </c>
      <c r="E57" s="5"/>
      <c r="F57" s="5" t="s">
        <v>53</v>
      </c>
      <c r="G57" s="5"/>
      <c r="H57" s="23">
        <f>H55/$G$1*$C$1</f>
        <v>91540803</v>
      </c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 t="s">
        <v>34</v>
      </c>
      <c r="W57" s="151" t="s">
        <v>122</v>
      </c>
      <c r="X57" s="23">
        <v>267897.0</v>
      </c>
      <c r="Y57" s="23">
        <f>T40</f>
        <v>304226</v>
      </c>
      <c r="Z57" s="63">
        <f t="shared" si="61"/>
        <v>1.135608088</v>
      </c>
      <c r="AA57" s="5"/>
      <c r="AB57" s="5"/>
      <c r="AC57" s="5"/>
      <c r="AD57" s="5"/>
      <c r="AG57" s="5"/>
    </row>
    <row r="58">
      <c r="A58" s="5"/>
      <c r="B58" s="5" t="s">
        <v>54</v>
      </c>
      <c r="C58" s="5"/>
      <c r="D58" s="23" t="str">
        <f>(D55-D50)/($G$1-$C$1)</f>
        <v>#DIV/0!</v>
      </c>
      <c r="E58" s="5"/>
      <c r="F58" s="5" t="s">
        <v>54</v>
      </c>
      <c r="G58" s="5"/>
      <c r="H58" s="23" t="str">
        <f>(H55-H50)/($G$1-$C$1)</f>
        <v>#DIV/0!</v>
      </c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103">
        <v>1.7529555515580022E8</v>
      </c>
      <c r="Y58" s="103">
        <f>SUM(Y50:Y57)</f>
        <v>182273116.5</v>
      </c>
      <c r="Z58" s="69">
        <f t="shared" si="61"/>
        <v>1.039804554</v>
      </c>
      <c r="AA58" s="5"/>
      <c r="AB58" s="5"/>
      <c r="AC58" s="5"/>
      <c r="AD58" s="5"/>
      <c r="AE58" s="5"/>
      <c r="AF58" s="5"/>
      <c r="AG58" s="5"/>
    </row>
    <row r="59">
      <c r="A59" s="5"/>
      <c r="B59" s="5" t="s">
        <v>55</v>
      </c>
      <c r="C59" s="5"/>
      <c r="D59" s="23">
        <f>D50-D57</f>
        <v>683360</v>
      </c>
      <c r="E59" s="5"/>
      <c r="F59" s="5" t="s">
        <v>55</v>
      </c>
      <c r="G59" s="5"/>
      <c r="H59" s="23">
        <f>H50-H57</f>
        <v>4831537</v>
      </c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AG59" s="5"/>
    </row>
    <row r="60">
      <c r="A60" s="5"/>
      <c r="B60" s="5" t="s">
        <v>56</v>
      </c>
      <c r="C60" s="5"/>
      <c r="D60" s="23">
        <f>D50/$C$1*$G$1</f>
        <v>27392229</v>
      </c>
      <c r="E60" s="5"/>
      <c r="F60" s="5" t="s">
        <v>56</v>
      </c>
      <c r="G60" s="5"/>
      <c r="H60" s="23">
        <f>H50/$C$1*$G$1</f>
        <v>96372340</v>
      </c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</row>
    <row r="61">
      <c r="A61" s="5"/>
      <c r="B61" s="171" t="s">
        <v>57</v>
      </c>
      <c r="C61" s="171"/>
      <c r="D61" s="69">
        <f>D60/D55</f>
        <v>1.025585509</v>
      </c>
      <c r="E61" s="5"/>
      <c r="F61" s="171" t="s">
        <v>57</v>
      </c>
      <c r="G61" s="171"/>
      <c r="H61" s="69">
        <f>H60/H55</f>
        <v>1.052780147</v>
      </c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</row>
    <row r="62">
      <c r="A62" s="46"/>
      <c r="B62" s="46"/>
      <c r="C62" s="46"/>
      <c r="D62" s="46"/>
      <c r="E62" s="46"/>
      <c r="F62" s="46"/>
      <c r="G62" s="46"/>
      <c r="H62" s="46"/>
      <c r="I62" s="46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</row>
    <row r="63">
      <c r="A63" s="5"/>
      <c r="B63" s="187" t="s">
        <v>31</v>
      </c>
      <c r="C63" s="17"/>
      <c r="D63" s="17"/>
      <c r="E63" s="17"/>
      <c r="F63" s="17"/>
      <c r="G63" s="17"/>
      <c r="H63" s="18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</row>
    <row r="64">
      <c r="A64" s="5"/>
      <c r="B64" s="173" t="str">
        <f>B28</f>
        <v>Биг–Л / Август | до </v>
      </c>
      <c r="C64" s="17"/>
      <c r="D64" s="154">
        <f>$D$4</f>
        <v>45900</v>
      </c>
      <c r="E64" s="5"/>
      <c r="F64" s="173" t="str">
        <f>F28</f>
        <v>Смарт / Август | до </v>
      </c>
      <c r="G64" s="17"/>
      <c r="H64" s="154">
        <f>$D$4</f>
        <v>45900</v>
      </c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</row>
    <row r="65">
      <c r="A65" s="63">
        <f t="shared" ref="A65:A69" si="64">IFERROR(C65/$C$70, " ")</f>
        <v>0.9348818235</v>
      </c>
      <c r="B65" s="162" t="s">
        <v>82</v>
      </c>
      <c r="C65" s="50">
        <v>183335.0</v>
      </c>
      <c r="D65" s="174"/>
      <c r="E65" s="5"/>
      <c r="F65" s="162" t="s">
        <v>82</v>
      </c>
      <c r="G65" s="50">
        <v>473680.0</v>
      </c>
      <c r="H65" s="174"/>
      <c r="I65" s="63">
        <f t="shared" ref="I65:I69" si="65">IFERROR(G65/$G$70, " ")</f>
        <v>0.9045218454</v>
      </c>
      <c r="J65" s="5"/>
      <c r="K65" s="55"/>
      <c r="L65" s="5"/>
      <c r="M65" s="5"/>
      <c r="N65" s="5"/>
      <c r="O65" s="5"/>
      <c r="P65" s="5"/>
      <c r="Q65" s="5"/>
      <c r="R65" s="5"/>
      <c r="S65" s="5"/>
      <c r="T65" s="5"/>
      <c r="U65" s="5"/>
    </row>
    <row r="66">
      <c r="A66" s="63">
        <f t="shared" si="64"/>
        <v>0.05577624232</v>
      </c>
      <c r="B66" s="162" t="s">
        <v>83</v>
      </c>
      <c r="C66" s="50">
        <v>10938.0</v>
      </c>
      <c r="D66" s="174"/>
      <c r="E66" s="5"/>
      <c r="F66" s="162" t="s">
        <v>83</v>
      </c>
      <c r="G66" s="50">
        <v>50000.0</v>
      </c>
      <c r="H66" s="174"/>
      <c r="I66" s="63">
        <f t="shared" si="65"/>
        <v>0.0954781546</v>
      </c>
      <c r="J66" s="5"/>
      <c r="K66" s="55"/>
      <c r="L66" s="5"/>
      <c r="M66" s="5"/>
      <c r="N66" s="5"/>
      <c r="O66" s="5"/>
      <c r="P66" s="5"/>
      <c r="Q66" s="5"/>
      <c r="R66" s="5"/>
      <c r="S66" s="5"/>
      <c r="T66" s="5"/>
      <c r="U66" s="5"/>
    </row>
    <row r="67">
      <c r="A67" s="63">
        <f t="shared" si="64"/>
        <v>0.009341934168</v>
      </c>
      <c r="B67" s="162" t="s">
        <v>84</v>
      </c>
      <c r="C67" s="50">
        <v>1832.0</v>
      </c>
      <c r="D67" s="174"/>
      <c r="E67" s="5"/>
      <c r="F67" s="162" t="s">
        <v>84</v>
      </c>
      <c r="G67" s="23"/>
      <c r="H67" s="174"/>
      <c r="I67" s="63">
        <f t="shared" si="65"/>
        <v>0</v>
      </c>
      <c r="J67" s="5"/>
      <c r="K67" s="55"/>
      <c r="L67" s="5"/>
      <c r="M67" s="5"/>
      <c r="N67" s="5"/>
      <c r="O67" s="5"/>
      <c r="P67" s="5"/>
      <c r="Q67" s="5"/>
      <c r="R67" s="5"/>
      <c r="S67" s="5"/>
      <c r="T67" s="5"/>
      <c r="U67" s="5"/>
    </row>
    <row r="68">
      <c r="A68" s="63">
        <f t="shared" si="64"/>
        <v>0</v>
      </c>
      <c r="B68" s="162" t="s">
        <v>85</v>
      </c>
      <c r="C68" s="23"/>
      <c r="D68" s="174"/>
      <c r="E68" s="5"/>
      <c r="F68" s="162" t="s">
        <v>85</v>
      </c>
      <c r="G68" s="23"/>
      <c r="H68" s="174"/>
      <c r="I68" s="63">
        <f t="shared" si="65"/>
        <v>0</v>
      </c>
      <c r="J68" s="5"/>
      <c r="K68" s="55"/>
      <c r="L68" s="5"/>
      <c r="M68" s="5"/>
      <c r="N68" s="5"/>
      <c r="O68" s="5"/>
      <c r="P68" s="5"/>
      <c r="Q68" s="5"/>
      <c r="R68" s="5"/>
      <c r="S68" s="5"/>
      <c r="T68" s="5"/>
      <c r="U68" s="5"/>
    </row>
    <row r="69">
      <c r="A69" s="63">
        <f t="shared" si="64"/>
        <v>0</v>
      </c>
      <c r="B69" s="162" t="s">
        <v>88</v>
      </c>
      <c r="C69" s="24"/>
      <c r="D69" s="174"/>
      <c r="E69" s="5"/>
      <c r="F69" s="162" t="s">
        <v>88</v>
      </c>
      <c r="G69" s="24"/>
      <c r="H69" s="174"/>
      <c r="I69" s="63">
        <f t="shared" si="65"/>
        <v>0</v>
      </c>
      <c r="J69" s="5"/>
      <c r="K69" s="55"/>
      <c r="L69" s="5"/>
      <c r="M69" s="5"/>
      <c r="N69" s="5"/>
      <c r="O69" s="5"/>
      <c r="P69" s="5"/>
      <c r="Q69" s="5"/>
      <c r="R69" s="5"/>
      <c r="S69" s="5"/>
      <c r="T69" s="5"/>
      <c r="U69" s="5"/>
      <c r="AG69" s="5"/>
    </row>
    <row r="70">
      <c r="A70" s="5"/>
      <c r="B70" s="162" t="s">
        <v>42</v>
      </c>
      <c r="C70" s="23">
        <f>SUM(C65:C69)</f>
        <v>196105</v>
      </c>
      <c r="D70" s="174"/>
      <c r="E70" s="5"/>
      <c r="F70" s="162" t="s">
        <v>42</v>
      </c>
      <c r="G70" s="23">
        <f>SUM(G65:G69)</f>
        <v>523680</v>
      </c>
      <c r="H70" s="174"/>
      <c r="I70" s="5"/>
      <c r="J70" s="5"/>
      <c r="K70" s="5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>
      <c r="A71" s="5"/>
      <c r="B71" s="162" t="s">
        <v>43</v>
      </c>
      <c r="C71" s="24"/>
      <c r="D71" s="165">
        <f>Q35</f>
        <v>906670</v>
      </c>
      <c r="E71" s="5"/>
      <c r="F71" s="162" t="s">
        <v>43</v>
      </c>
      <c r="G71" s="24"/>
      <c r="H71" s="165">
        <f>R35</f>
        <v>2797907</v>
      </c>
      <c r="I71" s="5"/>
      <c r="J71" s="5"/>
      <c r="K71" s="5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>
      <c r="A72" s="5"/>
      <c r="B72" s="162" t="s">
        <v>44</v>
      </c>
      <c r="C72" s="5"/>
      <c r="D72" s="166">
        <f>C70/D71</f>
        <v>0.2162914842</v>
      </c>
      <c r="E72" s="5"/>
      <c r="F72" s="162" t="s">
        <v>44</v>
      </c>
      <c r="G72" s="5"/>
      <c r="H72" s="166">
        <f>G70/H71</f>
        <v>0.1871684799</v>
      </c>
      <c r="I72" s="5"/>
      <c r="J72" s="5"/>
      <c r="K72" s="5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>
      <c r="A73" s="63">
        <f>D72/C73</f>
        <v>1.201619357</v>
      </c>
      <c r="B73" s="162" t="s">
        <v>47</v>
      </c>
      <c r="C73" s="63">
        <v>0.18</v>
      </c>
      <c r="D73" s="165">
        <f>D71*C73</f>
        <v>163200.6</v>
      </c>
      <c r="E73" s="5"/>
      <c r="F73" s="162" t="s">
        <v>47</v>
      </c>
      <c r="G73" s="63">
        <v>0.175</v>
      </c>
      <c r="H73" s="165">
        <f>H71*G73</f>
        <v>489633.725</v>
      </c>
      <c r="I73" s="63">
        <f>H72/G73</f>
        <v>1.069534171</v>
      </c>
      <c r="J73" s="5"/>
      <c r="K73" s="5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>
      <c r="A74" s="5"/>
      <c r="B74" s="170" t="s">
        <v>50</v>
      </c>
      <c r="C74" s="168"/>
      <c r="D74" s="169">
        <f>C70-D73</f>
        <v>32904.4</v>
      </c>
      <c r="E74" s="5"/>
      <c r="F74" s="170" t="s">
        <v>50</v>
      </c>
      <c r="G74" s="168"/>
      <c r="H74" s="169">
        <f>G70-H73</f>
        <v>34046.275</v>
      </c>
      <c r="I74" s="5"/>
      <c r="J74" s="5"/>
      <c r="K74" s="5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>
      <c r="A76" s="5"/>
      <c r="B76" s="24" t="s">
        <v>51</v>
      </c>
      <c r="C76" s="24"/>
      <c r="D76" s="25">
        <f>Q42</f>
        <v>757780</v>
      </c>
      <c r="E76" s="5"/>
      <c r="F76" s="24" t="s">
        <v>51</v>
      </c>
      <c r="G76" s="24"/>
      <c r="H76" s="25">
        <f>R42</f>
        <v>1748835</v>
      </c>
      <c r="I76" s="5"/>
      <c r="J76" s="5"/>
      <c r="K76" s="5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>
      <c r="A77" s="5"/>
      <c r="B77" s="5" t="s">
        <v>52</v>
      </c>
      <c r="C77" s="5"/>
      <c r="D77" s="23">
        <f>D71/$C$1</f>
        <v>29247.41935</v>
      </c>
      <c r="E77" s="5"/>
      <c r="F77" s="5" t="s">
        <v>52</v>
      </c>
      <c r="G77" s="5"/>
      <c r="H77" s="23">
        <f>H71/$C$1</f>
        <v>90255.06452</v>
      </c>
      <c r="I77" s="5"/>
      <c r="J77" s="5"/>
      <c r="K77" s="5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>
      <c r="A78" s="5"/>
      <c r="B78" s="5" t="s">
        <v>53</v>
      </c>
      <c r="C78" s="5"/>
      <c r="D78" s="23">
        <f>D76/$G$1*$C$1</f>
        <v>757780</v>
      </c>
      <c r="E78" s="5"/>
      <c r="F78" s="5" t="s">
        <v>53</v>
      </c>
      <c r="G78" s="5"/>
      <c r="H78" s="23">
        <f>H76/$G$1*$C$1</f>
        <v>1748835</v>
      </c>
      <c r="I78" s="5"/>
      <c r="J78" s="5"/>
      <c r="K78" s="5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>
      <c r="A79" s="5"/>
      <c r="B79" s="5" t="s">
        <v>54</v>
      </c>
      <c r="C79" s="5"/>
      <c r="D79" s="23" t="str">
        <f>(D76-D71)/($G$1-$C$1)</f>
        <v>#DIV/0!</v>
      </c>
      <c r="E79" s="5"/>
      <c r="F79" s="5" t="s">
        <v>54</v>
      </c>
      <c r="G79" s="5"/>
      <c r="H79" s="23" t="str">
        <f>(H76-H71)/($G$1-$C$1)</f>
        <v>#DIV/0!</v>
      </c>
      <c r="I79" s="5"/>
      <c r="J79" s="5"/>
      <c r="K79" s="5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>
      <c r="A80" s="5"/>
      <c r="B80" s="5" t="s">
        <v>89</v>
      </c>
      <c r="C80" s="5"/>
      <c r="D80" s="23">
        <f>D71-D78</f>
        <v>148890</v>
      </c>
      <c r="E80" s="5"/>
      <c r="F80" s="5" t="s">
        <v>89</v>
      </c>
      <c r="G80" s="5"/>
      <c r="H80" s="23">
        <f>H71-H78</f>
        <v>1049072</v>
      </c>
      <c r="I80" s="5"/>
      <c r="J80" s="5"/>
      <c r="K80" s="5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>
      <c r="A81" s="5"/>
      <c r="B81" s="5" t="s">
        <v>56</v>
      </c>
      <c r="C81" s="5"/>
      <c r="D81" s="23">
        <f>D71/$C$1*$G$1</f>
        <v>906670</v>
      </c>
      <c r="E81" s="5"/>
      <c r="F81" s="5" t="s">
        <v>56</v>
      </c>
      <c r="G81" s="5"/>
      <c r="H81" s="23">
        <f>H71/$C$1*$G$1</f>
        <v>2797907</v>
      </c>
      <c r="I81" s="5"/>
      <c r="J81" s="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</row>
    <row r="82">
      <c r="A82" s="5"/>
      <c r="B82" s="171" t="s">
        <v>57</v>
      </c>
      <c r="C82" s="171"/>
      <c r="D82" s="69">
        <f>D81/D76</f>
        <v>1.196481828</v>
      </c>
      <c r="E82" s="5"/>
      <c r="F82" s="171" t="s">
        <v>57</v>
      </c>
      <c r="G82" s="171"/>
      <c r="H82" s="69">
        <f>H81/H76</f>
        <v>1.599869056</v>
      </c>
      <c r="I82" s="5"/>
      <c r="J82" s="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  <c r="AG83" s="55"/>
    </row>
    <row r="84">
      <c r="A84" s="5"/>
      <c r="B84" s="188" t="s">
        <v>34</v>
      </c>
      <c r="C84" s="17"/>
      <c r="D84" s="17"/>
      <c r="E84" s="17"/>
      <c r="F84" s="17"/>
      <c r="G84" s="17"/>
      <c r="H84" s="18"/>
      <c r="I84" s="5"/>
      <c r="J84" s="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</row>
    <row r="85">
      <c r="A85" s="5"/>
      <c r="B85" s="173" t="str">
        <f>B64</f>
        <v>Биг–Л / Август | до </v>
      </c>
      <c r="C85" s="17"/>
      <c r="D85" s="154">
        <f>$D$4</f>
        <v>45900</v>
      </c>
      <c r="E85" s="5"/>
      <c r="F85" s="173" t="str">
        <f>F64</f>
        <v>Смарт / Август | до </v>
      </c>
      <c r="G85" s="17"/>
      <c r="H85" s="154">
        <f>$D$4</f>
        <v>45900</v>
      </c>
      <c r="I85" s="5"/>
      <c r="J85" s="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</row>
    <row r="86">
      <c r="A86" s="5"/>
      <c r="B86" s="189" t="s">
        <v>90</v>
      </c>
      <c r="C86" s="190"/>
      <c r="D86" s="191"/>
      <c r="E86" s="5"/>
      <c r="F86" s="189" t="s">
        <v>90</v>
      </c>
      <c r="G86" s="190"/>
      <c r="H86" s="191"/>
      <c r="I86" s="5"/>
      <c r="J86" s="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</row>
    <row r="87">
      <c r="A87" s="5"/>
      <c r="B87" s="162" t="s">
        <v>43</v>
      </c>
      <c r="C87" s="5"/>
      <c r="D87" s="165">
        <f>S35</f>
        <v>13732</v>
      </c>
      <c r="E87" s="5"/>
      <c r="F87" s="162" t="s">
        <v>43</v>
      </c>
      <c r="G87" s="5"/>
      <c r="H87" s="165">
        <f>T35</f>
        <v>304226</v>
      </c>
      <c r="I87" s="5"/>
      <c r="J87" s="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</row>
    <row r="88">
      <c r="A88" s="5"/>
      <c r="B88" s="162" t="s">
        <v>44</v>
      </c>
      <c r="C88" s="5"/>
      <c r="D88" s="166">
        <f>C86/D87</f>
        <v>0</v>
      </c>
      <c r="E88" s="5"/>
      <c r="F88" s="162" t="s">
        <v>44</v>
      </c>
      <c r="G88" s="5"/>
      <c r="H88" s="166">
        <f>G86/H87</f>
        <v>0</v>
      </c>
      <c r="I88" s="5"/>
      <c r="J88" s="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</row>
    <row r="89">
      <c r="A89" s="5"/>
      <c r="B89" s="162" t="s">
        <v>47</v>
      </c>
      <c r="C89" s="63">
        <v>0.15</v>
      </c>
      <c r="D89" s="165">
        <f>D87*C89</f>
        <v>2059.8</v>
      </c>
      <c r="E89" s="5"/>
      <c r="F89" s="162" t="s">
        <v>47</v>
      </c>
      <c r="G89" s="63">
        <v>0.15</v>
      </c>
      <c r="H89" s="165">
        <f>H87*G89</f>
        <v>45633.9</v>
      </c>
      <c r="I89" s="5"/>
      <c r="J89" s="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</row>
    <row r="90">
      <c r="A90" s="5"/>
      <c r="B90" s="170" t="s">
        <v>50</v>
      </c>
      <c r="C90" s="168"/>
      <c r="D90" s="169">
        <f>C86-D89</f>
        <v>-2059.8</v>
      </c>
      <c r="E90" s="5"/>
      <c r="F90" s="170" t="s">
        <v>50</v>
      </c>
      <c r="G90" s="168"/>
      <c r="H90" s="169">
        <f>G86-H89</f>
        <v>-45633.9</v>
      </c>
      <c r="I90" s="5"/>
      <c r="J90" s="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>
      <c r="A92" s="5"/>
      <c r="B92" s="24" t="s">
        <v>51</v>
      </c>
      <c r="C92" s="5"/>
      <c r="D92" s="25">
        <f>S42</f>
        <v>26985</v>
      </c>
      <c r="E92" s="5"/>
      <c r="F92" s="24" t="s">
        <v>51</v>
      </c>
      <c r="G92" s="5"/>
      <c r="H92" s="25">
        <f>T42</f>
        <v>267897</v>
      </c>
      <c r="I92" s="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</row>
    <row r="93">
      <c r="A93" s="5"/>
      <c r="B93" s="5" t="s">
        <v>52</v>
      </c>
      <c r="C93" s="5"/>
      <c r="D93" s="23">
        <f>D87/$C$1</f>
        <v>442.9677419</v>
      </c>
      <c r="E93" s="5"/>
      <c r="F93" s="5" t="s">
        <v>52</v>
      </c>
      <c r="G93" s="5"/>
      <c r="H93" s="23">
        <f>H87/$C$1</f>
        <v>9813.741935</v>
      </c>
      <c r="I93" s="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  <c r="AE93" s="55"/>
      <c r="AF93" s="55"/>
      <c r="AG93" s="55"/>
    </row>
    <row r="94">
      <c r="A94" s="5"/>
      <c r="B94" s="5" t="s">
        <v>53</v>
      </c>
      <c r="C94" s="5"/>
      <c r="D94" s="23">
        <f>D92/$G$1*$C$1</f>
        <v>26985</v>
      </c>
      <c r="E94" s="5"/>
      <c r="F94" s="5" t="s">
        <v>53</v>
      </c>
      <c r="G94" s="5"/>
      <c r="H94" s="23">
        <f>H92/$G$1*$C$1</f>
        <v>267897</v>
      </c>
      <c r="I94" s="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  <c r="AA94" s="55"/>
      <c r="AB94" s="55"/>
      <c r="AC94" s="55"/>
      <c r="AD94" s="55"/>
      <c r="AE94" s="55"/>
      <c r="AF94" s="55"/>
      <c r="AG94" s="55"/>
    </row>
    <row r="95">
      <c r="A95" s="5"/>
      <c r="B95" s="5" t="s">
        <v>54</v>
      </c>
      <c r="C95" s="5"/>
      <c r="D95" s="23" t="str">
        <f>(D92-D87)/($G$1-$C$1)</f>
        <v>#DIV/0!</v>
      </c>
      <c r="E95" s="5"/>
      <c r="F95" s="5" t="s">
        <v>54</v>
      </c>
      <c r="G95" s="5"/>
      <c r="H95" s="23" t="str">
        <f>(H92-H87)/($G$1-$C$1)</f>
        <v>#DIV/0!</v>
      </c>
      <c r="I95" s="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  <c r="AA95" s="55"/>
      <c r="AB95" s="55"/>
      <c r="AC95" s="55"/>
      <c r="AD95" s="55"/>
      <c r="AE95" s="55"/>
      <c r="AF95" s="55"/>
      <c r="AG95" s="55"/>
    </row>
    <row r="96">
      <c r="A96" s="5"/>
      <c r="B96" s="5" t="s">
        <v>89</v>
      </c>
      <c r="C96" s="5"/>
      <c r="D96" s="23">
        <f>D87-D94</f>
        <v>-13253</v>
      </c>
      <c r="E96" s="5"/>
      <c r="F96" s="5" t="s">
        <v>89</v>
      </c>
      <c r="G96" s="5"/>
      <c r="H96" s="23">
        <f>H87-H94</f>
        <v>36329</v>
      </c>
      <c r="I96" s="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  <c r="AA96" s="55"/>
      <c r="AB96" s="55"/>
      <c r="AC96" s="55"/>
      <c r="AD96" s="55"/>
      <c r="AE96" s="55"/>
      <c r="AF96" s="55"/>
      <c r="AG96" s="55"/>
    </row>
    <row r="97">
      <c r="A97" s="5"/>
      <c r="B97" s="5" t="s">
        <v>56</v>
      </c>
      <c r="C97" s="5"/>
      <c r="D97" s="23">
        <f>D87/$C$1*$G$1</f>
        <v>13732</v>
      </c>
      <c r="E97" s="5"/>
      <c r="F97" s="5" t="s">
        <v>56</v>
      </c>
      <c r="G97" s="5"/>
      <c r="H97" s="23">
        <f>H87/$C$1*$G$1</f>
        <v>304226</v>
      </c>
      <c r="I97" s="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  <c r="AA97" s="55"/>
      <c r="AB97" s="55"/>
      <c r="AC97" s="55"/>
      <c r="AD97" s="55"/>
      <c r="AE97" s="55"/>
      <c r="AF97" s="55"/>
      <c r="AG97" s="55"/>
    </row>
    <row r="98">
      <c r="A98" s="5"/>
      <c r="B98" s="171" t="s">
        <v>57</v>
      </c>
      <c r="C98" s="171"/>
      <c r="D98" s="69">
        <f>D97/D92</f>
        <v>0.5088753011</v>
      </c>
      <c r="E98" s="5"/>
      <c r="F98" s="171" t="s">
        <v>57</v>
      </c>
      <c r="G98" s="171"/>
      <c r="H98" s="69">
        <f>H97/H92</f>
        <v>1.135608088</v>
      </c>
      <c r="I98" s="5"/>
      <c r="J98" s="5"/>
      <c r="K98" s="5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>
      <c r="A100" s="5"/>
      <c r="B100" s="152" t="s">
        <v>92</v>
      </c>
      <c r="C100" s="18"/>
      <c r="D100" s="5"/>
      <c r="E100" s="152" t="s">
        <v>51</v>
      </c>
      <c r="F100" s="18"/>
      <c r="G100" s="5"/>
      <c r="H100" s="192" t="s">
        <v>93</v>
      </c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 ht="6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>
      <c r="A102" s="5"/>
      <c r="B102" s="152" t="s">
        <v>94</v>
      </c>
      <c r="C102" s="18"/>
      <c r="D102" s="5"/>
      <c r="E102" s="173" t="str">
        <f>B102</f>
        <v>Выручка по маркетплейсам</v>
      </c>
      <c r="F102" s="18"/>
      <c r="G102" s="5"/>
      <c r="H102" s="192" t="s">
        <v>93</v>
      </c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>
      <c r="A103" s="5"/>
      <c r="B103" s="5" t="s">
        <v>95</v>
      </c>
      <c r="C103" s="23">
        <f>SUM(D14, H14)</f>
        <v>61550306.9</v>
      </c>
      <c r="D103" s="5"/>
      <c r="E103" s="5" t="s">
        <v>96</v>
      </c>
      <c r="F103" s="23">
        <f>SUM(D21, H21)</f>
        <v>59148860</v>
      </c>
      <c r="G103" s="5"/>
      <c r="H103" s="193">
        <f t="shared" ref="H103:H106" si="66">C103/F103</f>
        <v>1.040600054</v>
      </c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>
      <c r="A104" s="5"/>
      <c r="B104" s="5" t="s">
        <v>97</v>
      </c>
      <c r="C104" s="23">
        <f>SUM(D32, H32)</f>
        <v>123764569</v>
      </c>
      <c r="D104" s="5"/>
      <c r="E104" s="5" t="s">
        <v>98</v>
      </c>
      <c r="F104" s="23">
        <f>SUM(D39, H39)</f>
        <v>118249672</v>
      </c>
      <c r="G104" s="5"/>
      <c r="H104" s="193">
        <f t="shared" si="66"/>
        <v>1.046637736</v>
      </c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>
      <c r="A105" s="5"/>
      <c r="B105" s="5" t="s">
        <v>99</v>
      </c>
      <c r="C105" s="23">
        <f>SUM(D71, H71)</f>
        <v>3704577</v>
      </c>
      <c r="D105" s="5"/>
      <c r="E105" s="5" t="s">
        <v>100</v>
      </c>
      <c r="F105" s="23">
        <f>SUM(D78,H78)</f>
        <v>2506615</v>
      </c>
      <c r="G105" s="5"/>
      <c r="H105" s="193">
        <f t="shared" si="66"/>
        <v>1.477920223</v>
      </c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>
      <c r="A106" s="5"/>
      <c r="B106" s="5" t="s">
        <v>101</v>
      </c>
      <c r="C106" s="23">
        <f>SUM(D87,H87)</f>
        <v>317958</v>
      </c>
      <c r="D106" s="5"/>
      <c r="E106" s="5" t="s">
        <v>102</v>
      </c>
      <c r="F106" s="23">
        <f>SUM(H94,D94)</f>
        <v>294882</v>
      </c>
      <c r="G106" s="5"/>
      <c r="H106" s="193">
        <f t="shared" si="66"/>
        <v>1.078255031</v>
      </c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>
      <c r="A108" s="5"/>
      <c r="B108" s="152" t="s">
        <v>103</v>
      </c>
      <c r="C108" s="18"/>
      <c r="D108" s="5"/>
      <c r="E108" s="173" t="str">
        <f>B108</f>
        <v>Выручка по направлениям</v>
      </c>
      <c r="F108" s="18"/>
      <c r="G108" s="5"/>
      <c r="H108" s="192" t="s">
        <v>93</v>
      </c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>
      <c r="A109" s="5"/>
      <c r="B109" s="21" t="s">
        <v>104</v>
      </c>
      <c r="C109" s="23">
        <f>SUM(D14, D32, D71)</f>
        <v>45725824</v>
      </c>
      <c r="D109" s="5"/>
      <c r="E109" s="5" t="s">
        <v>105</v>
      </c>
      <c r="F109" s="23">
        <f>SUM(D21, D39, D78)</f>
        <v>40975188</v>
      </c>
      <c r="G109" s="5"/>
      <c r="H109" s="193">
        <f t="shared" ref="H109:H110" si="67">C109/F109</f>
        <v>1.115939334</v>
      </c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>
      <c r="A110" s="5"/>
      <c r="B110" s="21" t="s">
        <v>106</v>
      </c>
      <c r="C110" s="23">
        <f>SUM(H14, H32, H71, H87)</f>
        <v>143597854.9</v>
      </c>
      <c r="D110" s="5"/>
      <c r="E110" s="5" t="s">
        <v>107</v>
      </c>
      <c r="F110" s="23">
        <f>SUM(H21, H39, H78, H94)</f>
        <v>139197856</v>
      </c>
      <c r="G110" s="5"/>
      <c r="H110" s="193">
        <f t="shared" si="67"/>
        <v>1.031609674</v>
      </c>
      <c r="I110" s="5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46"/>
      <c r="AC110" s="46"/>
      <c r="AD110" s="46"/>
      <c r="AE110" s="46"/>
      <c r="AF110" s="46"/>
      <c r="AG110" s="46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  <c r="AB111" s="46"/>
      <c r="AC111" s="46"/>
      <c r="AD111" s="46"/>
      <c r="AE111" s="46"/>
      <c r="AF111" s="46"/>
      <c r="AG111" s="46"/>
    </row>
    <row r="112">
      <c r="A112" s="5"/>
      <c r="B112" s="152" t="s">
        <v>108</v>
      </c>
      <c r="C112" s="18"/>
      <c r="D112" s="5"/>
      <c r="E112" s="173" t="str">
        <f>B112</f>
        <v>Суммарная выручка</v>
      </c>
      <c r="F112" s="18"/>
      <c r="G112" s="5"/>
      <c r="H112" s="192" t="s">
        <v>93</v>
      </c>
      <c r="I112" s="5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46"/>
      <c r="AC112" s="46"/>
      <c r="AD112" s="46"/>
      <c r="AE112" s="46"/>
      <c r="AF112" s="46"/>
      <c r="AG112" s="46"/>
    </row>
    <row r="113">
      <c r="A113" s="5"/>
      <c r="B113" s="5" t="s">
        <v>109</v>
      </c>
      <c r="C113" s="23">
        <f>SUM(C103:C106)</f>
        <v>189337410.9</v>
      </c>
      <c r="D113" s="5"/>
      <c r="E113" s="5" t="s">
        <v>110</v>
      </c>
      <c r="F113" s="23">
        <f>SUM(F103:F106)</f>
        <v>180200029</v>
      </c>
      <c r="G113" s="5"/>
      <c r="H113" s="193">
        <f t="shared" ref="H113:H114" si="68">C113/F113</f>
        <v>1.050706884</v>
      </c>
      <c r="I113" s="5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46"/>
      <c r="AC113" s="46"/>
      <c r="AD113" s="46"/>
      <c r="AE113" s="46"/>
      <c r="AF113" s="46"/>
      <c r="AG113" s="46"/>
    </row>
    <row r="114">
      <c r="A114" s="5"/>
      <c r="B114" s="5" t="s">
        <v>111</v>
      </c>
      <c r="C114" s="23">
        <f>C113/$C$1*G1</f>
        <v>189337410.9</v>
      </c>
      <c r="D114" s="5"/>
      <c r="E114" s="5" t="s">
        <v>112</v>
      </c>
      <c r="F114" s="23">
        <f>SUM(D19, H19, D37, H37, D76, H76, D92, H92)</f>
        <v>180200029</v>
      </c>
      <c r="G114" s="5"/>
      <c r="H114" s="193">
        <f t="shared" si="68"/>
        <v>1.050706884</v>
      </c>
      <c r="I114" s="5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B114" s="46"/>
      <c r="AC114" s="46"/>
      <c r="AD114" s="46"/>
      <c r="AE114" s="46"/>
      <c r="AF114" s="46"/>
      <c r="AG114" s="46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  <c r="AB115" s="46"/>
      <c r="AC115" s="46"/>
      <c r="AD115" s="46"/>
      <c r="AE115" s="46"/>
      <c r="AF115" s="46"/>
      <c r="AG115" s="46"/>
    </row>
    <row r="116">
      <c r="A116" s="5"/>
      <c r="B116" s="152" t="s">
        <v>113</v>
      </c>
      <c r="C116" s="17"/>
      <c r="D116" s="17"/>
      <c r="E116" s="17"/>
      <c r="F116" s="18"/>
      <c r="G116" s="5"/>
      <c r="H116" s="5"/>
      <c r="I116" s="5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  <c r="AB116" s="46"/>
      <c r="AC116" s="46"/>
      <c r="AD116" s="46"/>
      <c r="AE116" s="46"/>
      <c r="AF116" s="46"/>
      <c r="AG116" s="46"/>
    </row>
    <row r="117" ht="6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>
      <c r="A118" s="5"/>
      <c r="B118" s="152" t="s">
        <v>154</v>
      </c>
      <c r="C118" s="18"/>
      <c r="D118" s="5"/>
      <c r="E118" s="152" t="s">
        <v>155</v>
      </c>
      <c r="F118" s="18"/>
      <c r="G118" s="5"/>
      <c r="H118" s="192" t="s">
        <v>93</v>
      </c>
      <c r="I118" s="5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  <c r="AB118" s="46"/>
      <c r="AC118" s="46"/>
      <c r="AD118" s="46"/>
      <c r="AE118" s="46"/>
      <c r="AF118" s="46"/>
      <c r="AG118" s="46"/>
    </row>
    <row r="119">
      <c r="A119" s="5"/>
      <c r="B119" s="5" t="s">
        <v>18</v>
      </c>
      <c r="C119" s="63">
        <f>SUM(C13,G13)/SUM(D14,H14)</f>
        <v>0.124682579</v>
      </c>
      <c r="D119" s="5"/>
      <c r="E119" s="5" t="s">
        <v>18</v>
      </c>
      <c r="F119" s="63">
        <f>(D19*C16+H19*G16)/SUM(D19, H19)</f>
        <v>0.1282705655</v>
      </c>
      <c r="G119" s="5"/>
      <c r="H119" s="63">
        <f t="shared" ref="H119:H122" si="69">C119/F119-1</f>
        <v>-0.02797201769</v>
      </c>
      <c r="I119" s="5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  <c r="AB119" s="46"/>
      <c r="AC119" s="46"/>
      <c r="AD119" s="46"/>
      <c r="AE119" s="46"/>
      <c r="AF119" s="46"/>
      <c r="AG119" s="46"/>
    </row>
    <row r="120">
      <c r="A120" s="5"/>
      <c r="B120" s="5" t="s">
        <v>115</v>
      </c>
      <c r="C120" s="63">
        <f>SUM(C31,G31)/SUM(D32,H32)</f>
        <v>0.08293776711</v>
      </c>
      <c r="D120" s="5"/>
      <c r="E120" s="5" t="s">
        <v>115</v>
      </c>
      <c r="F120" s="63">
        <f>(D37*C34+H37*G34)/SUM(D37, H37)</f>
        <v>0.0922586844</v>
      </c>
      <c r="G120" s="5"/>
      <c r="H120" s="63">
        <f t="shared" si="69"/>
        <v>-0.1010302429</v>
      </c>
      <c r="I120" s="5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  <c r="AB120" s="46"/>
      <c r="AC120" s="46"/>
      <c r="AD120" s="46"/>
      <c r="AE120" s="46"/>
      <c r="AF120" s="46"/>
      <c r="AG120" s="46"/>
    </row>
    <row r="121">
      <c r="A121" s="5"/>
      <c r="B121" s="5" t="s">
        <v>31</v>
      </c>
      <c r="C121" s="63">
        <f>SUM(C70,G70)/SUM(D71,H71)</f>
        <v>0.1942961369</v>
      </c>
      <c r="D121" s="5"/>
      <c r="E121" s="5" t="s">
        <v>31</v>
      </c>
      <c r="F121" s="63">
        <f>(D76*C73+H76*G73)/SUM(D76, H76)</f>
        <v>0.1765115604</v>
      </c>
      <c r="G121" s="5"/>
      <c r="H121" s="63">
        <f t="shared" si="69"/>
        <v>0.1007558738</v>
      </c>
      <c r="I121" s="5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  <c r="AB121" s="46"/>
      <c r="AC121" s="46"/>
      <c r="AD121" s="46"/>
      <c r="AE121" s="46"/>
      <c r="AF121" s="46"/>
      <c r="AG121" s="46"/>
    </row>
    <row r="122">
      <c r="A122" s="5"/>
      <c r="B122" s="5" t="s">
        <v>116</v>
      </c>
      <c r="C122" s="63">
        <f>SUM(C13, G13, C31, G31, C70, G70, C86, G86)/C113</f>
        <v>0.09854784066</v>
      </c>
      <c r="D122" s="5"/>
      <c r="E122" s="5" t="s">
        <v>116</v>
      </c>
      <c r="F122" s="63">
        <f>SUM(D14*C16, H14*G16, D32*C34, H32*G34, D71*C73, H71*G73, H87*G89, D87*C89)/C113</f>
        <v>0.1070995383</v>
      </c>
      <c r="G122" s="5"/>
      <c r="H122" s="63">
        <f t="shared" si="69"/>
        <v>-0.0798481277</v>
      </c>
      <c r="I122" s="69">
        <f>1+H122</f>
        <v>0.9201518723</v>
      </c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  <c r="AB122" s="46"/>
      <c r="AC122" s="46"/>
      <c r="AD122" s="46"/>
      <c r="AE122" s="46"/>
      <c r="AF122" s="46"/>
      <c r="AG122" s="46"/>
    </row>
    <row r="123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  <c r="AB123" s="46"/>
      <c r="AC123" s="46"/>
      <c r="AD123" s="46"/>
      <c r="AE123" s="46"/>
      <c r="AF123" s="46"/>
      <c r="AG123" s="46"/>
    </row>
    <row r="124">
      <c r="A124" s="46"/>
      <c r="B124" s="152" t="s">
        <v>117</v>
      </c>
      <c r="C124" s="17"/>
      <c r="D124" s="17"/>
      <c r="E124" s="17"/>
      <c r="F124" s="18"/>
      <c r="G124" s="5"/>
      <c r="H124" s="5"/>
      <c r="I124" s="5"/>
      <c r="J124" s="46"/>
      <c r="K124" s="44">
        <v>0.0</v>
      </c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  <c r="AC124" s="46"/>
      <c r="AD124" s="46"/>
      <c r="AE124" s="46"/>
      <c r="AF124" s="46"/>
      <c r="AG124" s="46"/>
    </row>
    <row r="125" ht="6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>
      <c r="A126" s="46"/>
      <c r="B126" s="152" t="str">
        <f>B118</f>
        <v>Доля Рекламных Расходов / Факт</v>
      </c>
      <c r="C126" s="18"/>
      <c r="D126" s="5"/>
      <c r="E126" s="173" t="str">
        <f>E118</f>
        <v>Доля Рекламных Расходов / План</v>
      </c>
      <c r="F126" s="18"/>
      <c r="G126" s="5"/>
      <c r="H126" s="192" t="s">
        <v>93</v>
      </c>
      <c r="I126" s="5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  <c r="AD126" s="46"/>
      <c r="AE126" s="46"/>
      <c r="AF126" s="46"/>
      <c r="AG126" s="46"/>
    </row>
    <row r="127">
      <c r="A127" s="46"/>
      <c r="B127" s="5" t="s">
        <v>18</v>
      </c>
      <c r="C127" s="63">
        <f>C119</f>
        <v>0.124682579</v>
      </c>
      <c r="D127" s="5"/>
      <c r="E127" s="5" t="s">
        <v>18</v>
      </c>
      <c r="F127" s="63">
        <f t="shared" ref="F127:F130" si="70">F119</f>
        <v>0.1282705655</v>
      </c>
      <c r="G127" s="5"/>
      <c r="H127" s="63">
        <f t="shared" ref="H127:H130" si="71">C127/F127-1</f>
        <v>-0.02797201769</v>
      </c>
      <c r="I127" s="5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  <c r="AC127" s="46"/>
      <c r="AD127" s="46"/>
      <c r="AE127" s="46"/>
      <c r="AF127" s="46"/>
      <c r="AG127" s="46"/>
    </row>
    <row r="128">
      <c r="A128" s="46"/>
      <c r="B128" s="5" t="s">
        <v>115</v>
      </c>
      <c r="C128" s="63">
        <f>SUM(C49,G49)/SUM(D50,H50)</f>
        <v>0.01494710493</v>
      </c>
      <c r="D128" s="5"/>
      <c r="E128" s="5" t="s">
        <v>115</v>
      </c>
      <c r="F128" s="63">
        <f t="shared" si="70"/>
        <v>0.0922586844</v>
      </c>
      <c r="G128" s="5"/>
      <c r="H128" s="63">
        <f t="shared" si="71"/>
        <v>-0.8379870141</v>
      </c>
      <c r="I128" s="5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  <c r="AB128" s="46"/>
      <c r="AC128" s="46"/>
      <c r="AD128" s="46"/>
      <c r="AE128" s="46"/>
      <c r="AF128" s="46"/>
      <c r="AG128" s="46"/>
    </row>
    <row r="129">
      <c r="A129" s="46"/>
      <c r="B129" s="5" t="s">
        <v>31</v>
      </c>
      <c r="C129" s="63">
        <f>C121</f>
        <v>0.1942961369</v>
      </c>
      <c r="D129" s="5"/>
      <c r="E129" s="5" t="s">
        <v>31</v>
      </c>
      <c r="F129" s="63">
        <f t="shared" si="70"/>
        <v>0.1765115604</v>
      </c>
      <c r="G129" s="5"/>
      <c r="H129" s="63">
        <f t="shared" si="71"/>
        <v>0.1007558738</v>
      </c>
      <c r="I129" s="5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  <c r="AD129" s="46"/>
      <c r="AE129" s="46"/>
      <c r="AF129" s="46"/>
      <c r="AG129" s="46"/>
    </row>
    <row r="130">
      <c r="A130" s="46"/>
      <c r="B130" s="5" t="s">
        <v>116</v>
      </c>
      <c r="C130" s="63">
        <f>SUM(C13, G13, C49, G49, C70, G70, C86, G86)/C113</f>
        <v>0.05410424676</v>
      </c>
      <c r="D130" s="5"/>
      <c r="E130" s="5" t="s">
        <v>116</v>
      </c>
      <c r="F130" s="63">
        <f t="shared" si="70"/>
        <v>0.1070995383</v>
      </c>
      <c r="G130" s="5"/>
      <c r="H130" s="63">
        <f t="shared" si="71"/>
        <v>-0.4948227823</v>
      </c>
      <c r="I130" s="69">
        <f>1+H130</f>
        <v>0.5051772177</v>
      </c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  <c r="AE130" s="46"/>
      <c r="AF130" s="46"/>
      <c r="AG130" s="46"/>
    </row>
    <row r="131">
      <c r="A131" s="46"/>
      <c r="B131" s="5"/>
      <c r="C131" s="63"/>
      <c r="D131" s="5"/>
      <c r="E131" s="5"/>
      <c r="F131" s="63"/>
      <c r="G131" s="5"/>
      <c r="H131" s="63"/>
      <c r="I131" s="51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  <c r="AE131" s="46"/>
      <c r="AF131" s="46"/>
      <c r="AG131" s="46"/>
    </row>
    <row r="132">
      <c r="A132" s="46"/>
      <c r="B132" s="152" t="s">
        <v>118</v>
      </c>
      <c r="C132" s="17"/>
      <c r="D132" s="17"/>
      <c r="E132" s="17"/>
      <c r="F132" s="18"/>
      <c r="G132" s="5"/>
      <c r="H132" s="63"/>
      <c r="I132" s="51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  <c r="AC132" s="46"/>
      <c r="AD132" s="46"/>
      <c r="AE132" s="46"/>
      <c r="AF132" s="46"/>
      <c r="AG132" s="46"/>
    </row>
    <row r="133" ht="6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>
      <c r="A134" s="46"/>
      <c r="B134" s="194" t="s">
        <v>119</v>
      </c>
      <c r="C134" s="18"/>
      <c r="D134" s="46"/>
      <c r="E134" s="152" t="s">
        <v>60</v>
      </c>
      <c r="F134" s="18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  <c r="AC134" s="46"/>
      <c r="AD134" s="46"/>
      <c r="AE134" s="46"/>
      <c r="AF134" s="46"/>
      <c r="AG134" s="46"/>
    </row>
    <row r="135">
      <c r="A135" s="82">
        <f t="shared" ref="A135:A138" si="72">C135/$C$139</f>
        <v>0.4112940746</v>
      </c>
      <c r="B135" s="44" t="s">
        <v>18</v>
      </c>
      <c r="C135" s="45">
        <f>SUM(C13,G13)</f>
        <v>7674251</v>
      </c>
      <c r="D135" s="46"/>
      <c r="E135" s="44" t="s">
        <v>18</v>
      </c>
      <c r="F135" s="45">
        <f>SUM(C13,G13)</f>
        <v>7674251</v>
      </c>
      <c r="G135" s="82">
        <f t="shared" ref="G135:G138" si="73">F135/$F$139</f>
        <v>0.7491490106</v>
      </c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  <c r="AC135" s="46"/>
      <c r="AD135" s="46"/>
      <c r="AE135" s="46"/>
      <c r="AF135" s="46"/>
      <c r="AG135" s="46"/>
    </row>
    <row r="136">
      <c r="A136" s="82">
        <f t="shared" si="72"/>
        <v>0.5501297431</v>
      </c>
      <c r="B136" s="44" t="s">
        <v>115</v>
      </c>
      <c r="C136" s="45">
        <f>SUM(C31,G31)</f>
        <v>10264757</v>
      </c>
      <c r="D136" s="46"/>
      <c r="E136" s="44" t="s">
        <v>115</v>
      </c>
      <c r="F136" s="45">
        <f>SUM(C49,G49)</f>
        <v>1849922</v>
      </c>
      <c r="G136" s="82">
        <f t="shared" si="73"/>
        <v>0.1805866443</v>
      </c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  <c r="AE136" s="46"/>
      <c r="AF136" s="46"/>
      <c r="AG136" s="46"/>
    </row>
    <row r="137">
      <c r="A137" s="82">
        <f t="shared" si="72"/>
        <v>0.03857618229</v>
      </c>
      <c r="B137" s="44" t="s">
        <v>31</v>
      </c>
      <c r="C137" s="45">
        <f>SUM(C70,G70)</f>
        <v>719785</v>
      </c>
      <c r="D137" s="46"/>
      <c r="E137" s="44" t="s">
        <v>31</v>
      </c>
      <c r="F137" s="45">
        <f>SUM(C70,G70)</f>
        <v>719785</v>
      </c>
      <c r="G137" s="82">
        <f t="shared" si="73"/>
        <v>0.07026434509</v>
      </c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6"/>
      <c r="AG137" s="46"/>
    </row>
    <row r="138">
      <c r="A138" s="82">
        <f t="shared" si="72"/>
        <v>0</v>
      </c>
      <c r="B138" s="44" t="s">
        <v>34</v>
      </c>
      <c r="C138" s="45">
        <f>SUM(C86,G86)</f>
        <v>0</v>
      </c>
      <c r="D138" s="46"/>
      <c r="E138" s="44" t="s">
        <v>34</v>
      </c>
      <c r="F138" s="45">
        <f>SUM(C86,G86)</f>
        <v>0</v>
      </c>
      <c r="G138" s="82">
        <f t="shared" si="73"/>
        <v>0</v>
      </c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  <c r="AE138" s="46"/>
      <c r="AF138" s="46"/>
      <c r="AG138" s="46"/>
    </row>
    <row r="139">
      <c r="A139" s="46"/>
      <c r="B139" s="195" t="s">
        <v>120</v>
      </c>
      <c r="C139" s="196">
        <f>SUM(C135:C138)</f>
        <v>18658793</v>
      </c>
      <c r="D139" s="46"/>
      <c r="E139" s="195" t="s">
        <v>120</v>
      </c>
      <c r="F139" s="196">
        <f>SUM(F135:F138)</f>
        <v>10243958</v>
      </c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  <c r="AG139" s="46"/>
    </row>
    <row r="140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  <c r="AA140" s="46"/>
      <c r="AB140" s="46"/>
      <c r="AC140" s="46"/>
      <c r="AD140" s="46"/>
      <c r="AE140" s="46"/>
      <c r="AF140" s="46"/>
      <c r="AG140" s="46"/>
    </row>
    <row r="141">
      <c r="A141" s="46"/>
      <c r="B141" s="152" t="s">
        <v>121</v>
      </c>
      <c r="C141" s="17"/>
      <c r="D141" s="17"/>
      <c r="E141" s="17"/>
      <c r="F141" s="18"/>
      <c r="G141" s="5"/>
      <c r="H141" s="63"/>
      <c r="I141" s="51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  <c r="AA141" s="46"/>
      <c r="AB141" s="46"/>
      <c r="AC141" s="46"/>
      <c r="AD141" s="46"/>
      <c r="AE141" s="46"/>
      <c r="AF141" s="46"/>
      <c r="AG141" s="46"/>
    </row>
    <row r="142" ht="6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>
      <c r="A143" s="46"/>
      <c r="B143" s="194" t="s">
        <v>119</v>
      </c>
      <c r="C143" s="18"/>
      <c r="D143" s="46"/>
      <c r="E143" s="152" t="s">
        <v>60</v>
      </c>
      <c r="F143" s="18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  <c r="AB143" s="46"/>
      <c r="AC143" s="46"/>
      <c r="AD143" s="46"/>
      <c r="AE143" s="46"/>
      <c r="AF143" s="46"/>
      <c r="AG143" s="46"/>
    </row>
    <row r="144">
      <c r="A144" s="82">
        <f t="shared" ref="A144:A145" si="74">C144/$C$146</f>
        <v>0.3352698645</v>
      </c>
      <c r="B144" s="44" t="s">
        <v>19</v>
      </c>
      <c r="C144" s="45">
        <f>SUM(C13,C31,C70,C86)</f>
        <v>6255731</v>
      </c>
      <c r="D144" s="46"/>
      <c r="E144" s="44" t="s">
        <v>19</v>
      </c>
      <c r="F144" s="45">
        <f>SUM(C13,C49,C70,C86)</f>
        <v>4242552</v>
      </c>
      <c r="G144" s="82">
        <f t="shared" ref="G144:G145" si="75">F144/$F$146</f>
        <v>0.4141516394</v>
      </c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  <c r="AC144" s="46"/>
      <c r="AD144" s="46"/>
      <c r="AE144" s="46"/>
      <c r="AF144" s="46"/>
      <c r="AG144" s="46"/>
    </row>
    <row r="145">
      <c r="A145" s="82">
        <f t="shared" si="74"/>
        <v>0.6647301355</v>
      </c>
      <c r="B145" s="44" t="s">
        <v>122</v>
      </c>
      <c r="C145" s="45">
        <f>SUM(G13,G31,G70,G86)</f>
        <v>12403062</v>
      </c>
      <c r="D145" s="46"/>
      <c r="E145" s="44" t="s">
        <v>122</v>
      </c>
      <c r="F145" s="45">
        <f>SUM(G13,G49,G70,G86)</f>
        <v>6001406</v>
      </c>
      <c r="G145" s="82">
        <f t="shared" si="75"/>
        <v>0.5858483606</v>
      </c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  <c r="AE145" s="46"/>
      <c r="AF145" s="46"/>
      <c r="AG145" s="46"/>
    </row>
    <row r="146">
      <c r="A146" s="46"/>
      <c r="B146" s="195" t="s">
        <v>120</v>
      </c>
      <c r="C146" s="196">
        <f>SUM(C144:C145)</f>
        <v>18658793</v>
      </c>
      <c r="D146" s="46"/>
      <c r="E146" s="195" t="s">
        <v>120</v>
      </c>
      <c r="F146" s="196">
        <f>SUM(F144:F145)</f>
        <v>10243958</v>
      </c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  <c r="AB146" s="46"/>
      <c r="AC146" s="46"/>
      <c r="AD146" s="46"/>
      <c r="AE146" s="46"/>
      <c r="AF146" s="46"/>
      <c r="AG146" s="46"/>
    </row>
    <row r="147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  <c r="AA147" s="46"/>
      <c r="AB147" s="46"/>
      <c r="AC147" s="46"/>
      <c r="AD147" s="46"/>
      <c r="AE147" s="46"/>
      <c r="AF147" s="46"/>
      <c r="AG147" s="46"/>
    </row>
  </sheetData>
  <mergeCells count="59">
    <mergeCell ref="E126:F126"/>
    <mergeCell ref="B132:F132"/>
    <mergeCell ref="B134:C134"/>
    <mergeCell ref="E134:F134"/>
    <mergeCell ref="B141:F141"/>
    <mergeCell ref="B143:C143"/>
    <mergeCell ref="E143:F143"/>
    <mergeCell ref="B112:C112"/>
    <mergeCell ref="E112:F112"/>
    <mergeCell ref="B116:F116"/>
    <mergeCell ref="B118:C118"/>
    <mergeCell ref="E118:F118"/>
    <mergeCell ref="B124:F124"/>
    <mergeCell ref="B126:C126"/>
    <mergeCell ref="M2:N2"/>
    <mergeCell ref="O2:P2"/>
    <mergeCell ref="Q2:R2"/>
    <mergeCell ref="S2:T2"/>
    <mergeCell ref="B3:H3"/>
    <mergeCell ref="B4:C4"/>
    <mergeCell ref="F4:G4"/>
    <mergeCell ref="X11:Z11"/>
    <mergeCell ref="AB11:AD11"/>
    <mergeCell ref="V21:W21"/>
    <mergeCell ref="B27:H27"/>
    <mergeCell ref="B28:C28"/>
    <mergeCell ref="F28:G28"/>
    <mergeCell ref="V30:W30"/>
    <mergeCell ref="M45:N45"/>
    <mergeCell ref="O45:P45"/>
    <mergeCell ref="K47:L47"/>
    <mergeCell ref="M47:N47"/>
    <mergeCell ref="O47:P47"/>
    <mergeCell ref="Q47:R47"/>
    <mergeCell ref="S47:T47"/>
    <mergeCell ref="Q45:R45"/>
    <mergeCell ref="S45:T45"/>
    <mergeCell ref="AB49:AC49"/>
    <mergeCell ref="K38:L38"/>
    <mergeCell ref="M38:N38"/>
    <mergeCell ref="O38:P38"/>
    <mergeCell ref="Q38:R38"/>
    <mergeCell ref="S38:T38"/>
    <mergeCell ref="B45:H45"/>
    <mergeCell ref="K45:L45"/>
    <mergeCell ref="B46:C46"/>
    <mergeCell ref="F46:G46"/>
    <mergeCell ref="B63:H63"/>
    <mergeCell ref="B64:C64"/>
    <mergeCell ref="F64:G64"/>
    <mergeCell ref="B84:H84"/>
    <mergeCell ref="F85:G85"/>
    <mergeCell ref="B85:C85"/>
    <mergeCell ref="B100:C100"/>
    <mergeCell ref="E100:F100"/>
    <mergeCell ref="B102:C102"/>
    <mergeCell ref="E102:F102"/>
    <mergeCell ref="B108:C108"/>
    <mergeCell ref="E108:F108"/>
  </mergeCells>
  <conditionalFormatting sqref="D17 H17 D35 H35 D53 H53 D74 H74 D90 H90">
    <cfRule type="cellIs" dxfId="0" priority="1" operator="lessThan">
      <formula>0</formula>
    </cfRule>
  </conditionalFormatting>
  <conditionalFormatting sqref="D17 H17 D35 H35 D53 H53 D74 H74 D90 H90">
    <cfRule type="cellIs" dxfId="1" priority="2" operator="greaterThan">
      <formula>0</formula>
    </cfRule>
  </conditionalFormatting>
  <conditionalFormatting sqref="D23 H23 D41 H41 D59 H59 D80 H80 D96 H96">
    <cfRule type="cellIs" dxfId="0" priority="3" operator="greaterThan">
      <formula>0</formula>
    </cfRule>
  </conditionalFormatting>
  <conditionalFormatting sqref="D23 H23 D41 H41 D59 H59 D80 H80 D96 H96">
    <cfRule type="cellIs" dxfId="1" priority="4" operator="lessThan">
      <formula>0</formula>
    </cfRule>
  </conditionalFormatting>
  <conditionalFormatting sqref="D25 H25 D43 H43 D61 H61 D82 H82 D98 H98">
    <cfRule type="cellIs" dxfId="0" priority="5" operator="greaterThan">
      <formula>1</formula>
    </cfRule>
  </conditionalFormatting>
  <conditionalFormatting sqref="D25 H25 D43 H43 D61 H61 D82 H82 D98 H98">
    <cfRule type="cellIs" dxfId="1" priority="6" operator="lessThan">
      <formula>1</formula>
    </cfRule>
  </conditionalFormatting>
  <conditionalFormatting sqref="H103:H106">
    <cfRule type="cellIs" dxfId="0" priority="7" operator="greaterThan">
      <formula>1</formula>
    </cfRule>
  </conditionalFormatting>
  <conditionalFormatting sqref="H103:H106">
    <cfRule type="cellIs" dxfId="1" priority="8" operator="lessThan">
      <formula>1</formula>
    </cfRule>
  </conditionalFormatting>
  <conditionalFormatting sqref="H109:H110 H113:H114">
    <cfRule type="cellIs" dxfId="0" priority="9" operator="greaterThan">
      <formula>1</formula>
    </cfRule>
  </conditionalFormatting>
  <conditionalFormatting sqref="H109:H110 H113:H114">
    <cfRule type="cellIs" dxfId="1" priority="10" operator="lessThan">
      <formula>1</formula>
    </cfRule>
  </conditionalFormatting>
  <conditionalFormatting sqref="H119:H122 H127:H132 H141">
    <cfRule type="cellIs" dxfId="0" priority="11" operator="lessThan">
      <formula>0</formula>
    </cfRule>
  </conditionalFormatting>
  <conditionalFormatting sqref="H119:H122 H127:H132 H141">
    <cfRule type="cellIs" dxfId="1" priority="12" operator="greaterThan">
      <formula>0</formula>
    </cfRule>
  </conditionalFormatting>
  <conditionalFormatting sqref="L44 M44:T46">
    <cfRule type="cellIs" dxfId="0" priority="13" operator="greaterThan">
      <formula>0</formula>
    </cfRule>
  </conditionalFormatting>
  <conditionalFormatting sqref="L44 M44:T46">
    <cfRule type="cellIs" dxfId="1" priority="14" operator="lessThan">
      <formula>0</formula>
    </cfRule>
  </conditionalFormatting>
  <conditionalFormatting sqref="Z13:Z19 AD13:AD19 Z40:Z46">
    <cfRule type="cellIs" dxfId="0" priority="15" operator="greaterThan">
      <formula>1</formula>
    </cfRule>
  </conditionalFormatting>
  <conditionalFormatting sqref="Z13:Z19 AD13:AD19 Z40:Z46">
    <cfRule type="cellIs" dxfId="1" priority="16" operator="lessThan">
      <formula>1</formula>
    </cfRule>
  </conditionalFormatting>
  <conditionalFormatting sqref="AD22:AD28 AD31:AD37 AD40:AD46">
    <cfRule type="cellIs" dxfId="0" priority="17" operator="lessThan">
      <formula>1</formula>
    </cfRule>
  </conditionalFormatting>
  <conditionalFormatting sqref="AD22:AD28 AD31:AD37 AD40:AD46">
    <cfRule type="cellIs" dxfId="1" priority="18" operator="greaterThan">
      <formula>1</formula>
    </cfRule>
  </conditionalFormatting>
  <conditionalFormatting sqref="Z50:Z69">
    <cfRule type="cellIs" dxfId="0" priority="19" operator="greaterThan">
      <formula>1</formula>
    </cfRule>
  </conditionalFormatting>
  <conditionalFormatting sqref="Z50:Z69">
    <cfRule type="cellIs" dxfId="1" priority="20" operator="lessThan">
      <formula>1</formula>
    </cfRule>
  </conditionalFormatting>
  <conditionalFormatting sqref="AF50:AF67">
    <cfRule type="cellIs" dxfId="0" priority="21" operator="lessThan">
      <formula>0</formula>
    </cfRule>
  </conditionalFormatting>
  <conditionalFormatting sqref="AF50:AF67">
    <cfRule type="cellIs" dxfId="1" priority="22" operator="greaterThan">
      <formula>0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5"/>
    <col customWidth="1" min="3" max="4" width="15.63"/>
    <col customWidth="1" min="5" max="5" width="23.0"/>
    <col customWidth="1" min="6" max="6" width="23.5"/>
    <col customWidth="1" min="7" max="8" width="15.63"/>
    <col customWidth="1" min="11" max="11" width="28.88"/>
    <col customWidth="1" min="12" max="12" width="16.38"/>
    <col customWidth="1" min="13" max="20" width="16.5"/>
  </cols>
  <sheetData>
    <row r="1">
      <c r="A1" s="142">
        <v>1.0</v>
      </c>
      <c r="B1" s="5" t="s">
        <v>0</v>
      </c>
      <c r="C1" s="143">
        <v>31.0</v>
      </c>
      <c r="D1" s="5"/>
      <c r="E1" s="5"/>
      <c r="F1" s="5" t="s">
        <v>1</v>
      </c>
      <c r="G1" s="144">
        <v>31.0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>
      <c r="A2" s="5" t="s">
        <v>2</v>
      </c>
      <c r="B2" s="197">
        <v>45869.0</v>
      </c>
      <c r="C2" s="5"/>
      <c r="D2" s="5"/>
      <c r="E2" s="5"/>
      <c r="F2" s="5"/>
      <c r="G2" s="5"/>
      <c r="H2" s="5"/>
      <c r="I2" s="5"/>
      <c r="J2" s="5"/>
      <c r="K2" s="5"/>
      <c r="L2" s="5"/>
      <c r="M2" s="146" t="s">
        <v>3</v>
      </c>
      <c r="O2" s="147" t="s">
        <v>4</v>
      </c>
      <c r="Q2" s="148" t="s">
        <v>5</v>
      </c>
      <c r="S2" s="149" t="s">
        <v>6</v>
      </c>
      <c r="U2" s="5"/>
    </row>
    <row r="3">
      <c r="A3" s="5"/>
      <c r="B3" s="188" t="s">
        <v>18</v>
      </c>
      <c r="C3" s="17"/>
      <c r="D3" s="17"/>
      <c r="E3" s="17"/>
      <c r="F3" s="17"/>
      <c r="G3" s="17"/>
      <c r="H3" s="18"/>
      <c r="I3" s="5"/>
      <c r="J3" s="5"/>
      <c r="K3" s="5"/>
      <c r="L3" s="5"/>
      <c r="M3" s="51" t="s">
        <v>19</v>
      </c>
      <c r="N3" s="51" t="s">
        <v>20</v>
      </c>
      <c r="O3" s="51" t="s">
        <v>19</v>
      </c>
      <c r="P3" s="51" t="s">
        <v>20</v>
      </c>
      <c r="Q3" s="51" t="s">
        <v>19</v>
      </c>
      <c r="R3" s="51" t="s">
        <v>20</v>
      </c>
      <c r="S3" s="51" t="s">
        <v>19</v>
      </c>
      <c r="T3" s="51" t="s">
        <v>20</v>
      </c>
      <c r="U3" s="5"/>
    </row>
    <row r="4">
      <c r="A4" s="5"/>
      <c r="B4" s="173" t="s">
        <v>156</v>
      </c>
      <c r="C4" s="17"/>
      <c r="D4" s="153">
        <v>45869.0</v>
      </c>
      <c r="E4" s="5"/>
      <c r="F4" s="173" t="s">
        <v>157</v>
      </c>
      <c r="G4" s="17"/>
      <c r="H4" s="154">
        <f>$D$4</f>
        <v>45869</v>
      </c>
      <c r="I4" s="5"/>
      <c r="J4" s="155"/>
      <c r="K4" s="198">
        <v>45839.0</v>
      </c>
      <c r="L4" s="23">
        <f t="shared" ref="L4:L34" si="1">SUM(M4:T4)</f>
        <v>5210794</v>
      </c>
      <c r="M4" s="23">
        <v>512015.0</v>
      </c>
      <c r="N4" s="23">
        <v>1466647.0</v>
      </c>
      <c r="O4" s="23">
        <v>984541.0</v>
      </c>
      <c r="P4" s="23">
        <v>2162206.0</v>
      </c>
      <c r="Q4" s="23">
        <v>13271.0</v>
      </c>
      <c r="R4" s="23">
        <v>68083.0</v>
      </c>
      <c r="S4" s="23">
        <v>0.0</v>
      </c>
      <c r="T4" s="23">
        <v>4031.0</v>
      </c>
      <c r="U4" s="5"/>
    </row>
    <row r="5">
      <c r="A5" s="63">
        <f t="shared" ref="A5:A11" si="2">C5/$C$12</f>
        <v>0.8160908202</v>
      </c>
      <c r="B5" s="189" t="s">
        <v>151</v>
      </c>
      <c r="C5" s="199">
        <f>1743594+556265</f>
        <v>2299859</v>
      </c>
      <c r="D5" s="159"/>
      <c r="E5" s="5"/>
      <c r="F5" s="189" t="s">
        <v>151</v>
      </c>
      <c r="G5" s="199">
        <f>4373538+350736</f>
        <v>4724274</v>
      </c>
      <c r="H5" s="159"/>
      <c r="I5" s="63">
        <f t="shared" ref="I5:I11" si="3">G5/$G$12</f>
        <v>0.910881296</v>
      </c>
      <c r="J5" s="155"/>
      <c r="K5" s="198">
        <v>45840.0</v>
      </c>
      <c r="L5" s="23">
        <f t="shared" si="1"/>
        <v>5134218</v>
      </c>
      <c r="M5" s="23">
        <v>457645.0</v>
      </c>
      <c r="N5" s="23">
        <v>1515426.0</v>
      </c>
      <c r="O5" s="23">
        <v>927738.0</v>
      </c>
      <c r="P5" s="23">
        <v>2168225.0</v>
      </c>
      <c r="Q5" s="23">
        <v>13290.0</v>
      </c>
      <c r="R5" s="23">
        <v>40674.0</v>
      </c>
      <c r="S5" s="23">
        <v>1606.0</v>
      </c>
      <c r="T5" s="23">
        <v>9614.0</v>
      </c>
      <c r="U5" s="5"/>
    </row>
    <row r="6">
      <c r="A6" s="63">
        <f t="shared" si="2"/>
        <v>0.1577256071</v>
      </c>
      <c r="B6" s="162" t="s">
        <v>158</v>
      </c>
      <c r="C6" s="23">
        <v>444493.0</v>
      </c>
      <c r="D6" s="161"/>
      <c r="E6" s="5"/>
      <c r="F6" s="162" t="s">
        <v>158</v>
      </c>
      <c r="G6" s="23">
        <v>303440.0</v>
      </c>
      <c r="H6" s="161"/>
      <c r="I6" s="63">
        <f t="shared" si="3"/>
        <v>0.05850588269</v>
      </c>
      <c r="J6" s="155"/>
      <c r="K6" s="198">
        <v>45841.0</v>
      </c>
      <c r="L6" s="23">
        <f t="shared" si="1"/>
        <v>5462172</v>
      </c>
      <c r="M6" s="23">
        <v>452046.0</v>
      </c>
      <c r="N6" s="23">
        <v>1523174.0</v>
      </c>
      <c r="O6" s="23">
        <v>872972.0</v>
      </c>
      <c r="P6" s="23">
        <v>2449985.0</v>
      </c>
      <c r="Q6" s="23">
        <v>59341.0</v>
      </c>
      <c r="R6" s="23">
        <v>92260.0</v>
      </c>
      <c r="S6" s="23">
        <v>983.0</v>
      </c>
      <c r="T6" s="23">
        <v>11411.0</v>
      </c>
      <c r="U6" s="5"/>
    </row>
    <row r="7">
      <c r="A7" s="63">
        <f t="shared" si="2"/>
        <v>0.0004265223067</v>
      </c>
      <c r="B7" s="162" t="s">
        <v>30</v>
      </c>
      <c r="C7" s="23">
        <v>1202.0</v>
      </c>
      <c r="D7" s="161"/>
      <c r="E7" s="5"/>
      <c r="F7" s="162" t="s">
        <v>30</v>
      </c>
      <c r="G7" s="24"/>
      <c r="H7" s="161"/>
      <c r="I7" s="63">
        <f t="shared" si="3"/>
        <v>0</v>
      </c>
      <c r="J7" s="155"/>
      <c r="K7" s="198">
        <v>45842.0</v>
      </c>
      <c r="L7" s="23">
        <f t="shared" si="1"/>
        <v>5144531</v>
      </c>
      <c r="M7" s="23">
        <v>374133.0</v>
      </c>
      <c r="N7" s="23">
        <v>1462941.0</v>
      </c>
      <c r="O7" s="23">
        <v>813918.0</v>
      </c>
      <c r="P7" s="23">
        <v>2382773.0</v>
      </c>
      <c r="Q7" s="23">
        <v>46833.0</v>
      </c>
      <c r="R7" s="23">
        <v>56734.0</v>
      </c>
      <c r="S7" s="23">
        <v>576.0</v>
      </c>
      <c r="T7" s="23">
        <v>6623.0</v>
      </c>
      <c r="U7" s="5"/>
    </row>
    <row r="8">
      <c r="A8" s="63">
        <f t="shared" si="2"/>
        <v>0.001812187538</v>
      </c>
      <c r="B8" s="162" t="s">
        <v>65</v>
      </c>
      <c r="C8" s="23">
        <v>5107.0</v>
      </c>
      <c r="D8" s="163"/>
      <c r="E8" s="5"/>
      <c r="F8" s="162" t="s">
        <v>65</v>
      </c>
      <c r="G8" s="23">
        <v>23237.0</v>
      </c>
      <c r="H8" s="163"/>
      <c r="I8" s="63">
        <f t="shared" si="3"/>
        <v>0.004480296586</v>
      </c>
      <c r="J8" s="155"/>
      <c r="K8" s="198">
        <v>45843.0</v>
      </c>
      <c r="L8" s="23">
        <f t="shared" si="1"/>
        <v>4781927</v>
      </c>
      <c r="M8" s="23">
        <v>333863.0</v>
      </c>
      <c r="N8" s="23">
        <v>1341903.0</v>
      </c>
      <c r="O8" s="23">
        <v>788728.0</v>
      </c>
      <c r="P8" s="23">
        <v>2259015.0</v>
      </c>
      <c r="Q8" s="23">
        <v>14409.0</v>
      </c>
      <c r="R8" s="23">
        <v>33853.0</v>
      </c>
      <c r="S8" s="23">
        <v>625.0</v>
      </c>
      <c r="T8" s="23">
        <v>9531.0</v>
      </c>
      <c r="U8" s="5"/>
    </row>
    <row r="9">
      <c r="A9" s="63">
        <f t="shared" si="2"/>
        <v>0.01184468769</v>
      </c>
      <c r="B9" s="162" t="s">
        <v>33</v>
      </c>
      <c r="C9" s="23">
        <v>33380.0</v>
      </c>
      <c r="D9" s="161"/>
      <c r="E9" s="5"/>
      <c r="F9" s="162" t="s">
        <v>33</v>
      </c>
      <c r="G9" s="23">
        <v>110736.0</v>
      </c>
      <c r="H9" s="161"/>
      <c r="I9" s="63">
        <f t="shared" si="3"/>
        <v>0.02135086813</v>
      </c>
      <c r="J9" s="155"/>
      <c r="K9" s="198">
        <v>45844.0</v>
      </c>
      <c r="L9" s="23">
        <f t="shared" si="1"/>
        <v>5177986</v>
      </c>
      <c r="M9" s="23">
        <v>342252.0</v>
      </c>
      <c r="N9" s="23">
        <v>1332129.0</v>
      </c>
      <c r="O9" s="23">
        <v>874705.0</v>
      </c>
      <c r="P9" s="23">
        <v>2546332.0</v>
      </c>
      <c r="Q9" s="23">
        <v>16276.0</v>
      </c>
      <c r="R9" s="23">
        <v>53894.0</v>
      </c>
      <c r="S9" s="23">
        <v>0.0</v>
      </c>
      <c r="T9" s="23">
        <v>12398.0</v>
      </c>
      <c r="U9" s="5"/>
    </row>
    <row r="10">
      <c r="A10" s="63">
        <f t="shared" si="2"/>
        <v>0</v>
      </c>
      <c r="B10" s="162" t="s">
        <v>35</v>
      </c>
      <c r="C10" s="24"/>
      <c r="D10" s="161"/>
      <c r="E10" s="5"/>
      <c r="F10" s="162" t="s">
        <v>35</v>
      </c>
      <c r="G10" s="24"/>
      <c r="H10" s="161"/>
      <c r="I10" s="63">
        <f t="shared" si="3"/>
        <v>0</v>
      </c>
      <c r="J10" s="155"/>
      <c r="K10" s="198">
        <v>45845.0</v>
      </c>
      <c r="L10" s="23">
        <f t="shared" si="1"/>
        <v>5135428</v>
      </c>
      <c r="M10" s="23">
        <v>354363.0</v>
      </c>
      <c r="N10" s="23">
        <v>1397529.0</v>
      </c>
      <c r="O10" s="23">
        <v>912251.0</v>
      </c>
      <c r="P10" s="23">
        <v>2395179.0</v>
      </c>
      <c r="Q10" s="23">
        <v>22779.0</v>
      </c>
      <c r="R10" s="23">
        <v>45802.0</v>
      </c>
      <c r="S10" s="23">
        <v>1454.0</v>
      </c>
      <c r="T10" s="23">
        <v>6071.0</v>
      </c>
      <c r="U10" s="5"/>
    </row>
    <row r="11">
      <c r="A11" s="63">
        <f t="shared" si="2"/>
        <v>0.01210017526</v>
      </c>
      <c r="B11" s="162" t="s">
        <v>142</v>
      </c>
      <c r="C11" s="23">
        <v>34100.0</v>
      </c>
      <c r="D11" s="163"/>
      <c r="E11" s="5"/>
      <c r="F11" s="162" t="s">
        <v>142</v>
      </c>
      <c r="G11" s="23">
        <v>24800.0</v>
      </c>
      <c r="H11" s="161"/>
      <c r="I11" s="63">
        <f t="shared" si="3"/>
        <v>0.00478165664</v>
      </c>
      <c r="J11" s="155"/>
      <c r="K11" s="198">
        <v>45846.0</v>
      </c>
      <c r="L11" s="23">
        <f t="shared" si="1"/>
        <v>5226151</v>
      </c>
      <c r="M11" s="23">
        <v>389965.0</v>
      </c>
      <c r="N11" s="23">
        <v>1367637.0</v>
      </c>
      <c r="O11" s="23">
        <v>849730.0</v>
      </c>
      <c r="P11" s="23">
        <v>2544984.0</v>
      </c>
      <c r="Q11" s="23">
        <v>22812.0</v>
      </c>
      <c r="R11" s="23">
        <v>40396.0</v>
      </c>
      <c r="S11" s="23">
        <v>490.0</v>
      </c>
      <c r="T11" s="23">
        <v>10137.0</v>
      </c>
      <c r="U11" s="5"/>
    </row>
    <row r="12">
      <c r="A12" s="5"/>
      <c r="B12" s="162" t="s">
        <v>42</v>
      </c>
      <c r="C12" s="23">
        <f>SUM(C5:C11)</f>
        <v>2818141</v>
      </c>
      <c r="D12" s="161"/>
      <c r="E12" s="5"/>
      <c r="F12" s="162" t="s">
        <v>42</v>
      </c>
      <c r="G12" s="23">
        <f>SUM(G5:G11)</f>
        <v>5186487</v>
      </c>
      <c r="H12" s="161"/>
      <c r="I12" s="5"/>
      <c r="J12" s="155"/>
      <c r="K12" s="198">
        <v>45847.0</v>
      </c>
      <c r="L12" s="23">
        <f t="shared" si="1"/>
        <v>5640573</v>
      </c>
      <c r="M12" s="23">
        <v>502359.0</v>
      </c>
      <c r="N12" s="23">
        <v>1531857.0</v>
      </c>
      <c r="O12" s="23">
        <v>926699.0</v>
      </c>
      <c r="P12" s="23">
        <v>2586996.0</v>
      </c>
      <c r="Q12" s="23">
        <v>26178.0</v>
      </c>
      <c r="R12" s="23">
        <v>57601.0</v>
      </c>
      <c r="S12" s="23">
        <v>535.0</v>
      </c>
      <c r="T12" s="23">
        <v>8348.0</v>
      </c>
      <c r="U12" s="5"/>
    </row>
    <row r="13">
      <c r="A13" s="5"/>
      <c r="B13" s="162" t="s">
        <v>43</v>
      </c>
      <c r="C13" s="5"/>
      <c r="D13" s="165">
        <f>M35</f>
        <v>13508539</v>
      </c>
      <c r="E13" s="5"/>
      <c r="F13" s="162" t="s">
        <v>43</v>
      </c>
      <c r="G13" s="5"/>
      <c r="H13" s="165">
        <f>N35</f>
        <v>45640321</v>
      </c>
      <c r="I13" s="5"/>
      <c r="J13" s="155"/>
      <c r="K13" s="198">
        <v>45848.0</v>
      </c>
      <c r="L13" s="23">
        <f t="shared" si="1"/>
        <v>6137547</v>
      </c>
      <c r="M13" s="23">
        <v>482469.0</v>
      </c>
      <c r="N13" s="23">
        <v>1698743.0</v>
      </c>
      <c r="O13" s="23">
        <v>1053398.0</v>
      </c>
      <c r="P13" s="23">
        <v>2819801.0</v>
      </c>
      <c r="Q13" s="23">
        <v>31036.0</v>
      </c>
      <c r="R13" s="23">
        <v>41636.0</v>
      </c>
      <c r="S13" s="23">
        <v>625.0</v>
      </c>
      <c r="T13" s="23">
        <v>9839.0</v>
      </c>
      <c r="U13" s="5"/>
    </row>
    <row r="14">
      <c r="A14" s="5"/>
      <c r="B14" s="162" t="s">
        <v>44</v>
      </c>
      <c r="C14" s="55"/>
      <c r="D14" s="166">
        <f>C12/D13</f>
        <v>0.2086192297</v>
      </c>
      <c r="E14" s="24"/>
      <c r="F14" s="162" t="s">
        <v>44</v>
      </c>
      <c r="G14" s="55"/>
      <c r="H14" s="166">
        <f>G12/H13</f>
        <v>0.1136382674</v>
      </c>
      <c r="I14" s="5"/>
      <c r="J14" s="155"/>
      <c r="K14" s="198">
        <v>45849.0</v>
      </c>
      <c r="L14" s="23">
        <f t="shared" si="1"/>
        <v>5903402</v>
      </c>
      <c r="M14" s="23">
        <v>450513.0</v>
      </c>
      <c r="N14" s="23">
        <v>1636460.0</v>
      </c>
      <c r="O14" s="23">
        <v>981845.0</v>
      </c>
      <c r="P14" s="23">
        <v>2750079.0</v>
      </c>
      <c r="Q14" s="23">
        <v>21130.0</v>
      </c>
      <c r="R14" s="23">
        <v>52664.0</v>
      </c>
      <c r="S14" s="23">
        <v>522.0</v>
      </c>
      <c r="T14" s="23">
        <v>10189.0</v>
      </c>
      <c r="U14" s="5"/>
    </row>
    <row r="15">
      <c r="A15" s="63">
        <f>D14/C15</f>
        <v>1.097995946</v>
      </c>
      <c r="B15" s="162" t="s">
        <v>47</v>
      </c>
      <c r="C15" s="63">
        <v>0.19</v>
      </c>
      <c r="D15" s="165">
        <f>D13*C15</f>
        <v>2566622.41</v>
      </c>
      <c r="E15" s="5"/>
      <c r="F15" s="162" t="s">
        <v>47</v>
      </c>
      <c r="G15" s="63">
        <v>0.11</v>
      </c>
      <c r="H15" s="165">
        <f>H13*G15</f>
        <v>5020435.31</v>
      </c>
      <c r="I15" s="63">
        <f>H14/G15</f>
        <v>1.033075158</v>
      </c>
      <c r="J15" s="155"/>
      <c r="K15" s="198">
        <v>45850.0</v>
      </c>
      <c r="L15" s="23">
        <f t="shared" si="1"/>
        <v>5177651</v>
      </c>
      <c r="M15" s="23">
        <v>384984.0</v>
      </c>
      <c r="N15" s="23">
        <v>1414682.0</v>
      </c>
      <c r="O15" s="23">
        <v>874662.0</v>
      </c>
      <c r="P15" s="23">
        <v>2436916.0</v>
      </c>
      <c r="Q15" s="23">
        <v>16176.0</v>
      </c>
      <c r="R15" s="23">
        <v>38812.0</v>
      </c>
      <c r="S15" s="23">
        <v>0.0</v>
      </c>
      <c r="T15" s="23">
        <v>11419.0</v>
      </c>
      <c r="U15" s="5"/>
    </row>
    <row r="16">
      <c r="A16" s="5"/>
      <c r="B16" s="170" t="s">
        <v>50</v>
      </c>
      <c r="C16" s="168"/>
      <c r="D16" s="169">
        <f>C12-D15</f>
        <v>251518.59</v>
      </c>
      <c r="E16" s="24"/>
      <c r="F16" s="170" t="s">
        <v>50</v>
      </c>
      <c r="G16" s="168"/>
      <c r="H16" s="169">
        <f>G12-H15</f>
        <v>166051.69</v>
      </c>
      <c r="I16" s="5"/>
      <c r="J16" s="155"/>
      <c r="K16" s="198">
        <v>45851.0</v>
      </c>
      <c r="L16" s="23">
        <f t="shared" si="1"/>
        <v>5513394</v>
      </c>
      <c r="M16" s="23">
        <v>401547.0</v>
      </c>
      <c r="N16" s="23">
        <v>1458063.0</v>
      </c>
      <c r="O16" s="23">
        <v>973421.0</v>
      </c>
      <c r="P16" s="23">
        <v>2599555.0</v>
      </c>
      <c r="Q16" s="23">
        <v>26738.0</v>
      </c>
      <c r="R16" s="23">
        <v>40115.0</v>
      </c>
      <c r="S16" s="23">
        <v>688.0</v>
      </c>
      <c r="T16" s="23">
        <v>13267.0</v>
      </c>
      <c r="U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155"/>
      <c r="K17" s="198">
        <v>45852.0</v>
      </c>
      <c r="L17" s="23">
        <f t="shared" si="1"/>
        <v>5732758</v>
      </c>
      <c r="M17" s="23">
        <v>454870.0</v>
      </c>
      <c r="N17" s="23">
        <v>1432748.0</v>
      </c>
      <c r="O17" s="23">
        <v>1017131.0</v>
      </c>
      <c r="P17" s="23">
        <v>2749067.0</v>
      </c>
      <c r="Q17" s="23">
        <v>20866.0</v>
      </c>
      <c r="R17" s="23">
        <v>48299.0</v>
      </c>
      <c r="S17" s="23">
        <v>0.0</v>
      </c>
      <c r="T17" s="23">
        <v>9777.0</v>
      </c>
      <c r="U17" s="5"/>
    </row>
    <row r="18">
      <c r="A18" s="5"/>
      <c r="B18" s="24" t="s">
        <v>51</v>
      </c>
      <c r="C18" s="24"/>
      <c r="D18" s="25">
        <f>M42</f>
        <v>11388233</v>
      </c>
      <c r="E18" s="5"/>
      <c r="F18" s="24" t="s">
        <v>51</v>
      </c>
      <c r="G18" s="24"/>
      <c r="H18" s="25">
        <f>N42</f>
        <v>35486499</v>
      </c>
      <c r="I18" s="5"/>
      <c r="J18" s="5"/>
      <c r="K18" s="198">
        <v>45853.0</v>
      </c>
      <c r="L18" s="23">
        <f t="shared" si="1"/>
        <v>6067515</v>
      </c>
      <c r="M18" s="23">
        <v>540202.0</v>
      </c>
      <c r="N18" s="23">
        <v>1485898.0</v>
      </c>
      <c r="O18" s="23">
        <v>1033762.0</v>
      </c>
      <c r="P18" s="23">
        <v>2911233.0</v>
      </c>
      <c r="Q18" s="23">
        <v>28205.0</v>
      </c>
      <c r="R18" s="23">
        <v>52315.0</v>
      </c>
      <c r="S18" s="23">
        <v>531.0</v>
      </c>
      <c r="T18" s="23">
        <v>15369.0</v>
      </c>
      <c r="U18" s="5"/>
    </row>
    <row r="19">
      <c r="A19" s="5"/>
      <c r="B19" s="5" t="s">
        <v>52</v>
      </c>
      <c r="C19" s="5"/>
      <c r="D19" s="23">
        <f>D13/$C$1</f>
        <v>435759.3226</v>
      </c>
      <c r="E19" s="55"/>
      <c r="F19" s="5" t="s">
        <v>52</v>
      </c>
      <c r="G19" s="5"/>
      <c r="H19" s="23">
        <f>H13/$C$1</f>
        <v>1472268.419</v>
      </c>
      <c r="I19" s="24"/>
      <c r="J19" s="24"/>
      <c r="K19" s="198">
        <v>45854.0</v>
      </c>
      <c r="L19" s="23">
        <f t="shared" si="1"/>
        <v>6045422</v>
      </c>
      <c r="M19" s="23">
        <v>559385.0</v>
      </c>
      <c r="N19" s="23">
        <v>1480961.0</v>
      </c>
      <c r="O19" s="23">
        <v>889808.0</v>
      </c>
      <c r="P19" s="23">
        <v>3048227.0</v>
      </c>
      <c r="Q19" s="23">
        <v>14820.0</v>
      </c>
      <c r="R19" s="23">
        <v>39557.0</v>
      </c>
      <c r="S19" s="23">
        <v>369.0</v>
      </c>
      <c r="T19" s="23">
        <v>12295.0</v>
      </c>
      <c r="U19" s="5"/>
    </row>
    <row r="20">
      <c r="A20" s="5"/>
      <c r="B20" s="5" t="s">
        <v>53</v>
      </c>
      <c r="C20" s="5"/>
      <c r="D20" s="23">
        <f>D18/$G$1*$C$1</f>
        <v>11388233</v>
      </c>
      <c r="E20" s="5"/>
      <c r="F20" s="5" t="s">
        <v>53</v>
      </c>
      <c r="G20" s="5"/>
      <c r="H20" s="23">
        <f>H18/$G$1*$C$1</f>
        <v>35486499</v>
      </c>
      <c r="I20" s="5"/>
      <c r="J20" s="24"/>
      <c r="K20" s="198">
        <v>45855.0</v>
      </c>
      <c r="L20" s="23">
        <f t="shared" si="1"/>
        <v>6109780</v>
      </c>
      <c r="M20" s="23">
        <v>445093.0</v>
      </c>
      <c r="N20" s="23">
        <v>1519679.0</v>
      </c>
      <c r="O20" s="23">
        <v>919451.0</v>
      </c>
      <c r="P20" s="23">
        <v>3138276.0</v>
      </c>
      <c r="Q20" s="23">
        <v>20115.0</v>
      </c>
      <c r="R20" s="23">
        <v>52810.0</v>
      </c>
      <c r="S20" s="23">
        <v>0.0</v>
      </c>
      <c r="T20" s="23">
        <v>14356.0</v>
      </c>
      <c r="U20" s="5"/>
    </row>
    <row r="21">
      <c r="A21" s="5"/>
      <c r="B21" s="5" t="s">
        <v>54</v>
      </c>
      <c r="C21" s="5"/>
      <c r="D21" s="23" t="str">
        <f>(D18-D13)/($G$1-$C$1)</f>
        <v>#DIV/0!</v>
      </c>
      <c r="E21" s="5"/>
      <c r="F21" s="5" t="s">
        <v>54</v>
      </c>
      <c r="G21" s="5"/>
      <c r="H21" s="23" t="str">
        <f>(H18-H13)/($G$1-$C$1)</f>
        <v>#DIV/0!</v>
      </c>
      <c r="I21" s="5"/>
      <c r="J21" s="24"/>
      <c r="K21" s="198">
        <v>45856.0</v>
      </c>
      <c r="L21" s="23">
        <f t="shared" si="1"/>
        <v>5986790</v>
      </c>
      <c r="M21" s="23">
        <v>408170.0</v>
      </c>
      <c r="N21" s="23">
        <v>1519342.0</v>
      </c>
      <c r="O21" s="23">
        <v>793265.0</v>
      </c>
      <c r="P21" s="23">
        <v>3167670.0</v>
      </c>
      <c r="Q21" s="23">
        <v>21240.0</v>
      </c>
      <c r="R21" s="23">
        <v>65127.0</v>
      </c>
      <c r="S21" s="23">
        <v>418.0</v>
      </c>
      <c r="T21" s="23">
        <v>11558.0</v>
      </c>
      <c r="U21" s="5"/>
    </row>
    <row r="22">
      <c r="A22" s="5"/>
      <c r="B22" s="5" t="s">
        <v>55</v>
      </c>
      <c r="C22" s="5"/>
      <c r="D22" s="23">
        <f>D13-D20</f>
        <v>2120306</v>
      </c>
      <c r="E22" s="5"/>
      <c r="F22" s="5" t="s">
        <v>55</v>
      </c>
      <c r="G22" s="5"/>
      <c r="H22" s="23">
        <f>H13-H20</f>
        <v>10153822</v>
      </c>
      <c r="I22" s="5"/>
      <c r="J22" s="155"/>
      <c r="K22" s="198">
        <v>45857.0</v>
      </c>
      <c r="L22" s="23">
        <f t="shared" si="1"/>
        <v>5681962</v>
      </c>
      <c r="M22" s="23">
        <v>353267.0</v>
      </c>
      <c r="N22" s="23">
        <v>1427207.0</v>
      </c>
      <c r="O22" s="23">
        <v>688333.0</v>
      </c>
      <c r="P22" s="23">
        <v>3135857.0</v>
      </c>
      <c r="Q22" s="23">
        <v>24260.0</v>
      </c>
      <c r="R22" s="23">
        <v>45779.0</v>
      </c>
      <c r="S22" s="23">
        <v>626.0</v>
      </c>
      <c r="T22" s="23">
        <v>6633.0</v>
      </c>
      <c r="U22" s="5"/>
    </row>
    <row r="23">
      <c r="A23" s="5"/>
      <c r="B23" s="5" t="s">
        <v>56</v>
      </c>
      <c r="C23" s="5"/>
      <c r="D23" s="23">
        <f>D13/$C$1*$G$1</f>
        <v>13508539</v>
      </c>
      <c r="E23" s="55"/>
      <c r="F23" s="5" t="s">
        <v>56</v>
      </c>
      <c r="G23" s="5"/>
      <c r="H23" s="23">
        <f>H13/$C$1*$G$1</f>
        <v>45640321</v>
      </c>
      <c r="I23" s="5"/>
      <c r="J23" s="24"/>
      <c r="K23" s="198">
        <v>45858.0</v>
      </c>
      <c r="L23" s="23">
        <f t="shared" si="1"/>
        <v>6040391</v>
      </c>
      <c r="M23" s="23">
        <v>441562.0</v>
      </c>
      <c r="N23" s="23">
        <v>1403502.0</v>
      </c>
      <c r="O23" s="23">
        <v>672065.0</v>
      </c>
      <c r="P23" s="23">
        <v>3434671.0</v>
      </c>
      <c r="Q23" s="23">
        <v>23376.0</v>
      </c>
      <c r="R23" s="23">
        <v>55467.0</v>
      </c>
      <c r="S23" s="23">
        <v>1204.0</v>
      </c>
      <c r="T23" s="23">
        <v>8544.0</v>
      </c>
      <c r="U23" s="5"/>
    </row>
    <row r="24">
      <c r="A24" s="5"/>
      <c r="B24" s="171" t="s">
        <v>57</v>
      </c>
      <c r="C24" s="171"/>
      <c r="D24" s="69">
        <f>D23/D18</f>
        <v>1.186183932</v>
      </c>
      <c r="E24" s="5"/>
      <c r="F24" s="171" t="s">
        <v>57</v>
      </c>
      <c r="G24" s="171"/>
      <c r="H24" s="69">
        <f>H23/H18</f>
        <v>1.286131974</v>
      </c>
      <c r="I24" s="5"/>
      <c r="J24" s="155"/>
      <c r="K24" s="198">
        <v>45859.0</v>
      </c>
      <c r="L24" s="23">
        <f t="shared" si="1"/>
        <v>6073796</v>
      </c>
      <c r="M24" s="23">
        <v>540548.0</v>
      </c>
      <c r="N24" s="23">
        <v>1423559.0</v>
      </c>
      <c r="O24" s="23">
        <v>804799.0</v>
      </c>
      <c r="P24" s="23">
        <v>3222130.0</v>
      </c>
      <c r="Q24" s="23">
        <v>27489.0</v>
      </c>
      <c r="R24" s="23">
        <v>52667.0</v>
      </c>
      <c r="S24" s="23">
        <v>0.0</v>
      </c>
      <c r="T24" s="23">
        <v>2604.0</v>
      </c>
      <c r="U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5"/>
      <c r="K25" s="198">
        <v>45860.0</v>
      </c>
      <c r="L25" s="23">
        <f t="shared" si="1"/>
        <v>6467427</v>
      </c>
      <c r="M25" s="23">
        <v>484405.0</v>
      </c>
      <c r="N25" s="23">
        <v>1585096.0</v>
      </c>
      <c r="O25" s="23">
        <v>799902.0</v>
      </c>
      <c r="P25" s="23">
        <v>3495754.0</v>
      </c>
      <c r="Q25" s="23">
        <v>24655.0</v>
      </c>
      <c r="R25" s="23">
        <v>69672.0</v>
      </c>
      <c r="S25" s="23">
        <v>1063.0</v>
      </c>
      <c r="T25" s="23">
        <v>6880.0</v>
      </c>
      <c r="U25" s="5"/>
    </row>
    <row r="26">
      <c r="A26" s="5"/>
      <c r="B26" s="188" t="s">
        <v>115</v>
      </c>
      <c r="C26" s="17"/>
      <c r="D26" s="17"/>
      <c r="E26" s="17"/>
      <c r="F26" s="17"/>
      <c r="G26" s="17"/>
      <c r="H26" s="18"/>
      <c r="I26" s="5"/>
      <c r="J26" s="155"/>
      <c r="K26" s="198">
        <v>45861.0</v>
      </c>
      <c r="L26" s="23">
        <f t="shared" si="1"/>
        <v>6276416</v>
      </c>
      <c r="M26" s="23">
        <v>452262.0</v>
      </c>
      <c r="N26" s="23">
        <v>1557283.0</v>
      </c>
      <c r="O26" s="23">
        <v>844548.0</v>
      </c>
      <c r="P26" s="23">
        <v>3332818.0</v>
      </c>
      <c r="Q26" s="23">
        <v>15418.0</v>
      </c>
      <c r="R26" s="23">
        <v>68244.0</v>
      </c>
      <c r="S26" s="23">
        <v>2657.0</v>
      </c>
      <c r="T26" s="23">
        <v>3186.0</v>
      </c>
      <c r="U26" s="5"/>
    </row>
    <row r="27">
      <c r="A27" s="5"/>
      <c r="B27" s="173" t="str">
        <f>B4</f>
        <v>Биг–Л / Июль | до </v>
      </c>
      <c r="C27" s="17"/>
      <c r="D27" s="154">
        <f>$D$4</f>
        <v>45869</v>
      </c>
      <c r="E27" s="5"/>
      <c r="F27" s="173" t="str">
        <f>F4</f>
        <v>Смарт / Июль | до </v>
      </c>
      <c r="G27" s="17"/>
      <c r="H27" s="154">
        <f>$D$4</f>
        <v>45869</v>
      </c>
      <c r="I27" s="5"/>
      <c r="J27" s="155"/>
      <c r="K27" s="198">
        <v>45862.0</v>
      </c>
      <c r="L27" s="23">
        <f t="shared" si="1"/>
        <v>6301615</v>
      </c>
      <c r="M27" s="23">
        <v>493810.0</v>
      </c>
      <c r="N27" s="23">
        <v>1540763.0</v>
      </c>
      <c r="O27" s="23">
        <v>744025.0</v>
      </c>
      <c r="P27" s="23">
        <v>3447127.0</v>
      </c>
      <c r="Q27" s="23">
        <v>14366.0</v>
      </c>
      <c r="R27" s="23">
        <v>56792.0</v>
      </c>
      <c r="S27" s="23">
        <v>687.0</v>
      </c>
      <c r="T27" s="23">
        <v>4045.0</v>
      </c>
      <c r="U27" s="5"/>
    </row>
    <row r="28">
      <c r="A28" s="63">
        <f t="shared" ref="A28:A29" si="4">C28/$C$30</f>
        <v>0.9354026413</v>
      </c>
      <c r="B28" s="162" t="s">
        <v>59</v>
      </c>
      <c r="C28" s="23">
        <v>2157341.0</v>
      </c>
      <c r="D28" s="174"/>
      <c r="E28" s="5"/>
      <c r="F28" s="162" t="s">
        <v>59</v>
      </c>
      <c r="G28" s="23">
        <v>6805368.0</v>
      </c>
      <c r="H28" s="174"/>
      <c r="I28" s="63">
        <f t="shared" ref="I28:I29" si="5">G28/$G$30</f>
        <v>0.9784372994</v>
      </c>
      <c r="J28" s="23">
        <f>G28</f>
        <v>6805368</v>
      </c>
      <c r="K28" s="198">
        <v>45863.0</v>
      </c>
      <c r="L28" s="23">
        <f t="shared" si="1"/>
        <v>6156813</v>
      </c>
      <c r="M28" s="23">
        <v>399561.0</v>
      </c>
      <c r="N28" s="23">
        <v>1609921.0</v>
      </c>
      <c r="O28" s="23">
        <v>692723.0</v>
      </c>
      <c r="P28" s="23">
        <v>3341763.0</v>
      </c>
      <c r="Q28" s="23">
        <v>19679.0</v>
      </c>
      <c r="R28" s="23">
        <v>80799.0</v>
      </c>
      <c r="S28" s="23">
        <v>935.0</v>
      </c>
      <c r="T28" s="23">
        <v>11432.0</v>
      </c>
      <c r="U28" s="5"/>
    </row>
    <row r="29">
      <c r="A29" s="63">
        <f t="shared" si="4"/>
        <v>0.06459735872</v>
      </c>
      <c r="B29" s="160" t="s">
        <v>65</v>
      </c>
      <c r="C29" s="23">
        <f>57.6+345.6+1123.2+316.8+201.6+864+2520+302.4+4032+1512+345.6+3888+3600+5328+3384+9720+1440+403.2+1497.6+4968+4104+5400+10800+1843.2+4248+3513.6+3600+2304+12600+4896+5040+576+1008+2304+2880+2880+3024+1152+10368+2880+3312+4464+144+9792</f>
        <v>148982.4</v>
      </c>
      <c r="D29" s="161"/>
      <c r="E29" s="5"/>
      <c r="F29" s="160" t="s">
        <v>65</v>
      </c>
      <c r="G29" s="23">
        <f>979.2+29520+23515.2+432+72144+14313.6+9072</f>
        <v>149976</v>
      </c>
      <c r="H29" s="174"/>
      <c r="I29" s="63">
        <f t="shared" si="5"/>
        <v>0.02156270057</v>
      </c>
      <c r="J29" s="23">
        <v>1033407.0</v>
      </c>
      <c r="K29" s="198">
        <v>45864.0</v>
      </c>
      <c r="L29" s="23">
        <f t="shared" si="1"/>
        <v>5636000</v>
      </c>
      <c r="M29" s="23">
        <v>331290.0</v>
      </c>
      <c r="N29" s="23">
        <v>1366066.0</v>
      </c>
      <c r="O29" s="23">
        <v>718002.0</v>
      </c>
      <c r="P29" s="23">
        <v>3138822.0</v>
      </c>
      <c r="Q29" s="23">
        <v>15472.0</v>
      </c>
      <c r="R29" s="23">
        <v>61802.0</v>
      </c>
      <c r="S29" s="23">
        <v>0.0</v>
      </c>
      <c r="T29" s="23">
        <v>4546.0</v>
      </c>
      <c r="U29" s="5"/>
    </row>
    <row r="30">
      <c r="A30" s="5"/>
      <c r="B30" s="162" t="s">
        <v>42</v>
      </c>
      <c r="C30" s="23">
        <f>SUM(C28:C29)</f>
        <v>2306323.4</v>
      </c>
      <c r="D30" s="161"/>
      <c r="E30" s="5"/>
      <c r="F30" s="162" t="s">
        <v>42</v>
      </c>
      <c r="G30" s="23">
        <f>SUM(G28:G29)</f>
        <v>6955344</v>
      </c>
      <c r="H30" s="161"/>
      <c r="I30" s="5"/>
      <c r="J30" s="155"/>
      <c r="K30" s="198">
        <v>45865.0</v>
      </c>
      <c r="L30" s="23">
        <f t="shared" si="1"/>
        <v>6227887</v>
      </c>
      <c r="M30" s="23">
        <v>472068.0</v>
      </c>
      <c r="N30" s="23">
        <v>1453153.0</v>
      </c>
      <c r="O30" s="23">
        <v>791076.0</v>
      </c>
      <c r="P30" s="23">
        <v>3416364.0</v>
      </c>
      <c r="Q30" s="23">
        <v>23731.0</v>
      </c>
      <c r="R30" s="23">
        <v>61856.0</v>
      </c>
      <c r="S30" s="23">
        <v>4352.0</v>
      </c>
      <c r="T30" s="23">
        <v>5287.0</v>
      </c>
      <c r="U30" s="5"/>
    </row>
    <row r="31">
      <c r="A31" s="5"/>
      <c r="B31" s="162" t="s">
        <v>43</v>
      </c>
      <c r="C31" s="5"/>
      <c r="D31" s="165">
        <f>O35</f>
        <v>26708869</v>
      </c>
      <c r="E31" s="5"/>
      <c r="F31" s="162" t="s">
        <v>43</v>
      </c>
      <c r="G31" s="5"/>
      <c r="H31" s="165">
        <f>P35</f>
        <v>91540803</v>
      </c>
      <c r="I31" s="5"/>
      <c r="J31" s="155"/>
      <c r="K31" s="198">
        <v>45866.0</v>
      </c>
      <c r="L31" s="23">
        <f t="shared" si="1"/>
        <v>6529015</v>
      </c>
      <c r="M31" s="23">
        <v>483486.0</v>
      </c>
      <c r="N31" s="23">
        <v>1539218.0</v>
      </c>
      <c r="O31" s="23">
        <v>881745.0</v>
      </c>
      <c r="P31" s="23">
        <v>3483406.0</v>
      </c>
      <c r="Q31" s="23">
        <v>46302.0</v>
      </c>
      <c r="R31" s="23">
        <v>82072.0</v>
      </c>
      <c r="S31" s="23">
        <v>5517.0</v>
      </c>
      <c r="T31" s="23">
        <v>7269.0</v>
      </c>
      <c r="U31" s="5"/>
    </row>
    <row r="32">
      <c r="A32" s="5"/>
      <c r="B32" s="162" t="s">
        <v>44</v>
      </c>
      <c r="C32" s="5"/>
      <c r="D32" s="166">
        <f>C30/D31</f>
        <v>0.08635047033</v>
      </c>
      <c r="E32" s="5"/>
      <c r="F32" s="162" t="s">
        <v>44</v>
      </c>
      <c r="G32" s="5"/>
      <c r="H32" s="166">
        <f>G30/H31</f>
        <v>0.07598080607</v>
      </c>
      <c r="I32" s="5"/>
      <c r="J32" s="155"/>
      <c r="K32" s="198">
        <v>45867.0</v>
      </c>
      <c r="L32" s="23">
        <f t="shared" si="1"/>
        <v>6429176</v>
      </c>
      <c r="M32" s="23">
        <v>446595.0</v>
      </c>
      <c r="N32" s="23">
        <v>1445508.0</v>
      </c>
      <c r="O32" s="23">
        <v>909145.0</v>
      </c>
      <c r="P32" s="23">
        <v>3526075.0</v>
      </c>
      <c r="Q32" s="23">
        <v>21830.0</v>
      </c>
      <c r="R32" s="23">
        <v>74351.0</v>
      </c>
      <c r="S32" s="23">
        <v>522.0</v>
      </c>
      <c r="T32" s="23">
        <v>5150.0</v>
      </c>
      <c r="U32" s="5"/>
    </row>
    <row r="33">
      <c r="A33" s="63">
        <f>D32/C33</f>
        <v>0.8635047033</v>
      </c>
      <c r="B33" s="162" t="s">
        <v>47</v>
      </c>
      <c r="C33" s="63">
        <v>0.1</v>
      </c>
      <c r="D33" s="165">
        <f>D31*C33</f>
        <v>2670886.9</v>
      </c>
      <c r="E33" s="5"/>
      <c r="F33" s="162" t="s">
        <v>47</v>
      </c>
      <c r="G33" s="63">
        <v>0.09</v>
      </c>
      <c r="H33" s="165">
        <f>H31*G33</f>
        <v>8238672.27</v>
      </c>
      <c r="I33" s="63">
        <f>H32/G33</f>
        <v>0.8442311785</v>
      </c>
      <c r="J33" s="155"/>
      <c r="K33" s="198">
        <v>45868.0</v>
      </c>
      <c r="L33" s="23">
        <f t="shared" si="1"/>
        <v>6423869</v>
      </c>
      <c r="M33" s="23">
        <v>410568.0</v>
      </c>
      <c r="N33" s="23">
        <v>1468512.0</v>
      </c>
      <c r="O33" s="23">
        <v>753954.0</v>
      </c>
      <c r="P33" s="23">
        <v>3696698.0</v>
      </c>
      <c r="Q33" s="23">
        <v>39457.0</v>
      </c>
      <c r="R33" s="23">
        <v>48433.0</v>
      </c>
      <c r="S33" s="23">
        <v>0.0</v>
      </c>
      <c r="T33" s="23">
        <v>6247.0</v>
      </c>
      <c r="U33" s="5"/>
    </row>
    <row r="34">
      <c r="A34" s="5"/>
      <c r="B34" s="170" t="s">
        <v>50</v>
      </c>
      <c r="C34" s="168"/>
      <c r="D34" s="169">
        <f>C30-D33</f>
        <v>-364563.5</v>
      </c>
      <c r="E34" s="5"/>
      <c r="F34" s="170" t="s">
        <v>50</v>
      </c>
      <c r="G34" s="168"/>
      <c r="H34" s="169">
        <f>G30-H33</f>
        <v>-1283328.27</v>
      </c>
      <c r="I34" s="5"/>
      <c r="J34" s="155"/>
      <c r="K34" s="198">
        <v>45869.0</v>
      </c>
      <c r="L34" s="23">
        <f t="shared" si="1"/>
        <v>6367623</v>
      </c>
      <c r="M34" s="23">
        <v>353243.0</v>
      </c>
      <c r="N34" s="23">
        <v>1234714.0</v>
      </c>
      <c r="O34" s="23">
        <v>920527.0</v>
      </c>
      <c r="P34" s="23">
        <v>3752799.0</v>
      </c>
      <c r="Q34" s="23">
        <v>26230.0</v>
      </c>
      <c r="R34" s="23">
        <v>70269.0</v>
      </c>
      <c r="S34" s="23">
        <v>0.0</v>
      </c>
      <c r="T34" s="23">
        <v>9841.0</v>
      </c>
      <c r="U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155"/>
      <c r="K35" s="52">
        <f>L35/C1</f>
        <v>5812904.161</v>
      </c>
      <c r="L35" s="103">
        <f t="shared" ref="L35:T35" si="6">SUM(L4:L34)</f>
        <v>180200029</v>
      </c>
      <c r="M35" s="23">
        <f t="shared" si="6"/>
        <v>13508539</v>
      </c>
      <c r="N35" s="23">
        <f t="shared" si="6"/>
        <v>45640321</v>
      </c>
      <c r="O35" s="23">
        <f t="shared" si="6"/>
        <v>26708869</v>
      </c>
      <c r="P35" s="23">
        <f t="shared" si="6"/>
        <v>91540803</v>
      </c>
      <c r="Q35" s="23">
        <f t="shared" si="6"/>
        <v>757780</v>
      </c>
      <c r="R35" s="23">
        <f t="shared" si="6"/>
        <v>1748835</v>
      </c>
      <c r="S35" s="23">
        <f t="shared" si="6"/>
        <v>26985</v>
      </c>
      <c r="T35" s="23">
        <f t="shared" si="6"/>
        <v>267897</v>
      </c>
      <c r="U35" s="5"/>
    </row>
    <row r="36">
      <c r="A36" s="5"/>
      <c r="B36" s="24" t="s">
        <v>51</v>
      </c>
      <c r="C36" s="24"/>
      <c r="D36" s="25">
        <f>O42</f>
        <v>21980916</v>
      </c>
      <c r="E36" s="5"/>
      <c r="F36" s="24" t="s">
        <v>51</v>
      </c>
      <c r="G36" s="24"/>
      <c r="H36" s="25">
        <f>P42</f>
        <v>63809136</v>
      </c>
      <c r="I36" s="5"/>
      <c r="J36" s="5"/>
      <c r="K36" s="5"/>
      <c r="L36" s="5"/>
      <c r="M36" s="63">
        <f t="shared" ref="M36:T36" si="7">M35/$L$35</f>
        <v>0.07496413333</v>
      </c>
      <c r="N36" s="63">
        <f t="shared" si="7"/>
        <v>0.2532758804</v>
      </c>
      <c r="O36" s="63">
        <f t="shared" si="7"/>
        <v>0.1482178951</v>
      </c>
      <c r="P36" s="63">
        <f t="shared" si="7"/>
        <v>0.5079954954</v>
      </c>
      <c r="Q36" s="63">
        <f t="shared" si="7"/>
        <v>0.004205215749</v>
      </c>
      <c r="R36" s="63">
        <f t="shared" si="7"/>
        <v>0.009704965142</v>
      </c>
      <c r="S36" s="63">
        <f t="shared" si="7"/>
        <v>0.0001497502534</v>
      </c>
      <c r="T36" s="63">
        <f t="shared" si="7"/>
        <v>0.001486664578</v>
      </c>
      <c r="U36" s="5"/>
    </row>
    <row r="37">
      <c r="A37" s="5"/>
      <c r="B37" s="5" t="s">
        <v>52</v>
      </c>
      <c r="C37" s="5"/>
      <c r="D37" s="23">
        <f>D31/$C$1</f>
        <v>861576.4194</v>
      </c>
      <c r="E37" s="5"/>
      <c r="F37" s="5" t="s">
        <v>52</v>
      </c>
      <c r="G37" s="5"/>
      <c r="H37" s="23">
        <f>H31/$C$1</f>
        <v>2952929.129</v>
      </c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</row>
    <row r="38">
      <c r="A38" s="5"/>
      <c r="B38" s="5" t="s">
        <v>53</v>
      </c>
      <c r="C38" s="5"/>
      <c r="D38" s="23">
        <f>D36/$G$1*$C$1</f>
        <v>21980916</v>
      </c>
      <c r="E38" s="5"/>
      <c r="F38" s="5" t="s">
        <v>53</v>
      </c>
      <c r="G38" s="5"/>
      <c r="H38" s="23">
        <f>H36/$G$1*$C$1</f>
        <v>63809136</v>
      </c>
      <c r="I38" s="5"/>
      <c r="J38" s="5"/>
      <c r="K38" s="171" t="s">
        <v>66</v>
      </c>
      <c r="M38" s="175">
        <f>SUM(M39:N39)</f>
        <v>0.3282400138</v>
      </c>
      <c r="N38" s="79"/>
      <c r="O38" s="175">
        <f>SUM(O39:P39)</f>
        <v>0.6562133905</v>
      </c>
      <c r="P38" s="79"/>
      <c r="Q38" s="175">
        <f>SUM(Q39:R39)</f>
        <v>0.01391018089</v>
      </c>
      <c r="R38" s="79"/>
      <c r="S38" s="175">
        <f>SUM(S39:T39)</f>
        <v>0.001636414831</v>
      </c>
      <c r="T38" s="79"/>
      <c r="U38" s="5"/>
    </row>
    <row r="39">
      <c r="A39" s="5"/>
      <c r="B39" s="5" t="s">
        <v>54</v>
      </c>
      <c r="C39" s="5"/>
      <c r="D39" s="23" t="str">
        <f>(D36-D31)/($G$1-$C$1)</f>
        <v>#DIV/0!</v>
      </c>
      <c r="E39" s="5"/>
      <c r="F39" s="5" t="s">
        <v>54</v>
      </c>
      <c r="G39" s="5"/>
      <c r="H39" s="23" t="str">
        <f>(H36-H31)/($G$1-$C$1)</f>
        <v>#DIV/0!</v>
      </c>
      <c r="I39" s="5"/>
      <c r="J39" s="5"/>
      <c r="K39" s="5" t="s">
        <v>67</v>
      </c>
      <c r="L39" s="63">
        <f t="shared" ref="L39:T39" si="8">L40/$L$40</f>
        <v>1</v>
      </c>
      <c r="M39" s="176">
        <f t="shared" si="8"/>
        <v>0.07496413333</v>
      </c>
      <c r="N39" s="177">
        <f t="shared" si="8"/>
        <v>0.2532758804</v>
      </c>
      <c r="O39" s="176">
        <f t="shared" si="8"/>
        <v>0.1482178951</v>
      </c>
      <c r="P39" s="177">
        <f t="shared" si="8"/>
        <v>0.5079954954</v>
      </c>
      <c r="Q39" s="176">
        <f t="shared" si="8"/>
        <v>0.004205215749</v>
      </c>
      <c r="R39" s="177">
        <f t="shared" si="8"/>
        <v>0.009704965142</v>
      </c>
      <c r="S39" s="176">
        <f t="shared" si="8"/>
        <v>0.0001497502534</v>
      </c>
      <c r="T39" s="177">
        <f t="shared" si="8"/>
        <v>0.001486664578</v>
      </c>
      <c r="U39" s="5"/>
    </row>
    <row r="40">
      <c r="A40" s="5"/>
      <c r="B40" s="5" t="s">
        <v>55</v>
      </c>
      <c r="C40" s="5"/>
      <c r="D40" s="23">
        <f>D31-D38</f>
        <v>4727953</v>
      </c>
      <c r="E40" s="5"/>
      <c r="F40" s="5" t="s">
        <v>55</v>
      </c>
      <c r="G40" s="5"/>
      <c r="H40" s="23">
        <f>H31-H38</f>
        <v>27731667</v>
      </c>
      <c r="I40" s="5"/>
      <c r="J40" s="5"/>
      <c r="K40" s="5" t="s">
        <v>68</v>
      </c>
      <c r="L40" s="103">
        <f t="shared" ref="L40:T40" si="9">L35/$C$1*$G$1</f>
        <v>180200029</v>
      </c>
      <c r="M40" s="23">
        <f t="shared" si="9"/>
        <v>13508539</v>
      </c>
      <c r="N40" s="23">
        <f t="shared" si="9"/>
        <v>45640321</v>
      </c>
      <c r="O40" s="23">
        <f t="shared" si="9"/>
        <v>26708869</v>
      </c>
      <c r="P40" s="23">
        <f t="shared" si="9"/>
        <v>91540803</v>
      </c>
      <c r="Q40" s="23">
        <f t="shared" si="9"/>
        <v>757780</v>
      </c>
      <c r="R40" s="23">
        <f t="shared" si="9"/>
        <v>1748835</v>
      </c>
      <c r="S40" s="23">
        <f t="shared" si="9"/>
        <v>26985</v>
      </c>
      <c r="T40" s="23">
        <f t="shared" si="9"/>
        <v>267897</v>
      </c>
      <c r="U40" s="5"/>
    </row>
    <row r="41">
      <c r="A41" s="5"/>
      <c r="B41" s="5" t="s">
        <v>56</v>
      </c>
      <c r="C41" s="5"/>
      <c r="D41" s="23">
        <f>D31/$C$1*$G$1</f>
        <v>26708869</v>
      </c>
      <c r="E41" s="5"/>
      <c r="F41" s="5" t="s">
        <v>56</v>
      </c>
      <c r="G41" s="5"/>
      <c r="H41" s="23">
        <f>H31/$C$1*$G$1</f>
        <v>91540803</v>
      </c>
      <c r="I41" s="5"/>
      <c r="J41" s="5"/>
      <c r="K41" s="5" t="s">
        <v>52</v>
      </c>
      <c r="L41" s="103">
        <f t="shared" ref="L41:T41" si="10">L35/$C$1</f>
        <v>5812904.161</v>
      </c>
      <c r="M41" s="23">
        <f t="shared" si="10"/>
        <v>435759.3226</v>
      </c>
      <c r="N41" s="23">
        <f t="shared" si="10"/>
        <v>1472268.419</v>
      </c>
      <c r="O41" s="23">
        <f t="shared" si="10"/>
        <v>861576.4194</v>
      </c>
      <c r="P41" s="23">
        <f t="shared" si="10"/>
        <v>2952929.129</v>
      </c>
      <c r="Q41" s="23">
        <f t="shared" si="10"/>
        <v>24444.51613</v>
      </c>
      <c r="R41" s="23">
        <f t="shared" si="10"/>
        <v>56414.03226</v>
      </c>
      <c r="S41" s="23">
        <f t="shared" si="10"/>
        <v>870.483871</v>
      </c>
      <c r="T41" s="23">
        <f t="shared" si="10"/>
        <v>8641.83871</v>
      </c>
      <c r="U41" s="5"/>
    </row>
    <row r="42">
      <c r="A42" s="5"/>
      <c r="B42" s="171" t="s">
        <v>57</v>
      </c>
      <c r="C42" s="171"/>
      <c r="D42" s="69">
        <f>D41/D36</f>
        <v>1.215093538</v>
      </c>
      <c r="E42" s="5"/>
      <c r="F42" s="171" t="s">
        <v>57</v>
      </c>
      <c r="G42" s="171"/>
      <c r="H42" s="69">
        <f>H41/H36</f>
        <v>1.434603393</v>
      </c>
      <c r="I42" s="5"/>
      <c r="J42" s="5"/>
      <c r="K42" s="5" t="s">
        <v>69</v>
      </c>
      <c r="L42" s="103">
        <v>1.35002919E8</v>
      </c>
      <c r="M42" s="23">
        <v>1.1388233E7</v>
      </c>
      <c r="N42" s="23">
        <v>3.5486499E7</v>
      </c>
      <c r="O42" s="23">
        <v>2.1980916E7</v>
      </c>
      <c r="P42" s="23">
        <v>6.3809136E7</v>
      </c>
      <c r="Q42" s="23">
        <v>576145.0</v>
      </c>
      <c r="R42" s="23">
        <v>1544949.0</v>
      </c>
      <c r="S42" s="23">
        <v>20699.0</v>
      </c>
      <c r="T42" s="23">
        <v>196342.0</v>
      </c>
      <c r="U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</row>
    <row r="44">
      <c r="A44" s="5"/>
      <c r="B44" s="188" t="s">
        <v>31</v>
      </c>
      <c r="C44" s="17"/>
      <c r="D44" s="17"/>
      <c r="E44" s="17"/>
      <c r="F44" s="17"/>
      <c r="G44" s="17"/>
      <c r="H44" s="18"/>
      <c r="I44" s="5"/>
      <c r="J44" s="5"/>
      <c r="K44" s="5" t="s">
        <v>74</v>
      </c>
      <c r="L44" s="63">
        <f t="shared" ref="L44:T44" si="11">L40/L42-1</f>
        <v>0.3347861686</v>
      </c>
      <c r="M44" s="179">
        <f t="shared" si="11"/>
        <v>0.1861839321</v>
      </c>
      <c r="N44" s="180">
        <f t="shared" si="11"/>
        <v>0.2861319737</v>
      </c>
      <c r="O44" s="179">
        <f t="shared" si="11"/>
        <v>0.2150935384</v>
      </c>
      <c r="P44" s="180">
        <f t="shared" si="11"/>
        <v>0.4346033928</v>
      </c>
      <c r="Q44" s="179">
        <f t="shared" si="11"/>
        <v>0.3152591795</v>
      </c>
      <c r="R44" s="180">
        <f t="shared" si="11"/>
        <v>0.1319694048</v>
      </c>
      <c r="S44" s="179">
        <f t="shared" si="11"/>
        <v>0.3036861684</v>
      </c>
      <c r="T44" s="180">
        <f t="shared" si="11"/>
        <v>0.3644406189</v>
      </c>
      <c r="U44" s="5"/>
    </row>
    <row r="45">
      <c r="A45" s="5"/>
      <c r="B45" s="173" t="str">
        <f>B27</f>
        <v>Биг–Л / Июль | до </v>
      </c>
      <c r="C45" s="17"/>
      <c r="D45" s="154">
        <f>$D$4</f>
        <v>45869</v>
      </c>
      <c r="E45" s="5"/>
      <c r="F45" s="173" t="str">
        <f>F27</f>
        <v>Смарт / Июль | до </v>
      </c>
      <c r="G45" s="17"/>
      <c r="H45" s="154">
        <f>$D$4</f>
        <v>45869</v>
      </c>
      <c r="I45" s="5"/>
      <c r="J45" s="5"/>
      <c r="K45" s="51" t="s">
        <v>75</v>
      </c>
      <c r="M45" s="181">
        <f>SUM(M40:N40)/SUM(M42:N42)-1</f>
        <v>0.2618495611</v>
      </c>
      <c r="N45" s="90"/>
      <c r="O45" s="181">
        <f>SUM(O40:P40)/SUM(O42:P42)-1</f>
        <v>0.3783611181</v>
      </c>
      <c r="P45" s="90"/>
      <c r="Q45" s="181">
        <f>SUM(Q40:R40)/SUM(Q42:R42)-1</f>
        <v>0.1817557355</v>
      </c>
      <c r="R45" s="90"/>
      <c r="S45" s="181">
        <f>SUM(S40:T40)/SUM(S42:T42)-1</f>
        <v>0.358646523</v>
      </c>
      <c r="T45" s="90"/>
      <c r="U45" s="5"/>
    </row>
    <row r="46">
      <c r="A46" s="63">
        <f t="shared" ref="A46:A50" si="13">C46/$D$52</f>
        <v>0.1399548682</v>
      </c>
      <c r="B46" s="162" t="s">
        <v>82</v>
      </c>
      <c r="C46" s="23">
        <v>106055.0</v>
      </c>
      <c r="D46" s="174"/>
      <c r="E46" s="5"/>
      <c r="F46" s="162" t="s">
        <v>82</v>
      </c>
      <c r="G46" s="23">
        <v>243255.0</v>
      </c>
      <c r="H46" s="174"/>
      <c r="I46" s="63">
        <f t="shared" ref="I46:I50" si="14">G46/$H$52</f>
        <v>0.139095455</v>
      </c>
      <c r="J46" s="5"/>
      <c r="K46" s="5" t="s">
        <v>76</v>
      </c>
      <c r="L46" s="23">
        <f t="shared" ref="L46:T46" si="12">L40-L42</f>
        <v>45197110</v>
      </c>
      <c r="M46" s="182">
        <f t="shared" si="12"/>
        <v>2120306</v>
      </c>
      <c r="N46" s="183">
        <f t="shared" si="12"/>
        <v>10153822</v>
      </c>
      <c r="O46" s="182">
        <f t="shared" si="12"/>
        <v>4727953</v>
      </c>
      <c r="P46" s="183">
        <f t="shared" si="12"/>
        <v>27731667</v>
      </c>
      <c r="Q46" s="182">
        <f t="shared" si="12"/>
        <v>181635</v>
      </c>
      <c r="R46" s="183">
        <f t="shared" si="12"/>
        <v>203886</v>
      </c>
      <c r="S46" s="184">
        <f t="shared" si="12"/>
        <v>6286</v>
      </c>
      <c r="T46" s="165">
        <f t="shared" si="12"/>
        <v>71555</v>
      </c>
      <c r="U46" s="5"/>
    </row>
    <row r="47">
      <c r="A47" s="63">
        <f t="shared" si="13"/>
        <v>0.00649528887</v>
      </c>
      <c r="B47" s="162" t="s">
        <v>83</v>
      </c>
      <c r="C47" s="23">
        <v>4922.0</v>
      </c>
      <c r="D47" s="174"/>
      <c r="E47" s="5"/>
      <c r="F47" s="162" t="s">
        <v>83</v>
      </c>
      <c r="G47" s="23">
        <v>27996.0</v>
      </c>
      <c r="H47" s="174"/>
      <c r="I47" s="63">
        <f t="shared" si="14"/>
        <v>0.01600837129</v>
      </c>
      <c r="J47" s="5"/>
      <c r="K47" s="51" t="s">
        <v>78</v>
      </c>
      <c r="M47" s="185">
        <f>SUM(M40:N40)-SUM(M42:N42)</f>
        <v>12274128</v>
      </c>
      <c r="N47" s="90"/>
      <c r="O47" s="185">
        <f>SUM(O40:P40)-SUM(O42:P42)</f>
        <v>32459620</v>
      </c>
      <c r="P47" s="90"/>
      <c r="Q47" s="185">
        <f>SUM(Q40:R40)-SUM(Q42:R42)</f>
        <v>385521</v>
      </c>
      <c r="R47" s="90"/>
      <c r="S47" s="185">
        <f>SUM(S40:T40)-SUM(S42:T42)</f>
        <v>77841</v>
      </c>
      <c r="T47" s="90"/>
      <c r="U47" s="5"/>
    </row>
    <row r="48">
      <c r="A48" s="63">
        <f t="shared" si="13"/>
        <v>0.003826968249</v>
      </c>
      <c r="B48" s="162" t="s">
        <v>84</v>
      </c>
      <c r="C48" s="23">
        <v>2900.0</v>
      </c>
      <c r="D48" s="174"/>
      <c r="E48" s="5"/>
      <c r="F48" s="162" t="s">
        <v>84</v>
      </c>
      <c r="G48" s="23">
        <v>1111.0</v>
      </c>
      <c r="H48" s="174"/>
      <c r="I48" s="63">
        <f t="shared" si="14"/>
        <v>0.0006352800579</v>
      </c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</row>
    <row r="49">
      <c r="A49" s="63">
        <f t="shared" si="13"/>
        <v>0.005174325002</v>
      </c>
      <c r="B49" s="162" t="s">
        <v>85</v>
      </c>
      <c r="C49" s="23">
        <v>3921.0</v>
      </c>
      <c r="D49" s="174"/>
      <c r="E49" s="5"/>
      <c r="F49" s="162" t="s">
        <v>85</v>
      </c>
      <c r="G49" s="23">
        <v>4221.0</v>
      </c>
      <c r="H49" s="174"/>
      <c r="I49" s="63">
        <f t="shared" si="14"/>
        <v>0.002413606773</v>
      </c>
      <c r="J49" s="5"/>
      <c r="K49" s="5" t="s">
        <v>79</v>
      </c>
      <c r="L49" s="186">
        <v>2.0E8</v>
      </c>
      <c r="M49" s="23">
        <f t="shared" ref="M49:T49" si="15">$L$49*M36</f>
        <v>14992826.67</v>
      </c>
      <c r="N49" s="23">
        <f t="shared" si="15"/>
        <v>50655176.09</v>
      </c>
      <c r="O49" s="23">
        <f t="shared" si="15"/>
        <v>29643579.03</v>
      </c>
      <c r="P49" s="23">
        <f t="shared" si="15"/>
        <v>101599099.1</v>
      </c>
      <c r="Q49" s="23">
        <f t="shared" si="15"/>
        <v>841043.1499</v>
      </c>
      <c r="R49" s="23">
        <f t="shared" si="15"/>
        <v>1940993.028</v>
      </c>
      <c r="S49" s="23">
        <f t="shared" si="15"/>
        <v>29950.05067</v>
      </c>
      <c r="T49" s="23">
        <f t="shared" si="15"/>
        <v>297332.9155</v>
      </c>
      <c r="U49" s="5"/>
    </row>
    <row r="50">
      <c r="A50" s="63">
        <f t="shared" si="13"/>
        <v>0</v>
      </c>
      <c r="B50" s="162" t="s">
        <v>88</v>
      </c>
      <c r="C50" s="24"/>
      <c r="D50" s="174"/>
      <c r="E50" s="5"/>
      <c r="F50" s="162" t="s">
        <v>88</v>
      </c>
      <c r="G50" s="24"/>
      <c r="H50" s="174"/>
      <c r="I50" s="63">
        <f t="shared" si="14"/>
        <v>0</v>
      </c>
      <c r="J50" s="5"/>
      <c r="K50" s="5" t="s">
        <v>80</v>
      </c>
      <c r="L50" s="103">
        <f t="shared" ref="L50:T50" si="16">L49-L35</f>
        <v>19799971</v>
      </c>
      <c r="M50" s="23">
        <f t="shared" si="16"/>
        <v>1484287.666</v>
      </c>
      <c r="N50" s="23">
        <f t="shared" si="16"/>
        <v>5014855.088</v>
      </c>
      <c r="O50" s="23">
        <f t="shared" si="16"/>
        <v>2934710.025</v>
      </c>
      <c r="P50" s="23">
        <f t="shared" si="16"/>
        <v>10058296.08</v>
      </c>
      <c r="Q50" s="23">
        <f t="shared" si="16"/>
        <v>83263.14989</v>
      </c>
      <c r="R50" s="23">
        <f t="shared" si="16"/>
        <v>192158.0284</v>
      </c>
      <c r="S50" s="23">
        <f t="shared" si="16"/>
        <v>2965.050674</v>
      </c>
      <c r="T50" s="23">
        <f t="shared" si="16"/>
        <v>29435.91552</v>
      </c>
      <c r="U50" s="5"/>
    </row>
    <row r="51">
      <c r="A51" s="5"/>
      <c r="B51" s="162" t="s">
        <v>42</v>
      </c>
      <c r="C51" s="23">
        <f>SUM(C46:C50)</f>
        <v>117798</v>
      </c>
      <c r="D51" s="174"/>
      <c r="E51" s="5"/>
      <c r="F51" s="162" t="s">
        <v>42</v>
      </c>
      <c r="G51" s="23">
        <f>SUM(G46:G50)</f>
        <v>276583</v>
      </c>
      <c r="H51" s="174"/>
      <c r="I51" s="5"/>
      <c r="J51" s="5"/>
      <c r="K51" s="5" t="s">
        <v>81</v>
      </c>
      <c r="L51" s="103" t="str">
        <f>SUM(M51:T51)</f>
        <v>#DIV/0!</v>
      </c>
      <c r="M51" s="23" t="str">
        <f t="shared" ref="M51:T51" si="17">M50/($G$1-$C$1)</f>
        <v>#DIV/0!</v>
      </c>
      <c r="N51" s="23" t="str">
        <f t="shared" si="17"/>
        <v>#DIV/0!</v>
      </c>
      <c r="O51" s="23" t="str">
        <f t="shared" si="17"/>
        <v>#DIV/0!</v>
      </c>
      <c r="P51" s="23" t="str">
        <f t="shared" si="17"/>
        <v>#DIV/0!</v>
      </c>
      <c r="Q51" s="23" t="str">
        <f t="shared" si="17"/>
        <v>#DIV/0!</v>
      </c>
      <c r="R51" s="23" t="str">
        <f t="shared" si="17"/>
        <v>#DIV/0!</v>
      </c>
      <c r="S51" s="23" t="str">
        <f t="shared" si="17"/>
        <v>#DIV/0!</v>
      </c>
      <c r="T51" s="23" t="str">
        <f t="shared" si="17"/>
        <v>#DIV/0!</v>
      </c>
      <c r="U51" s="5"/>
    </row>
    <row r="52">
      <c r="A52" s="5"/>
      <c r="B52" s="162" t="s">
        <v>43</v>
      </c>
      <c r="C52" s="24"/>
      <c r="D52" s="165">
        <f>Q35</f>
        <v>757780</v>
      </c>
      <c r="E52" s="5"/>
      <c r="F52" s="162" t="s">
        <v>43</v>
      </c>
      <c r="G52" s="24"/>
      <c r="H52" s="165">
        <f>R35</f>
        <v>1748835</v>
      </c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</row>
    <row r="53">
      <c r="A53" s="5"/>
      <c r="B53" s="162" t="s">
        <v>44</v>
      </c>
      <c r="C53" s="5"/>
      <c r="D53" s="166">
        <f>C51/D52</f>
        <v>0.1554514503</v>
      </c>
      <c r="E53" s="5"/>
      <c r="F53" s="162" t="s">
        <v>44</v>
      </c>
      <c r="G53" s="5"/>
      <c r="H53" s="166">
        <f>G51/H52</f>
        <v>0.1581527131</v>
      </c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</row>
    <row r="54">
      <c r="A54" s="63">
        <f>D53/C54</f>
        <v>0.8636191683</v>
      </c>
      <c r="B54" s="162" t="s">
        <v>47</v>
      </c>
      <c r="C54" s="63">
        <v>0.18</v>
      </c>
      <c r="D54" s="165">
        <f>D52*C54</f>
        <v>136400.4</v>
      </c>
      <c r="E54" s="5"/>
      <c r="F54" s="162" t="s">
        <v>47</v>
      </c>
      <c r="G54" s="63">
        <v>0.175</v>
      </c>
      <c r="H54" s="165">
        <f>H52*G54</f>
        <v>306046.125</v>
      </c>
      <c r="I54" s="63">
        <f>H53/G54</f>
        <v>0.9037297891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</row>
    <row r="55">
      <c r="A55" s="5"/>
      <c r="B55" s="170" t="s">
        <v>50</v>
      </c>
      <c r="C55" s="168"/>
      <c r="D55" s="169">
        <f>C51-D54</f>
        <v>-18602.4</v>
      </c>
      <c r="E55" s="5"/>
      <c r="F55" s="170" t="s">
        <v>50</v>
      </c>
      <c r="G55" s="168"/>
      <c r="H55" s="169">
        <f>G51-H54</f>
        <v>-29463.125</v>
      </c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</row>
    <row r="57">
      <c r="A57" s="5"/>
      <c r="B57" s="24" t="s">
        <v>51</v>
      </c>
      <c r="C57" s="24"/>
      <c r="D57" s="25">
        <f>Q42</f>
        <v>576145</v>
      </c>
      <c r="E57" s="5"/>
      <c r="F57" s="24" t="s">
        <v>51</v>
      </c>
      <c r="G57" s="24"/>
      <c r="H57" s="25">
        <f>R42</f>
        <v>1544949</v>
      </c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</row>
    <row r="58">
      <c r="A58" s="5"/>
      <c r="B58" s="5" t="s">
        <v>52</v>
      </c>
      <c r="C58" s="5"/>
      <c r="D58" s="23">
        <f>D52/$C$1</f>
        <v>24444.51613</v>
      </c>
      <c r="E58" s="5"/>
      <c r="F58" s="5" t="s">
        <v>52</v>
      </c>
      <c r="G58" s="5"/>
      <c r="H58" s="23">
        <f>H52/$C$1</f>
        <v>56414.03226</v>
      </c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</row>
    <row r="59">
      <c r="A59" s="5"/>
      <c r="B59" s="5" t="s">
        <v>53</v>
      </c>
      <c r="C59" s="5"/>
      <c r="D59" s="23">
        <f>D57/$G$1*$C$1</f>
        <v>576145</v>
      </c>
      <c r="E59" s="5"/>
      <c r="F59" s="5" t="s">
        <v>53</v>
      </c>
      <c r="G59" s="5"/>
      <c r="H59" s="23">
        <f>H57/$G$1*$C$1</f>
        <v>1544949</v>
      </c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</row>
    <row r="60">
      <c r="A60" s="5"/>
      <c r="B60" s="5" t="s">
        <v>54</v>
      </c>
      <c r="C60" s="5"/>
      <c r="D60" s="23" t="str">
        <f>(D57-D52)/($G$1-$C$1)</f>
        <v>#DIV/0!</v>
      </c>
      <c r="E60" s="5"/>
      <c r="F60" s="5" t="s">
        <v>54</v>
      </c>
      <c r="G60" s="5"/>
      <c r="H60" s="23" t="str">
        <f>(H57-H52)/($G$1-$C$1)</f>
        <v>#DIV/0!</v>
      </c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</row>
    <row r="61">
      <c r="A61" s="5"/>
      <c r="B61" s="5" t="s">
        <v>89</v>
      </c>
      <c r="C61" s="5"/>
      <c r="D61" s="23">
        <f>D52-D59</f>
        <v>181635</v>
      </c>
      <c r="E61" s="5"/>
      <c r="F61" s="5" t="s">
        <v>89</v>
      </c>
      <c r="G61" s="5"/>
      <c r="H61" s="23">
        <f>H52-H59</f>
        <v>203886</v>
      </c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</row>
    <row r="62">
      <c r="A62" s="5"/>
      <c r="B62" s="5" t="s">
        <v>56</v>
      </c>
      <c r="C62" s="5"/>
      <c r="D62" s="23">
        <f>D52/$C$1*$G$1</f>
        <v>757780</v>
      </c>
      <c r="E62" s="5"/>
      <c r="F62" s="5" t="s">
        <v>56</v>
      </c>
      <c r="G62" s="5"/>
      <c r="H62" s="23">
        <f>H52/$C$1*$G$1</f>
        <v>1748835</v>
      </c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</row>
    <row r="63">
      <c r="A63" s="5"/>
      <c r="B63" s="171" t="s">
        <v>57</v>
      </c>
      <c r="C63" s="171"/>
      <c r="D63" s="69">
        <f>D62/D57</f>
        <v>1.31525918</v>
      </c>
      <c r="E63" s="5"/>
      <c r="F63" s="171" t="s">
        <v>57</v>
      </c>
      <c r="G63" s="171"/>
      <c r="H63" s="69">
        <f>H62/H57</f>
        <v>1.131969405</v>
      </c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5"/>
      <c r="L64" s="5"/>
      <c r="M64" s="5"/>
      <c r="N64" s="5"/>
      <c r="O64" s="5"/>
      <c r="P64" s="5"/>
      <c r="Q64" s="5"/>
      <c r="R64" s="5"/>
      <c r="S64" s="5"/>
      <c r="T64" s="5"/>
      <c r="U64" s="5"/>
    </row>
    <row r="65">
      <c r="A65" s="5"/>
      <c r="B65" s="188" t="s">
        <v>34</v>
      </c>
      <c r="C65" s="17"/>
      <c r="D65" s="17"/>
      <c r="E65" s="17"/>
      <c r="F65" s="17"/>
      <c r="G65" s="17"/>
      <c r="H65" s="18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</row>
    <row r="66">
      <c r="A66" s="5"/>
      <c r="B66" s="173" t="str">
        <f>B45</f>
        <v>Биг–Л / Июль | до </v>
      </c>
      <c r="C66" s="17"/>
      <c r="D66" s="154">
        <f>$D$4</f>
        <v>45869</v>
      </c>
      <c r="E66" s="5"/>
      <c r="F66" s="173" t="str">
        <f>F45</f>
        <v>Смарт / Июль | до </v>
      </c>
      <c r="G66" s="17"/>
      <c r="H66" s="154">
        <f>$D$4</f>
        <v>45869</v>
      </c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</row>
    <row r="67">
      <c r="A67" s="5"/>
      <c r="B67" s="189" t="s">
        <v>90</v>
      </c>
      <c r="C67" s="190"/>
      <c r="D67" s="191"/>
      <c r="E67" s="5"/>
      <c r="F67" s="189" t="s">
        <v>90</v>
      </c>
      <c r="G67" s="190"/>
      <c r="H67" s="191"/>
      <c r="I67" s="5"/>
      <c r="J67" s="5"/>
      <c r="K67" s="55"/>
      <c r="L67" s="5"/>
      <c r="M67" s="5"/>
      <c r="N67" s="5"/>
      <c r="O67" s="5"/>
      <c r="P67" s="5"/>
      <c r="Q67" s="5"/>
      <c r="R67" s="5"/>
      <c r="S67" s="5"/>
      <c r="T67" s="5"/>
      <c r="U67" s="5"/>
    </row>
    <row r="68">
      <c r="A68" s="5"/>
      <c r="B68" s="162" t="s">
        <v>43</v>
      </c>
      <c r="C68" s="5"/>
      <c r="D68" s="165">
        <f>S35</f>
        <v>26985</v>
      </c>
      <c r="E68" s="5"/>
      <c r="F68" s="162" t="s">
        <v>43</v>
      </c>
      <c r="G68" s="5"/>
      <c r="H68" s="165">
        <f>T35</f>
        <v>267897</v>
      </c>
      <c r="I68" s="5"/>
      <c r="J68" s="5"/>
      <c r="K68" s="55"/>
      <c r="L68" s="5"/>
      <c r="M68" s="5"/>
      <c r="N68" s="5"/>
      <c r="O68" s="5"/>
      <c r="P68" s="5"/>
      <c r="Q68" s="5"/>
      <c r="R68" s="5"/>
      <c r="S68" s="5"/>
      <c r="T68" s="5"/>
      <c r="U68" s="5"/>
    </row>
    <row r="69">
      <c r="A69" s="5"/>
      <c r="B69" s="162" t="s">
        <v>44</v>
      </c>
      <c r="C69" s="5"/>
      <c r="D69" s="166">
        <f>C67/D68</f>
        <v>0</v>
      </c>
      <c r="E69" s="5"/>
      <c r="F69" s="162" t="s">
        <v>44</v>
      </c>
      <c r="G69" s="5"/>
      <c r="H69" s="166">
        <f>G67/H68</f>
        <v>0</v>
      </c>
      <c r="I69" s="5"/>
      <c r="J69" s="5"/>
      <c r="K69" s="55"/>
      <c r="L69" s="5"/>
      <c r="M69" s="5"/>
      <c r="N69" s="5"/>
      <c r="O69" s="5"/>
      <c r="P69" s="5"/>
      <c r="Q69" s="5"/>
      <c r="R69" s="5"/>
      <c r="S69" s="5"/>
      <c r="T69" s="5"/>
      <c r="U69" s="5"/>
    </row>
    <row r="70">
      <c r="A70" s="5"/>
      <c r="B70" s="162" t="s">
        <v>47</v>
      </c>
      <c r="C70" s="63">
        <v>0.15</v>
      </c>
      <c r="D70" s="165">
        <f>D68*C70</f>
        <v>4047.75</v>
      </c>
      <c r="E70" s="5"/>
      <c r="F70" s="162" t="s">
        <v>47</v>
      </c>
      <c r="G70" s="63">
        <v>0.15</v>
      </c>
      <c r="H70" s="165">
        <f>H68*G70</f>
        <v>40184.55</v>
      </c>
      <c r="I70" s="5"/>
      <c r="J70" s="5"/>
      <c r="K70" s="55"/>
      <c r="L70" s="5"/>
      <c r="M70" s="5"/>
      <c r="N70" s="5"/>
      <c r="O70" s="5"/>
      <c r="P70" s="5"/>
      <c r="Q70" s="5"/>
      <c r="R70" s="5"/>
      <c r="S70" s="5"/>
      <c r="T70" s="5"/>
      <c r="U70" s="5"/>
    </row>
    <row r="71">
      <c r="A71" s="5"/>
      <c r="B71" s="170" t="s">
        <v>50</v>
      </c>
      <c r="C71" s="168"/>
      <c r="D71" s="169">
        <f>C67-D70</f>
        <v>-4047.75</v>
      </c>
      <c r="E71" s="5"/>
      <c r="F71" s="170" t="s">
        <v>50</v>
      </c>
      <c r="G71" s="168"/>
      <c r="H71" s="169">
        <f>G67-H70</f>
        <v>-40184.55</v>
      </c>
      <c r="I71" s="5"/>
      <c r="J71" s="5"/>
      <c r="K71" s="55"/>
      <c r="L71" s="5"/>
      <c r="M71" s="5"/>
      <c r="N71" s="5"/>
      <c r="O71" s="5"/>
      <c r="P71" s="5"/>
      <c r="Q71" s="5"/>
      <c r="R71" s="5"/>
      <c r="S71" s="5"/>
      <c r="T71" s="5"/>
      <c r="U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5"/>
      <c r="L72" s="5"/>
      <c r="M72" s="5"/>
      <c r="N72" s="5"/>
      <c r="O72" s="5"/>
      <c r="P72" s="5"/>
      <c r="Q72" s="5"/>
      <c r="R72" s="5"/>
      <c r="S72" s="5"/>
      <c r="T72" s="5"/>
      <c r="U72" s="5"/>
    </row>
    <row r="73">
      <c r="A73" s="5"/>
      <c r="B73" s="24" t="s">
        <v>51</v>
      </c>
      <c r="C73" s="5"/>
      <c r="D73" s="25">
        <f>S42</f>
        <v>20699</v>
      </c>
      <c r="E73" s="5"/>
      <c r="F73" s="24" t="s">
        <v>51</v>
      </c>
      <c r="G73" s="5"/>
      <c r="H73" s="25">
        <f>T42</f>
        <v>196342</v>
      </c>
      <c r="I73" s="5"/>
      <c r="J73" s="5"/>
      <c r="K73" s="55"/>
      <c r="L73" s="5"/>
      <c r="M73" s="5"/>
      <c r="N73" s="5"/>
      <c r="O73" s="5"/>
      <c r="P73" s="5"/>
      <c r="Q73" s="5"/>
      <c r="R73" s="5"/>
      <c r="S73" s="5"/>
      <c r="T73" s="5"/>
      <c r="U73" s="5"/>
    </row>
    <row r="74">
      <c r="A74" s="5"/>
      <c r="B74" s="5" t="s">
        <v>52</v>
      </c>
      <c r="C74" s="5"/>
      <c r="D74" s="23">
        <f>D68/$C$1</f>
        <v>870.483871</v>
      </c>
      <c r="E74" s="5"/>
      <c r="F74" s="5" t="s">
        <v>52</v>
      </c>
      <c r="G74" s="5"/>
      <c r="H74" s="23">
        <f>H68/$C$1</f>
        <v>8641.83871</v>
      </c>
      <c r="I74" s="5"/>
      <c r="J74" s="5"/>
      <c r="K74" s="55"/>
      <c r="L74" s="5"/>
      <c r="M74" s="5"/>
      <c r="N74" s="5"/>
      <c r="O74" s="5"/>
      <c r="P74" s="5"/>
      <c r="Q74" s="5"/>
      <c r="R74" s="5"/>
      <c r="S74" s="5"/>
      <c r="T74" s="5"/>
      <c r="U74" s="5"/>
    </row>
    <row r="75">
      <c r="A75" s="5"/>
      <c r="B75" s="5" t="s">
        <v>53</v>
      </c>
      <c r="C75" s="5"/>
      <c r="D75" s="23">
        <f>D73/$G$1*$C$1</f>
        <v>20699</v>
      </c>
      <c r="E75" s="5"/>
      <c r="F75" s="5" t="s">
        <v>53</v>
      </c>
      <c r="G75" s="5"/>
      <c r="H75" s="23">
        <f>H73/$G$1*$C$1</f>
        <v>196342</v>
      </c>
      <c r="I75" s="5"/>
      <c r="J75" s="5"/>
      <c r="K75" s="55"/>
      <c r="L75" s="5"/>
      <c r="M75" s="5"/>
      <c r="N75" s="5"/>
      <c r="O75" s="5"/>
      <c r="P75" s="5"/>
      <c r="Q75" s="5"/>
      <c r="R75" s="5"/>
      <c r="S75" s="5"/>
      <c r="T75" s="5"/>
      <c r="U75" s="5"/>
    </row>
    <row r="76">
      <c r="A76" s="5"/>
      <c r="B76" s="5" t="s">
        <v>54</v>
      </c>
      <c r="C76" s="5"/>
      <c r="D76" s="23" t="str">
        <f>(D73-D68)/($G$1-$C$1)</f>
        <v>#DIV/0!</v>
      </c>
      <c r="E76" s="5"/>
      <c r="F76" s="5" t="s">
        <v>54</v>
      </c>
      <c r="G76" s="5"/>
      <c r="H76" s="23" t="str">
        <f>(H73-H68)/($G$1-$C$1)</f>
        <v>#DIV/0!</v>
      </c>
      <c r="I76" s="5"/>
      <c r="J76" s="5"/>
      <c r="K76" s="55"/>
      <c r="L76" s="5"/>
      <c r="M76" s="5"/>
      <c r="N76" s="5"/>
      <c r="O76" s="5"/>
      <c r="P76" s="5"/>
      <c r="Q76" s="5"/>
      <c r="R76" s="5"/>
      <c r="S76" s="5"/>
      <c r="T76" s="5"/>
      <c r="U76" s="5"/>
    </row>
    <row r="77">
      <c r="A77" s="5"/>
      <c r="B77" s="5" t="s">
        <v>89</v>
      </c>
      <c r="C77" s="5"/>
      <c r="D77" s="23">
        <f>D68-D75</f>
        <v>6286</v>
      </c>
      <c r="E77" s="5"/>
      <c r="F77" s="5" t="s">
        <v>89</v>
      </c>
      <c r="G77" s="5"/>
      <c r="H77" s="23">
        <f>H68-H75</f>
        <v>71555</v>
      </c>
      <c r="I77" s="5"/>
      <c r="J77" s="5"/>
      <c r="K77" s="55"/>
      <c r="L77" s="5"/>
      <c r="M77" s="5"/>
      <c r="N77" s="5"/>
      <c r="O77" s="5"/>
      <c r="P77" s="5"/>
      <c r="Q77" s="5"/>
      <c r="R77" s="5"/>
      <c r="S77" s="5"/>
      <c r="T77" s="5"/>
      <c r="U77" s="5"/>
    </row>
    <row r="78">
      <c r="A78" s="5"/>
      <c r="B78" s="5" t="s">
        <v>56</v>
      </c>
      <c r="C78" s="5"/>
      <c r="D78" s="23">
        <f>D68/$C$1*$G$1</f>
        <v>26985</v>
      </c>
      <c r="E78" s="5"/>
      <c r="F78" s="5" t="s">
        <v>56</v>
      </c>
      <c r="G78" s="5"/>
      <c r="H78" s="23">
        <f>H68/$C$1*$G$1</f>
        <v>267897</v>
      </c>
      <c r="I78" s="5"/>
      <c r="J78" s="5"/>
      <c r="K78" s="55"/>
      <c r="L78" s="5"/>
      <c r="M78" s="5"/>
      <c r="N78" s="5"/>
      <c r="O78" s="5"/>
      <c r="P78" s="5"/>
      <c r="Q78" s="5"/>
      <c r="R78" s="5"/>
      <c r="S78" s="5"/>
      <c r="T78" s="5"/>
      <c r="U78" s="5"/>
    </row>
    <row r="79">
      <c r="A79" s="5"/>
      <c r="B79" s="171" t="s">
        <v>57</v>
      </c>
      <c r="C79" s="171"/>
      <c r="D79" s="69">
        <f>D78/D73</f>
        <v>1.303686168</v>
      </c>
      <c r="E79" s="5"/>
      <c r="F79" s="171" t="s">
        <v>57</v>
      </c>
      <c r="G79" s="171"/>
      <c r="H79" s="69">
        <f>H78/H73</f>
        <v>1.364440619</v>
      </c>
      <c r="I79" s="5"/>
      <c r="J79" s="5"/>
      <c r="K79" s="55"/>
      <c r="L79" s="5"/>
      <c r="M79" s="5"/>
      <c r="N79" s="5"/>
      <c r="O79" s="5"/>
      <c r="P79" s="5"/>
      <c r="Q79" s="5"/>
      <c r="R79" s="5"/>
      <c r="S79" s="5"/>
      <c r="T79" s="5"/>
      <c r="U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5"/>
      <c r="L80" s="5"/>
      <c r="M80" s="5"/>
      <c r="N80" s="5"/>
      <c r="O80" s="5"/>
      <c r="P80" s="5"/>
      <c r="Q80" s="5"/>
      <c r="R80" s="5"/>
      <c r="S80" s="5"/>
      <c r="T80" s="5"/>
      <c r="U80" s="5"/>
    </row>
    <row r="81">
      <c r="A81" s="5"/>
      <c r="B81" s="173" t="s">
        <v>159</v>
      </c>
      <c r="C81" s="18"/>
      <c r="D81" s="5"/>
      <c r="E81" s="173" t="s">
        <v>160</v>
      </c>
      <c r="F81" s="18"/>
      <c r="G81" s="5"/>
      <c r="H81" s="192" t="s">
        <v>93</v>
      </c>
      <c r="I81" s="5"/>
      <c r="J81" s="5"/>
      <c r="K81" s="55"/>
      <c r="L81" s="5"/>
      <c r="M81" s="5"/>
      <c r="N81" s="5"/>
      <c r="O81" s="5"/>
      <c r="P81" s="5"/>
      <c r="Q81" s="5"/>
      <c r="R81" s="5"/>
      <c r="S81" s="5"/>
      <c r="T81" s="5"/>
      <c r="U81" s="5"/>
    </row>
    <row r="82">
      <c r="A82" s="5"/>
      <c r="B82" s="5" t="s">
        <v>95</v>
      </c>
      <c r="C82" s="23">
        <f>SUM(D13, H13)</f>
        <v>59148860</v>
      </c>
      <c r="D82" s="5"/>
      <c r="E82" s="5" t="s">
        <v>96</v>
      </c>
      <c r="F82" s="23">
        <f>SUM(D20, H20)</f>
        <v>46874732</v>
      </c>
      <c r="G82" s="5"/>
      <c r="H82" s="193">
        <f t="shared" ref="H82:H85" si="18">C82/F82</f>
        <v>1.261849561</v>
      </c>
      <c r="I82" s="5"/>
      <c r="J82" s="5"/>
      <c r="K82" s="55"/>
      <c r="L82" s="5"/>
      <c r="M82" s="5"/>
      <c r="N82" s="5"/>
      <c r="O82" s="5"/>
      <c r="P82" s="5"/>
      <c r="Q82" s="5"/>
      <c r="R82" s="5"/>
      <c r="S82" s="5"/>
      <c r="T82" s="5"/>
      <c r="U82" s="5"/>
    </row>
    <row r="83">
      <c r="A83" s="5"/>
      <c r="B83" s="5" t="s">
        <v>97</v>
      </c>
      <c r="C83" s="23">
        <f>SUM(D31, H31)</f>
        <v>118249672</v>
      </c>
      <c r="D83" s="5"/>
      <c r="E83" s="5" t="s">
        <v>98</v>
      </c>
      <c r="F83" s="23">
        <f>SUM(D38, H38)</f>
        <v>85790052</v>
      </c>
      <c r="G83" s="5"/>
      <c r="H83" s="193">
        <f t="shared" si="18"/>
        <v>1.378361118</v>
      </c>
      <c r="I83" s="5"/>
      <c r="J83" s="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</row>
    <row r="84">
      <c r="A84" s="5"/>
      <c r="B84" s="5" t="s">
        <v>99</v>
      </c>
      <c r="C84" s="23">
        <f>SUM(D52, H52)</f>
        <v>2506615</v>
      </c>
      <c r="D84" s="5"/>
      <c r="E84" s="5" t="s">
        <v>100</v>
      </c>
      <c r="F84" s="23">
        <f>SUM(D59,H59)</f>
        <v>2121094</v>
      </c>
      <c r="G84" s="5"/>
      <c r="H84" s="193">
        <f t="shared" si="18"/>
        <v>1.181755735</v>
      </c>
      <c r="I84" s="5"/>
      <c r="J84" s="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</row>
    <row r="85">
      <c r="A85" s="5"/>
      <c r="B85" s="5" t="s">
        <v>101</v>
      </c>
      <c r="C85" s="23">
        <f>SUM(D68,H68)</f>
        <v>294882</v>
      </c>
      <c r="D85" s="5"/>
      <c r="E85" s="5" t="s">
        <v>102</v>
      </c>
      <c r="F85" s="23">
        <f>SUM(H75,D75)</f>
        <v>217041</v>
      </c>
      <c r="G85" s="5"/>
      <c r="H85" s="193">
        <f t="shared" si="18"/>
        <v>1.358646523</v>
      </c>
      <c r="I85" s="5"/>
      <c r="J85" s="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</row>
    <row r="87">
      <c r="A87" s="5"/>
      <c r="B87" s="173" t="s">
        <v>159</v>
      </c>
      <c r="C87" s="18"/>
      <c r="D87" s="5"/>
      <c r="E87" s="173" t="s">
        <v>160</v>
      </c>
      <c r="F87" s="18"/>
      <c r="G87" s="5"/>
      <c r="H87" s="192" t="s">
        <v>93</v>
      </c>
      <c r="I87" s="5"/>
      <c r="J87" s="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</row>
    <row r="88">
      <c r="A88" s="5"/>
      <c r="B88" s="21" t="s">
        <v>104</v>
      </c>
      <c r="C88" s="23">
        <f>SUM(D13, D31, D52)</f>
        <v>40975188</v>
      </c>
      <c r="D88" s="5"/>
      <c r="E88" s="5" t="s">
        <v>105</v>
      </c>
      <c r="F88" s="23">
        <f>SUM(D20, D38, D59)</f>
        <v>33945294</v>
      </c>
      <c r="G88" s="5"/>
      <c r="H88" s="193">
        <f t="shared" ref="H88:H89" si="19">C88/F88</f>
        <v>1.207094804</v>
      </c>
      <c r="I88" s="5"/>
      <c r="J88" s="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</row>
    <row r="89">
      <c r="A89" s="5"/>
      <c r="B89" s="21" t="s">
        <v>106</v>
      </c>
      <c r="C89" s="23">
        <f>SUM(H13, H31, H52, H68)</f>
        <v>139197856</v>
      </c>
      <c r="D89" s="5"/>
      <c r="E89" s="5" t="s">
        <v>107</v>
      </c>
      <c r="F89" s="23">
        <f>SUM(H20, H38, H59, H75)</f>
        <v>101036926</v>
      </c>
      <c r="G89" s="5"/>
      <c r="H89" s="193">
        <f t="shared" si="19"/>
        <v>1.377692904</v>
      </c>
      <c r="I89" s="5"/>
      <c r="J89" s="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</row>
    <row r="91">
      <c r="A91" s="5"/>
      <c r="B91" s="173" t="s">
        <v>161</v>
      </c>
      <c r="C91" s="18"/>
      <c r="D91" s="5"/>
      <c r="E91" s="173" t="s">
        <v>162</v>
      </c>
      <c r="F91" s="18"/>
      <c r="G91" s="5"/>
      <c r="H91" s="192" t="s">
        <v>93</v>
      </c>
      <c r="I91" s="5"/>
      <c r="J91" s="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</row>
    <row r="92">
      <c r="A92" s="5"/>
      <c r="B92" s="5" t="s">
        <v>109</v>
      </c>
      <c r="C92" s="23">
        <f>SUM(C82:C85)</f>
        <v>180200029</v>
      </c>
      <c r="D92" s="5"/>
      <c r="E92" s="5" t="s">
        <v>110</v>
      </c>
      <c r="F92" s="23">
        <f>SUM(F82:F85)</f>
        <v>135002919</v>
      </c>
      <c r="G92" s="5"/>
      <c r="H92" s="193">
        <f t="shared" ref="H92:H93" si="20">C92/F92</f>
        <v>1.334786169</v>
      </c>
      <c r="I92" s="5"/>
      <c r="J92" s="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</row>
    <row r="93">
      <c r="A93" s="5"/>
      <c r="B93" s="5" t="s">
        <v>111</v>
      </c>
      <c r="C93" s="23">
        <f>C92/$C$1*G1</f>
        <v>180200029</v>
      </c>
      <c r="D93" s="5"/>
      <c r="E93" s="5" t="s">
        <v>112</v>
      </c>
      <c r="F93" s="23">
        <f>SUM(D18, H18, D36, H36, D57, H57, D73, H73)</f>
        <v>135002919</v>
      </c>
      <c r="G93" s="5"/>
      <c r="H93" s="193">
        <f t="shared" si="20"/>
        <v>1.334786169</v>
      </c>
      <c r="I93" s="5"/>
      <c r="J93" s="5"/>
      <c r="K93" s="55"/>
      <c r="L93" s="5"/>
      <c r="M93" s="5"/>
      <c r="N93" s="5"/>
      <c r="O93" s="5"/>
      <c r="P93" s="5"/>
      <c r="Q93" s="5"/>
      <c r="R93" s="5"/>
      <c r="S93" s="5"/>
      <c r="T93" s="5"/>
      <c r="U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</row>
    <row r="95">
      <c r="A95" s="5"/>
      <c r="B95" s="173" t="s">
        <v>163</v>
      </c>
      <c r="C95" s="18"/>
      <c r="D95" s="5"/>
      <c r="E95" s="173" t="s">
        <v>164</v>
      </c>
      <c r="F95" s="18"/>
      <c r="G95" s="5"/>
      <c r="H95" s="192" t="s">
        <v>93</v>
      </c>
      <c r="I95" s="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</row>
    <row r="96">
      <c r="A96" s="5"/>
      <c r="B96" s="5" t="s">
        <v>165</v>
      </c>
      <c r="C96" s="23">
        <f>C12+G12</f>
        <v>8004628</v>
      </c>
      <c r="D96" s="5"/>
      <c r="E96" s="5" t="s">
        <v>166</v>
      </c>
      <c r="F96" s="23">
        <f>(D18*C15+H18*G15)/$G$1*$C$1</f>
        <v>6067279.16</v>
      </c>
      <c r="G96" s="5"/>
      <c r="H96" s="193">
        <f t="shared" ref="H96:H99" si="21">C96/F96</f>
        <v>1.319310978</v>
      </c>
      <c r="I96" s="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</row>
    <row r="97">
      <c r="A97" s="5"/>
      <c r="B97" s="5" t="s">
        <v>167</v>
      </c>
      <c r="C97" s="23">
        <f>C30+G30</f>
        <v>9261667.4</v>
      </c>
      <c r="D97" s="5"/>
      <c r="E97" s="5" t="s">
        <v>168</v>
      </c>
      <c r="F97" s="23">
        <f>(D36*C33+H36*G33)/$G$1*$C$1</f>
        <v>7940913.84</v>
      </c>
      <c r="G97" s="5"/>
      <c r="H97" s="193">
        <f t="shared" si="21"/>
        <v>1.166322616</v>
      </c>
      <c r="I97" s="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</row>
    <row r="98">
      <c r="A98" s="5"/>
      <c r="B98" s="5" t="s">
        <v>169</v>
      </c>
      <c r="C98" s="23">
        <f>SUM(C51,G51)</f>
        <v>394381</v>
      </c>
      <c r="D98" s="5"/>
      <c r="E98" s="5" t="s">
        <v>170</v>
      </c>
      <c r="F98" s="23">
        <f>(D57*C54+H57*G54)/$G$1*$C$1</f>
        <v>374072.175</v>
      </c>
      <c r="G98" s="5"/>
      <c r="H98" s="193">
        <f t="shared" si="21"/>
        <v>1.054291194</v>
      </c>
      <c r="I98" s="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</row>
    <row r="99">
      <c r="A99" s="5"/>
      <c r="B99" s="5" t="s">
        <v>171</v>
      </c>
      <c r="C99" s="23">
        <f>SUM(C67,G67)</f>
        <v>0</v>
      </c>
      <c r="D99" s="5"/>
      <c r="E99" s="5" t="s">
        <v>172</v>
      </c>
      <c r="F99" s="23">
        <f>(D73*C70+H73*G70)/$G$1*$C$1</f>
        <v>32556.15</v>
      </c>
      <c r="G99" s="5"/>
      <c r="H99" s="193">
        <f t="shared" si="21"/>
        <v>0</v>
      </c>
      <c r="I99" s="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5"/>
      <c r="L100" s="5"/>
      <c r="M100" s="5"/>
      <c r="N100" s="5"/>
      <c r="O100" s="5"/>
      <c r="P100" s="5"/>
      <c r="Q100" s="5"/>
      <c r="R100" s="5"/>
      <c r="S100" s="5"/>
      <c r="T100" s="5"/>
      <c r="U100" s="5"/>
    </row>
    <row r="101">
      <c r="A101" s="5"/>
      <c r="B101" s="173" t="s">
        <v>173</v>
      </c>
      <c r="C101" s="18"/>
      <c r="D101" s="5"/>
      <c r="E101" s="173" t="s">
        <v>174</v>
      </c>
      <c r="F101" s="18"/>
      <c r="G101" s="5"/>
      <c r="H101" s="192" t="s">
        <v>93</v>
      </c>
      <c r="I101" s="5"/>
      <c r="J101" s="5"/>
      <c r="K101" s="55"/>
      <c r="L101" s="5"/>
      <c r="M101" s="5"/>
      <c r="N101" s="5"/>
      <c r="O101" s="5"/>
      <c r="P101" s="5"/>
      <c r="Q101" s="5"/>
      <c r="R101" s="5"/>
      <c r="S101" s="5"/>
      <c r="T101" s="5"/>
      <c r="U101" s="5"/>
    </row>
    <row r="102">
      <c r="A102" s="5"/>
      <c r="B102" s="5" t="s">
        <v>109</v>
      </c>
      <c r="C102" s="23">
        <f>SUM(C96:C99)</f>
        <v>17660676.4</v>
      </c>
      <c r="D102" s="5"/>
      <c r="E102" s="5" t="s">
        <v>109</v>
      </c>
      <c r="F102" s="23">
        <f>SUM(F96:F99)</f>
        <v>14414821.33</v>
      </c>
      <c r="G102" s="5"/>
      <c r="H102" s="193">
        <f t="shared" ref="H102:H103" si="22">C102/F102</f>
        <v>1.225174839</v>
      </c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</row>
    <row r="103">
      <c r="A103" s="5"/>
      <c r="B103" s="5" t="s">
        <v>111</v>
      </c>
      <c r="C103" s="23">
        <f>C102/$C$1*$G$1</f>
        <v>17660676.4</v>
      </c>
      <c r="D103" s="5"/>
      <c r="E103" s="5" t="s">
        <v>112</v>
      </c>
      <c r="F103" s="23">
        <f>D18*C15+H18*G15+D36*C33+H36*G33+D57*C54+H57*G54+D73*C70+H73*G70</f>
        <v>14414821.33</v>
      </c>
      <c r="G103" s="5"/>
      <c r="H103" s="193">
        <f t="shared" si="22"/>
        <v>1.225174839</v>
      </c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</row>
    <row r="105">
      <c r="A105" s="5"/>
      <c r="B105" s="173" t="s">
        <v>175</v>
      </c>
      <c r="C105" s="18"/>
      <c r="D105" s="5"/>
      <c r="E105" s="173" t="s">
        <v>176</v>
      </c>
      <c r="F105" s="18"/>
      <c r="G105" s="5"/>
      <c r="H105" s="192" t="s">
        <v>93</v>
      </c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</row>
    <row r="106">
      <c r="A106" s="5"/>
      <c r="B106" s="5" t="s">
        <v>18</v>
      </c>
      <c r="C106" s="63">
        <f>SUM(C12,G12)/SUM(D13,H13)</f>
        <v>0.135330216</v>
      </c>
      <c r="D106" s="5"/>
      <c r="E106" s="5" t="s">
        <v>18</v>
      </c>
      <c r="F106" s="63">
        <f>(D18*C15+H18*G15)/SUM(D18, H18)</f>
        <v>0.1294360288</v>
      </c>
      <c r="G106" s="5"/>
      <c r="H106" s="63">
        <f t="shared" ref="H106:H109" si="23">C106/F106-1</f>
        <v>0.04553745415</v>
      </c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</row>
    <row r="107">
      <c r="A107" s="5"/>
      <c r="B107" s="5" t="s">
        <v>115</v>
      </c>
      <c r="C107" s="63">
        <f>SUM(C30,G30)/SUM(D31,H31)</f>
        <v>0.07832298596</v>
      </c>
      <c r="D107" s="5"/>
      <c r="E107" s="5" t="s">
        <v>115</v>
      </c>
      <c r="F107" s="63">
        <f>(D36*C33+H36*G33)/SUM(D36, H36)</f>
        <v>0.09256217539</v>
      </c>
      <c r="G107" s="5"/>
      <c r="H107" s="63">
        <f t="shared" si="23"/>
        <v>-0.1538337811</v>
      </c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</row>
    <row r="108">
      <c r="A108" s="5"/>
      <c r="B108" s="5" t="s">
        <v>31</v>
      </c>
      <c r="C108" s="63">
        <f>SUM(C51,G51)/SUM(D52,H52)</f>
        <v>0.1573360887</v>
      </c>
      <c r="D108" s="5"/>
      <c r="E108" s="5" t="s">
        <v>31</v>
      </c>
      <c r="F108" s="63">
        <f>(D57*C54+H57*G54)/SUM(D57, H57)</f>
        <v>0.1763581317</v>
      </c>
      <c r="G108" s="5"/>
      <c r="H108" s="63">
        <f t="shared" si="23"/>
        <v>-0.1078603113</v>
      </c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</row>
    <row r="109">
      <c r="A109" s="5"/>
      <c r="B109" s="5" t="s">
        <v>116</v>
      </c>
      <c r="C109" s="63">
        <f>SUM(C96:C98)/SUM(C92)</f>
        <v>0.09800595759</v>
      </c>
      <c r="D109" s="5"/>
      <c r="E109" s="5" t="s">
        <v>116</v>
      </c>
      <c r="F109" s="63">
        <f>(D18*C15+H18*G15+D36*C33+H36*G33+D57*C54+H57*G54)/SUM(D18, H18, D36, H36, D57, H57)</f>
        <v>0.1067045405</v>
      </c>
      <c r="G109" s="5"/>
      <c r="H109" s="63">
        <f t="shared" si="23"/>
        <v>-0.08152026942</v>
      </c>
      <c r="I109" s="69">
        <f>1+H109</f>
        <v>0.9184797306</v>
      </c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</row>
    <row r="110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</row>
  </sheetData>
  <mergeCells count="43">
    <mergeCell ref="M2:N2"/>
    <mergeCell ref="O2:P2"/>
    <mergeCell ref="Q2:R2"/>
    <mergeCell ref="S2:T2"/>
    <mergeCell ref="B3:H3"/>
    <mergeCell ref="B4:C4"/>
    <mergeCell ref="F4:G4"/>
    <mergeCell ref="B26:H26"/>
    <mergeCell ref="B27:C27"/>
    <mergeCell ref="F27:G27"/>
    <mergeCell ref="M38:N38"/>
    <mergeCell ref="O38:P38"/>
    <mergeCell ref="Q38:R38"/>
    <mergeCell ref="S38:T38"/>
    <mergeCell ref="Q45:R45"/>
    <mergeCell ref="S45:T45"/>
    <mergeCell ref="K47:L47"/>
    <mergeCell ref="M47:N47"/>
    <mergeCell ref="O47:P47"/>
    <mergeCell ref="Q47:R47"/>
    <mergeCell ref="S47:T47"/>
    <mergeCell ref="K38:L38"/>
    <mergeCell ref="B44:H44"/>
    <mergeCell ref="B45:C45"/>
    <mergeCell ref="F45:G45"/>
    <mergeCell ref="K45:L45"/>
    <mergeCell ref="M45:N45"/>
    <mergeCell ref="O45:P45"/>
    <mergeCell ref="B91:C91"/>
    <mergeCell ref="E91:F91"/>
    <mergeCell ref="B95:C95"/>
    <mergeCell ref="E95:F95"/>
    <mergeCell ref="B101:C101"/>
    <mergeCell ref="E101:F101"/>
    <mergeCell ref="B105:C105"/>
    <mergeCell ref="E105:F105"/>
    <mergeCell ref="B65:H65"/>
    <mergeCell ref="B66:C66"/>
    <mergeCell ref="F66:G66"/>
    <mergeCell ref="B81:C81"/>
    <mergeCell ref="E81:F81"/>
    <mergeCell ref="B87:C87"/>
    <mergeCell ref="E87:F87"/>
  </mergeCells>
  <conditionalFormatting sqref="D16 H16 D34 H34 H55 D55 D71 H71">
    <cfRule type="cellIs" dxfId="0" priority="1" operator="lessThan">
      <formula>0</formula>
    </cfRule>
  </conditionalFormatting>
  <conditionalFormatting sqref="D16 H16 D34 H34 H55 D55 D71 H71">
    <cfRule type="cellIs" dxfId="1" priority="2" operator="greaterThan">
      <formula>0</formula>
    </cfRule>
  </conditionalFormatting>
  <conditionalFormatting sqref="D22 H22 D40 H40 D61 H61 D77 H77">
    <cfRule type="cellIs" dxfId="0" priority="3" operator="greaterThan">
      <formula>0</formula>
    </cfRule>
  </conditionalFormatting>
  <conditionalFormatting sqref="D22 H22 D40 H40 D61 H61 D77 H77">
    <cfRule type="cellIs" dxfId="1" priority="4" operator="lessThan">
      <formula>0</formula>
    </cfRule>
  </conditionalFormatting>
  <conditionalFormatting sqref="D24 H24 H42 D42 D63 H63 D79 H79">
    <cfRule type="cellIs" dxfId="0" priority="5" operator="greaterThan">
      <formula>1</formula>
    </cfRule>
  </conditionalFormatting>
  <conditionalFormatting sqref="D24 H24 H42 D42 D63 H63 D79 H79">
    <cfRule type="cellIs" dxfId="1" priority="6" operator="lessThan">
      <formula>1</formula>
    </cfRule>
  </conditionalFormatting>
  <conditionalFormatting sqref="H82:H85">
    <cfRule type="cellIs" dxfId="0" priority="7" operator="greaterThan">
      <formula>1</formula>
    </cfRule>
  </conditionalFormatting>
  <conditionalFormatting sqref="H82:H85">
    <cfRule type="cellIs" dxfId="1" priority="8" operator="lessThan">
      <formula>1</formula>
    </cfRule>
  </conditionalFormatting>
  <conditionalFormatting sqref="H88:H89 H92:H93">
    <cfRule type="cellIs" dxfId="0" priority="9" operator="greaterThan">
      <formula>1</formula>
    </cfRule>
  </conditionalFormatting>
  <conditionalFormatting sqref="H88:H89 H92:H93">
    <cfRule type="cellIs" dxfId="1" priority="10" operator="lessThan">
      <formula>1</formula>
    </cfRule>
  </conditionalFormatting>
  <conditionalFormatting sqref="H106:H109">
    <cfRule type="cellIs" dxfId="0" priority="11" operator="lessThan">
      <formula>1</formula>
    </cfRule>
  </conditionalFormatting>
  <conditionalFormatting sqref="H106:H109">
    <cfRule type="cellIs" dxfId="1" priority="12" operator="greaterThan">
      <formula>1</formula>
    </cfRule>
  </conditionalFormatting>
  <conditionalFormatting sqref="L44 M44:T45">
    <cfRule type="cellIs" dxfId="0" priority="13" operator="greaterThan">
      <formula>0</formula>
    </cfRule>
  </conditionalFormatting>
  <conditionalFormatting sqref="L44 M44:T45">
    <cfRule type="cellIs" dxfId="1" priority="14" operator="lessThan">
      <formula>0</formula>
    </cfRule>
  </conditionalFormatting>
  <drawing r:id="rId1"/>
</worksheet>
</file>