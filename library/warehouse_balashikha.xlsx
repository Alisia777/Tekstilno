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татки" sheetId="1" r:id="rId5"/>
    <sheet state="visible" name="Наборы" sheetId="2" r:id="rId6"/>
    <sheet state="visible" name="Отгрузки и поставки" sheetId="3" r:id="rId7"/>
    <sheet state="visible" name="Сводная таблица 1" sheetId="4" r:id="rId8"/>
    <sheet state="visible" name="Регламенты" sheetId="5" r:id="rId9"/>
    <sheet state="visible" name="Возвраты" sheetId="6" r:id="rId10"/>
    <sheet state="visible" name="Гаммовки Меркурий" sheetId="7" r:id="rId11"/>
    <sheet state="visible" name="Лист11" sheetId="8" r:id="rId12"/>
    <sheet state="visible" name="FBS" sheetId="9" r:id="rId13"/>
    <sheet state="visible" name="Доп обработка" sheetId="10" r:id="rId14"/>
    <sheet state="visible" name="Лист13" sheetId="11" r:id="rId15"/>
  </sheets>
  <definedNames>
    <definedName hidden="1" localSheetId="9" name="_xlnm._FilterDatabase">'Доп обработка'!$A$1:$O$2563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<sst xmlns="http://schemas.openxmlformats.org/spreadsheetml/2006/main" count="7328" uniqueCount="963">
  <si>
    <t>Юр. лицо</t>
  </si>
  <si>
    <t>ШК</t>
  </si>
  <si>
    <t xml:space="preserve">Наименование как в ЛК </t>
  </si>
  <si>
    <t>Наименование</t>
  </si>
  <si>
    <t>Принято</t>
  </si>
  <si>
    <t>Брак/Прочие отгрузки</t>
  </si>
  <si>
    <t>Примечание</t>
  </si>
  <si>
    <t>Отгружено Озон</t>
  </si>
  <si>
    <t>Отгружено ВБ</t>
  </si>
  <si>
    <t>Остатки</t>
  </si>
  <si>
    <t>Кратно шт в коробке</t>
  </si>
  <si>
    <t>Срок годности</t>
  </si>
  <si>
    <t>Количество</t>
  </si>
  <si>
    <t>Биг_Л</t>
  </si>
  <si>
    <t>qeep_betain_60caps</t>
  </si>
  <si>
    <t>qeep_arginine_90caps</t>
  </si>
  <si>
    <t>116/331</t>
  </si>
  <si>
    <t>qeep_berberine_60caps</t>
  </si>
  <si>
    <t>50/162</t>
  </si>
  <si>
    <t>qeep_ZMA_120caps</t>
  </si>
  <si>
    <t>harly_shampoo_blohi_500ml</t>
  </si>
  <si>
    <t>20/50</t>
  </si>
  <si>
    <t>qeep_iron40mg_60caps</t>
  </si>
  <si>
    <t>qeep_magnB6_120caps</t>
  </si>
  <si>
    <t>60/160</t>
  </si>
  <si>
    <t>qeep_nabor_remuver_40ml</t>
  </si>
  <si>
    <t>qeep_nabor_remuver_40ml_1_1</t>
  </si>
  <si>
    <t>qeep_isotoniccitrus_300g</t>
  </si>
  <si>
    <t>qeep_isotonicmintlime_300g</t>
  </si>
  <si>
    <t>qeep_isotonicraspblime_300g</t>
  </si>
  <si>
    <t>qeep_hairspray_200ml</t>
  </si>
  <si>
    <t>40/100</t>
  </si>
  <si>
    <t>qeep_climafem_60caps</t>
  </si>
  <si>
    <t>qeep_ecdysterone_60caps</t>
  </si>
  <si>
    <t>803-03.06</t>
  </si>
  <si>
    <t>Озон</t>
  </si>
  <si>
    <t>ВБ</t>
  </si>
  <si>
    <t>ЯМ</t>
  </si>
  <si>
    <t>ЗЯ</t>
  </si>
  <si>
    <t>Летуаль</t>
  </si>
  <si>
    <t>harly_likvidator_500ml</t>
  </si>
  <si>
    <t>122п</t>
  </si>
  <si>
    <t>harly_likvidator_v2</t>
  </si>
  <si>
    <t>12/480</t>
  </si>
  <si>
    <t>qeep_D3_30ml</t>
  </si>
  <si>
    <t>зя</t>
  </si>
  <si>
    <t>ле</t>
  </si>
  <si>
    <t>ям</t>
  </si>
  <si>
    <t>harly_pawprotector_30ml</t>
  </si>
  <si>
    <t>qeep_sodium_ascorbate_90caps</t>
  </si>
  <si>
    <t>qeepzinc</t>
  </si>
  <si>
    <t>qeepTVzinc</t>
  </si>
  <si>
    <t>qeep_creatine_300g</t>
  </si>
  <si>
    <t>qeep_nac_90caps</t>
  </si>
  <si>
    <t>qeep_ginkgo_biloba_90caps</t>
  </si>
  <si>
    <t>harly_ear_drops</t>
  </si>
  <si>
    <t>0 - 28.08</t>
  </si>
  <si>
    <t>harly_shampoo_500ml</t>
  </si>
  <si>
    <t>harly_spray_250ml</t>
  </si>
  <si>
    <t>harly_catshampoo_250ml</t>
  </si>
  <si>
    <t>harly_longhairdog_500ml</t>
  </si>
  <si>
    <t>qeep_bloodypeeling_30ml</t>
  </si>
  <si>
    <t>63/144</t>
  </si>
  <si>
    <t>qeep_gummy_multivit_60</t>
  </si>
  <si>
    <t>qeep_gummy_magn_60</t>
  </si>
  <si>
    <t>qeep_pqq_30caps</t>
  </si>
  <si>
    <t>qeepinositol</t>
  </si>
  <si>
    <t>qeepTVinositol</t>
  </si>
  <si>
    <t>qeep_inositol1500mg_60caps</t>
  </si>
  <si>
    <t>qeep_tobaccocherry_450ml</t>
  </si>
  <si>
    <t>harly_pawsoap_500ml</t>
  </si>
  <si>
    <t>20/50/600</t>
  </si>
  <si>
    <t>harly_dog_pads_30pcs</t>
  </si>
  <si>
    <t>18/288</t>
  </si>
  <si>
    <t>qeep_Perfectman_60caps</t>
  </si>
  <si>
    <t>48/30</t>
  </si>
  <si>
    <t>qeep_biotin_10000_60caps</t>
  </si>
  <si>
    <t>qeep_biopurin_60caps</t>
  </si>
  <si>
    <t>qeepcurcumin_500mg_60caps</t>
  </si>
  <si>
    <t>qeepTVcurcumin_500mg_60caps</t>
  </si>
  <si>
    <t>qeep_perfect_spray_200ml</t>
  </si>
  <si>
    <t>32/100/1600</t>
  </si>
  <si>
    <t>qeep_glutamine_90caps</t>
  </si>
  <si>
    <t>qeepantioxy</t>
  </si>
  <si>
    <t>qeepTVantioxidants</t>
  </si>
  <si>
    <t>qeepprobiotics</t>
  </si>
  <si>
    <t>qeepTVprobiotics_Prebiotics</t>
  </si>
  <si>
    <t>40/1680</t>
  </si>
  <si>
    <t>qeepcurcumin</t>
  </si>
  <si>
    <t>qeepTVcurcumin</t>
  </si>
  <si>
    <t>harly_eye_lotion</t>
  </si>
  <si>
    <t>24/100</t>
  </si>
  <si>
    <t>qeep_acnegel_20ml</t>
  </si>
  <si>
    <t>42/128</t>
  </si>
  <si>
    <t>qeep_acnegel_20ml_v2</t>
  </si>
  <si>
    <t>qeep_chrom250_60caps</t>
  </si>
  <si>
    <t>qeep_tonic_200ml</t>
  </si>
  <si>
    <t>qeep_omega_3_1620_90caps</t>
  </si>
  <si>
    <t>qeep_si_beauty_90caps</t>
  </si>
  <si>
    <t>qeep_Memory_Focus_60caps</t>
  </si>
  <si>
    <t>qeep_gummy_d3_60</t>
  </si>
  <si>
    <t>qeep_gummy_c_60</t>
  </si>
  <si>
    <t>qeep_dlyarostavolos_100ml</t>
  </si>
  <si>
    <t>105/128</t>
  </si>
  <si>
    <t>qeepcollagen_peptides_lemon</t>
  </si>
  <si>
    <t>qeepTVcollagen_peptides_lemon</t>
  </si>
  <si>
    <t>qeepcollagen_peptides_mango</t>
  </si>
  <si>
    <t>qeepTVcollagen_peptides_mango</t>
  </si>
  <si>
    <t>qeepcollagen_peptides_Natural</t>
  </si>
  <si>
    <t>qeepTVcollagen_peptides_Natural</t>
  </si>
  <si>
    <t>qeep_d3k2_5000ME_120tabs</t>
  </si>
  <si>
    <t>умер</t>
  </si>
  <si>
    <t>qeep_penka_150ml</t>
  </si>
  <si>
    <t>qeep_enzyme_80g</t>
  </si>
  <si>
    <t>40/128</t>
  </si>
  <si>
    <t>qeep_retinolcream_50ml</t>
  </si>
  <si>
    <t>qeep_chlorophyll_500ml_v2</t>
  </si>
  <si>
    <t>qeep_probioticdetox_60caps</t>
  </si>
  <si>
    <t>новый шк 4609981803516</t>
  </si>
  <si>
    <t>qeep_zma_120caps_v2</t>
  </si>
  <si>
    <t>qeep_maman_200ml</t>
  </si>
  <si>
    <t>45/100</t>
  </si>
  <si>
    <t>qeep_spf50_50ml</t>
  </si>
  <si>
    <t>qeep_retinolcream1_50ml</t>
  </si>
  <si>
    <t>qeep_retinolcream15_50ml</t>
  </si>
  <si>
    <t>harly_dog_pads_6090_30pcs</t>
  </si>
  <si>
    <t>9/144</t>
  </si>
  <si>
    <t>qeep_spiculeglow_30ml</t>
  </si>
  <si>
    <t>qeep_magntreonat_90caps</t>
  </si>
  <si>
    <t>harly_pawprotector_50ml</t>
  </si>
  <si>
    <t>78/144</t>
  </si>
  <si>
    <t>harly_toothpaste_50ml</t>
  </si>
  <si>
    <t>harly_sardineoil_250ml</t>
  </si>
  <si>
    <t>harly_salmonoil_250ml</t>
  </si>
  <si>
    <t>harly_salmon_oil</t>
  </si>
  <si>
    <t>15/160</t>
  </si>
  <si>
    <t>harly_dog_lamb_2kg</t>
  </si>
  <si>
    <t>Рваная упаковка/нет даты</t>
  </si>
  <si>
    <t>10/154</t>
  </si>
  <si>
    <t>harly_dog_turkey_2kg</t>
  </si>
  <si>
    <t xml:space="preserve">Рваная упаковка/нет даты </t>
  </si>
  <si>
    <t>harly_cat_premiumturkey_2kg</t>
  </si>
  <si>
    <t>harly_cat_premiumveal_2kg</t>
  </si>
  <si>
    <t>harly_paste_75ml</t>
  </si>
  <si>
    <t>harly_paste_75ml_v2</t>
  </si>
  <si>
    <t>28 - 18.08</t>
  </si>
  <si>
    <t>20/128</t>
  </si>
  <si>
    <t>Harly_Skin_Coat</t>
  </si>
  <si>
    <t>55 - 07 08</t>
  </si>
  <si>
    <t>Harly_Joint_Care</t>
  </si>
  <si>
    <t>Harly_cat_support_100tabs</t>
  </si>
  <si>
    <t>Harly_dog_teeth_bones_100tabs</t>
  </si>
  <si>
    <t>Harly_cat_teeth_bones_100tabs</t>
  </si>
  <si>
    <t>harly_dog_antiallergy_100tabs</t>
  </si>
  <si>
    <t>Harly_dogcat_probiotics_20tabs</t>
  </si>
  <si>
    <t>78 - 03.09</t>
  </si>
  <si>
    <t>60/144</t>
  </si>
  <si>
    <t>Смарт-Сейл</t>
  </si>
  <si>
    <t>gel_dlya_brovei_6ml</t>
  </si>
  <si>
    <t>maska-batter_250ml</t>
  </si>
  <si>
    <t>427 в Коледино</t>
  </si>
  <si>
    <t>33/60</t>
  </si>
  <si>
    <t>krem_ot_rastyazhek</t>
  </si>
  <si>
    <t>stik_ot_mozoley</t>
  </si>
  <si>
    <t>kavmaz</t>
  </si>
  <si>
    <t>kavmaz_40ml</t>
  </si>
  <si>
    <t>kavmaz_40ml_1_1</t>
  </si>
  <si>
    <t>kavmaz_60ml</t>
  </si>
  <si>
    <t>artoks_75ml</t>
  </si>
  <si>
    <t>artoks</t>
  </si>
  <si>
    <t>artoks50wb</t>
  </si>
  <si>
    <t>dardrakona</t>
  </si>
  <si>
    <t>dardrakona50wb</t>
  </si>
  <si>
    <t>artoks_1_1</t>
  </si>
  <si>
    <t>dardrakona_1_1</t>
  </si>
  <si>
    <t>shampun_dlya_rosta_250ml</t>
  </si>
  <si>
    <t>yagodniy_spas</t>
  </si>
  <si>
    <t>yagodniy_spas_1_1</t>
  </si>
  <si>
    <t>syvorotka_dlya_rosta_6ml</t>
  </si>
  <si>
    <t>syvorotka_dlya_rosta_6ml_v2</t>
  </si>
  <si>
    <t>termo_sprei_200ml</t>
  </si>
  <si>
    <t>micardinforte</t>
  </si>
  <si>
    <t>wbmikardinforte</t>
  </si>
  <si>
    <t>maslo_dlya_borodi_50ml</t>
  </si>
  <si>
    <t>77/144</t>
  </si>
  <si>
    <t>sustalit_75ml</t>
  </si>
  <si>
    <t>smokinglock</t>
  </si>
  <si>
    <t>smokinglock2</t>
  </si>
  <si>
    <t>364(100)</t>
  </si>
  <si>
    <t>syvorotka_guk_30ml</t>
  </si>
  <si>
    <t>40/144</t>
  </si>
  <si>
    <t>limfaks_BAD_30caps</t>
  </si>
  <si>
    <t>berberin_laif_BAD_60caps</t>
  </si>
  <si>
    <t>sanatsin</t>
  </si>
  <si>
    <t>sanatsin2</t>
  </si>
  <si>
    <t>sanatsin_1_1</t>
  </si>
  <si>
    <t>nabor_remuver_40ml</t>
  </si>
  <si>
    <t>nabor_remuver_40ml_1_1</t>
  </si>
  <si>
    <t>enzim_pudra_80gr</t>
  </si>
  <si>
    <t>enzim_pudra_80gr_v2</t>
  </si>
  <si>
    <t>indolakt_BAD_60caps</t>
  </si>
  <si>
    <t>revmastop_BAD_60caps</t>
  </si>
  <si>
    <t>krem-filler_15ml</t>
  </si>
  <si>
    <t>i_am_alpha_BAD_60caps</t>
  </si>
  <si>
    <t>Повреждён ЧЗ</t>
  </si>
  <si>
    <t>arterol</t>
  </si>
  <si>
    <t>arterol_1_1</t>
  </si>
  <si>
    <t>arterol_1_1_1</t>
  </si>
  <si>
    <t>glikiron_BAD_60caps</t>
  </si>
  <si>
    <t>menoflavon_BAD_60caps</t>
  </si>
  <si>
    <t>pantogor</t>
  </si>
  <si>
    <t>wbpantogor</t>
  </si>
  <si>
    <t>wbpantogor_1_1</t>
  </si>
  <si>
    <t>wbbiotrin</t>
  </si>
  <si>
    <t>biotrin</t>
  </si>
  <si>
    <t>wbbiotrin_1_1</t>
  </si>
  <si>
    <t>wbbiotrin_1_1_1</t>
  </si>
  <si>
    <t>allicil_gribok15ml</t>
  </si>
  <si>
    <t>108/144</t>
  </si>
  <si>
    <t>b_kompleks_BAD_60tabl</t>
  </si>
  <si>
    <t>shampun_protiv_perhoti_250ml</t>
  </si>
  <si>
    <t>trezvin</t>
  </si>
  <si>
    <t>70-28.08</t>
  </si>
  <si>
    <t>syvorotka_dlya_lica_30ml</t>
  </si>
  <si>
    <t>16/144</t>
  </si>
  <si>
    <t>syvorotka_dlya_lica_30ml_v2</t>
  </si>
  <si>
    <t>gemorekt</t>
  </si>
  <si>
    <t>glukofol</t>
  </si>
  <si>
    <t>mycoplax</t>
  </si>
  <si>
    <t>mycoplax_1_1</t>
  </si>
  <si>
    <t>uromax</t>
  </si>
  <si>
    <t>uromax_1_1</t>
  </si>
  <si>
    <t>micardin</t>
  </si>
  <si>
    <t>micardin2</t>
  </si>
  <si>
    <t>micardin_1_1</t>
  </si>
  <si>
    <t>micardin_1_1_1</t>
  </si>
  <si>
    <t>insulight</t>
  </si>
  <si>
    <t>216/2592</t>
  </si>
  <si>
    <t>insulight_1_1</t>
  </si>
  <si>
    <t>uhovit</t>
  </si>
  <si>
    <t>chudogrib</t>
  </si>
  <si>
    <t>nabor_remuver_kremovii</t>
  </si>
  <si>
    <t>gel_parfum_tabacco_vanille_450ml</t>
  </si>
  <si>
    <t>psoral</t>
  </si>
  <si>
    <t>psoral_50ml</t>
  </si>
  <si>
    <t>synergel_60ml</t>
  </si>
  <si>
    <t>vetonus</t>
  </si>
  <si>
    <t>vetonus_100ml</t>
  </si>
  <si>
    <t>vetonus_1_1</t>
  </si>
  <si>
    <t>wbgetsize</t>
  </si>
  <si>
    <t>getsize</t>
  </si>
  <si>
    <t>pirantox</t>
  </si>
  <si>
    <t>retiderm_50ml</t>
  </si>
  <si>
    <t>126/128/144</t>
  </si>
  <si>
    <t>wbsinergel</t>
  </si>
  <si>
    <t>sinergel</t>
  </si>
  <si>
    <t>sinergel_30ml_1_1</t>
  </si>
  <si>
    <t>Т-34_BAD_60caps</t>
  </si>
  <si>
    <t>sustalit</t>
  </si>
  <si>
    <t>sustalit2</t>
  </si>
  <si>
    <t>sustalit_30ml_1_1</t>
  </si>
  <si>
    <t>urofol</t>
  </si>
  <si>
    <t>activeprost</t>
  </si>
  <si>
    <t>daoshen</t>
  </si>
  <si>
    <t>nabor_penka_dlya_resnic</t>
  </si>
  <si>
    <t>alteya_beauty_brows_box</t>
  </si>
  <si>
    <t>daoshen_75ml</t>
  </si>
  <si>
    <t>intimvita_200ml</t>
  </si>
  <si>
    <t>alteya_young_skin_box</t>
  </si>
  <si>
    <t>wbalkotoxic</t>
  </si>
  <si>
    <t>alkotoxic</t>
  </si>
  <si>
    <t>wbvizox</t>
  </si>
  <si>
    <t>vizox</t>
  </si>
  <si>
    <t>varifit</t>
  </si>
  <si>
    <t>varifit_1_1</t>
  </si>
  <si>
    <t>ekzifol</t>
  </si>
  <si>
    <t>wbneomax</t>
  </si>
  <si>
    <t>neomax</t>
  </si>
  <si>
    <t>papiderm</t>
  </si>
  <si>
    <t>wbpapiderm</t>
  </si>
  <si>
    <t>wbvaritox</t>
  </si>
  <si>
    <t>varitoxgel</t>
  </si>
  <si>
    <t>kinzhal</t>
  </si>
  <si>
    <t>kinzhal_1_1</t>
  </si>
  <si>
    <t>trezax</t>
  </si>
  <si>
    <t>urolgan</t>
  </si>
  <si>
    <t>okospas</t>
  </si>
  <si>
    <t>chudofrukt</t>
  </si>
  <si>
    <t>сhudofrukt_1_1</t>
  </si>
  <si>
    <t>chudofrukt_1_1</t>
  </si>
  <si>
    <t>enteroshol</t>
  </si>
  <si>
    <t>otivin</t>
  </si>
  <si>
    <t>oftalmol</t>
  </si>
  <si>
    <t>wowglam</t>
  </si>
  <si>
    <t>osteofast</t>
  </si>
  <si>
    <t>gel_for_men_3_in_1_1000ml</t>
  </si>
  <si>
    <t>24/192</t>
  </si>
  <si>
    <t>adenofringreen</t>
  </si>
  <si>
    <t>adenofrin</t>
  </si>
  <si>
    <t>adenofrin2</t>
  </si>
  <si>
    <t>brutalax</t>
  </si>
  <si>
    <t>erobrut</t>
  </si>
  <si>
    <t>urinofix</t>
  </si>
  <si>
    <t>glikiron</t>
  </si>
  <si>
    <t>micolan</t>
  </si>
  <si>
    <t>dolgar</t>
  </si>
  <si>
    <t>khvoinitsa</t>
  </si>
  <si>
    <t>khvoinitsa_1_1</t>
  </si>
  <si>
    <t>wbmicelix</t>
  </si>
  <si>
    <t>mycelix</t>
  </si>
  <si>
    <t>wbmicelix_1_1</t>
  </si>
  <si>
    <t>okucin</t>
  </si>
  <si>
    <t>Может быть ШК 4631144115358</t>
  </si>
  <si>
    <t>trezor</t>
  </si>
  <si>
    <t>fruitalica</t>
  </si>
  <si>
    <t>frutalika_blister</t>
  </si>
  <si>
    <t>wboptitrin</t>
  </si>
  <si>
    <t>optitrin2</t>
  </si>
  <si>
    <t>kardicin</t>
  </si>
  <si>
    <t>kardicin_1_1</t>
  </si>
  <si>
    <t>kardicin_1_1_1</t>
  </si>
  <si>
    <t>t34poten10caps</t>
  </si>
  <si>
    <t>wbneomaxblue</t>
  </si>
  <si>
    <t>neomaxblue</t>
  </si>
  <si>
    <t>просрочен</t>
  </si>
  <si>
    <t>krovavii_piling_30ml</t>
  </si>
  <si>
    <t>frutaksa_BAD_200gr</t>
  </si>
  <si>
    <t>kremshelk_100ml_</t>
  </si>
  <si>
    <t>32/100</t>
  </si>
  <si>
    <t>cardicin_BAD_60caps</t>
  </si>
  <si>
    <t>wbgetsizegel</t>
  </si>
  <si>
    <t>getsizegel</t>
  </si>
  <si>
    <t>gel_brows_5ml</t>
  </si>
  <si>
    <t>piling_100ml</t>
  </si>
  <si>
    <t>maska_dlya_lica_100ml</t>
  </si>
  <si>
    <t>maska-batter_dlya_rosta_500ml</t>
  </si>
  <si>
    <t>36/45</t>
  </si>
  <si>
    <t>solevoy_sprei_200ml</t>
  </si>
  <si>
    <t>32/1000</t>
  </si>
  <si>
    <t>insulight_BAD_60caps</t>
  </si>
  <si>
    <t>krem_dlya_ruk_75ml</t>
  </si>
  <si>
    <t>gel_antiakne_20ml</t>
  </si>
  <si>
    <t>66 - 10.07</t>
  </si>
  <si>
    <t>42/336</t>
  </si>
  <si>
    <t>gel_antiakne_20ml_v2</t>
  </si>
  <si>
    <t>800 - 15.09</t>
  </si>
  <si>
    <t>ekdisteron_ultra_man_60caps</t>
  </si>
  <si>
    <t>curly_method_300ml</t>
  </si>
  <si>
    <t>60/100</t>
  </si>
  <si>
    <t>maslo_dlya_volos_parf_110ml_</t>
  </si>
  <si>
    <t>tonik_dlya_lica_200ml</t>
  </si>
  <si>
    <t>pantogor_100ml</t>
  </si>
  <si>
    <t>silk_hair_300ml</t>
  </si>
  <si>
    <t>penka_160ml</t>
  </si>
  <si>
    <t>sprei_buster_100ml</t>
  </si>
  <si>
    <t>penka_kudryavii_metod_150ml</t>
  </si>
  <si>
    <t>skrab_babl_gam_200ml</t>
  </si>
  <si>
    <t>11/100</t>
  </si>
  <si>
    <t>frutalika_BAD_60caps</t>
  </si>
  <si>
    <t>telomeras_60caps</t>
  </si>
  <si>
    <t>krem_dlya_vek_30ml</t>
  </si>
  <si>
    <t>20/125</t>
  </si>
  <si>
    <t>intimvita_300ml</t>
  </si>
  <si>
    <t>8/40</t>
  </si>
  <si>
    <t>pink_pepper_50ml</t>
  </si>
  <si>
    <t>80/128</t>
  </si>
  <si>
    <t>krem_buster_250ml</t>
  </si>
  <si>
    <t>03.09 - 400</t>
  </si>
  <si>
    <t>24/50</t>
  </si>
  <si>
    <t>retinait_syvorotka_1_30ml</t>
  </si>
  <si>
    <t>matte_wax_50ml</t>
  </si>
  <si>
    <t>retinait_krem_1_50ml</t>
  </si>
  <si>
    <t>retinait_krem_025_50ml</t>
  </si>
  <si>
    <t>retinait_krem_05_50ml</t>
  </si>
  <si>
    <t>gel_dlya_britya_300ml</t>
  </si>
  <si>
    <t>retinait_krem_01_50ml</t>
  </si>
  <si>
    <t>antigiperton</t>
  </si>
  <si>
    <t>krem_spf50_50ml</t>
  </si>
  <si>
    <t>maska-batter_500ml</t>
  </si>
  <si>
    <t>retinait_krem_1_5_50ml</t>
  </si>
  <si>
    <t>76/144</t>
  </si>
  <si>
    <t>vosk_stik_15ml</t>
  </si>
  <si>
    <t>retinol_boost_krem_dlya_vek_30ml</t>
  </si>
  <si>
    <t>syvorotka_niacin_05_30ml</t>
  </si>
  <si>
    <t>retinait_syvorotka_05_30ml</t>
  </si>
  <si>
    <t>retinait_syvorotka_025_30ml</t>
  </si>
  <si>
    <t>spiculboost_30ml</t>
  </si>
  <si>
    <t>Аптека, русифицированные этикетки</t>
  </si>
  <si>
    <t>Серия</t>
  </si>
  <si>
    <t>Отгружено</t>
  </si>
  <si>
    <t>Остаток</t>
  </si>
  <si>
    <t>Кратно шт в коробе</t>
  </si>
  <si>
    <t>Дата производства</t>
  </si>
  <si>
    <t>qeep_livercomplex_60caps</t>
  </si>
  <si>
    <t>В основной сток 02\001</t>
  </si>
  <si>
    <t xml:space="preserve">qeep_zink_apteka </t>
  </si>
  <si>
    <t>qeepselenium</t>
  </si>
  <si>
    <t>qeepTVselenium</t>
  </si>
  <si>
    <t>Вывоз с ФФ 1</t>
  </si>
  <si>
    <t>qeep_perfectwoman_60caps</t>
  </si>
  <si>
    <t>qeep_bcomplex_90caps</t>
  </si>
  <si>
    <t>qeep_ezhovik_90caps</t>
  </si>
  <si>
    <t>утиль</t>
  </si>
  <si>
    <t>qeep_D3_2000ME_120caps</t>
  </si>
  <si>
    <t>qeep_vitaminA_90caps</t>
  </si>
  <si>
    <t>qeep_Antiparasite_60caps</t>
  </si>
  <si>
    <t>qoenzyme</t>
  </si>
  <si>
    <t>qeepTVcoenzyme_q10</t>
  </si>
  <si>
    <t>Вывоз с ФФ 2</t>
  </si>
  <si>
    <t>qeep_biomelatonin_60caps</t>
  </si>
  <si>
    <t>qeepcollagen</t>
  </si>
  <si>
    <t>qeepTVcollagen</t>
  </si>
  <si>
    <t>qeep_kidsvitamins_60tabs</t>
  </si>
  <si>
    <t>Вывоз с ФФ 3</t>
  </si>
  <si>
    <t>relaksinol_BAD_60caps</t>
  </si>
  <si>
    <t>dardrakona_75ml</t>
  </si>
  <si>
    <t>gidrofilnoe_maslo_150ml</t>
  </si>
  <si>
    <t>chudofrukt_BAD_60caps</t>
  </si>
  <si>
    <t>chudofrukt_BAD_60caps_new</t>
  </si>
  <si>
    <t>Юр.лицо</t>
  </si>
  <si>
    <t>Товар 1</t>
  </si>
  <si>
    <t>Товар 2</t>
  </si>
  <si>
    <t>Товар 3</t>
  </si>
  <si>
    <t>wbpantogor (под наборы)</t>
  </si>
  <si>
    <t>remuver_kremovii_15g</t>
  </si>
  <si>
    <t>Микробраши 4 шт, Щёточка для ресниц 3 шт</t>
  </si>
  <si>
    <t>нет</t>
  </si>
  <si>
    <t>penka_dlya_resnic</t>
  </si>
  <si>
    <t>Щёточка для ресниц</t>
  </si>
  <si>
    <t>remuver_40ml</t>
  </si>
  <si>
    <t>Палочки для кутикулы 2 шт</t>
  </si>
  <si>
    <t>Палочки для кутикулы 4 шт</t>
  </si>
  <si>
    <t>Retinol_Start_Kit</t>
  </si>
  <si>
    <t>Retinol_Full_Journey</t>
  </si>
  <si>
    <t>Strong_Hair</t>
  </si>
  <si>
    <t>Бигл</t>
  </si>
  <si>
    <t>qeep_beautybox</t>
  </si>
  <si>
    <t>qeep_biotin_5000_60caps</t>
  </si>
  <si>
    <t>qeepTVomega_3_1620</t>
  </si>
  <si>
    <t xml:space="preserve">qeep_manbox </t>
  </si>
  <si>
    <t xml:space="preserve">qeep_winterbox </t>
  </si>
  <si>
    <t>qeep_zinc_30tabs</t>
  </si>
  <si>
    <t>qeep_remover_40ml</t>
  </si>
  <si>
    <t>qeep_inositolzinc_11</t>
  </si>
  <si>
    <t>qeep_omegamagn_11</t>
  </si>
  <si>
    <t>qeep_sivitc_11</t>
  </si>
  <si>
    <t xml:space="preserve"> </t>
  </si>
  <si>
    <t>Транзит</t>
  </si>
  <si>
    <t>Места</t>
  </si>
  <si>
    <t>Маркировка</t>
  </si>
  <si>
    <t>Объём</t>
  </si>
  <si>
    <t>Меркурий</t>
  </si>
  <si>
    <t>Поставщики</t>
  </si>
  <si>
    <t>Озон Бигл Пермь</t>
  </si>
  <si>
    <t>Осташковское</t>
  </si>
  <si>
    <t>2п</t>
  </si>
  <si>
    <t>Перенос с 01.03</t>
  </si>
  <si>
    <t xml:space="preserve">Алексей отпуск </t>
  </si>
  <si>
    <t>06.04-20.04</t>
  </si>
  <si>
    <t>Озон Бигл Тюмень</t>
  </si>
  <si>
    <t>2к</t>
  </si>
  <si>
    <t>БЛ00-000009</t>
  </si>
  <si>
    <t>короба</t>
  </si>
  <si>
    <t>Озон Бигл Оренбург</t>
  </si>
  <si>
    <t>1п</t>
  </si>
  <si>
    <t>БЛ00-000008</t>
  </si>
  <si>
    <t>Озон Бигл Калининград</t>
  </si>
  <si>
    <t>БЛ00-000007</t>
  </si>
  <si>
    <t>ВБ Бигл Электросталь</t>
  </si>
  <si>
    <t>БЛ00-000012</t>
  </si>
  <si>
    <t>Вопросы склад:</t>
  </si>
  <si>
    <t>ВБ Бигл Волгоград</t>
  </si>
  <si>
    <t>Обухово</t>
  </si>
  <si>
    <t>БЛ00-000011</t>
  </si>
  <si>
    <t>qeepinositol - 30122</t>
  </si>
  <si>
    <t>Габариты Озон</t>
  </si>
  <si>
    <t>Озон Смарт Гривно</t>
  </si>
  <si>
    <t>13:00-14:00</t>
  </si>
  <si>
    <t>0000-000003</t>
  </si>
  <si>
    <t>ЯМ ЧЗ</t>
  </si>
  <si>
    <t>Озон Бигл Гривно</t>
  </si>
  <si>
    <t>12:00-13:00</t>
  </si>
  <si>
    <t>5п</t>
  </si>
  <si>
    <t>БЛ00-000006</t>
  </si>
  <si>
    <t>В офис</t>
  </si>
  <si>
    <t>берберин ЧЗ</t>
  </si>
  <si>
    <t>Юниэко</t>
  </si>
  <si>
    <t>8 паллет</t>
  </si>
  <si>
    <t>по 2</t>
  </si>
  <si>
    <t>qeep_inositol1500mg_60caps - 12180</t>
  </si>
  <si>
    <t>ЗЯ Смарт Москва Чехов</t>
  </si>
  <si>
    <t>13к</t>
  </si>
  <si>
    <t>0000-000007</t>
  </si>
  <si>
    <t>1200ед.</t>
  </si>
  <si>
    <t>PO02983279</t>
  </si>
  <si>
    <t>ЗЯ Бигл Москва Чехов</t>
  </si>
  <si>
    <t>БЛ00-000018</t>
  </si>
  <si>
    <t>300ед.</t>
  </si>
  <si>
    <t>PO02983514</t>
  </si>
  <si>
    <t>Марвел</t>
  </si>
  <si>
    <t>ВБ Бигл Новосемейкино</t>
  </si>
  <si>
    <t>Чехов 1</t>
  </si>
  <si>
    <t>3п</t>
  </si>
  <si>
    <t>БЛ00-000017</t>
  </si>
  <si>
    <t>2-3 паллета</t>
  </si>
  <si>
    <t>curly_method_300ml - 4 740
syvorotka_dlya_lica_30ml_v2 - 7 362</t>
  </si>
  <si>
    <t>ВБ Смарт Новосемейкино</t>
  </si>
  <si>
    <t>0000-000010</t>
  </si>
  <si>
    <t>4-5 паллет</t>
  </si>
  <si>
    <t>ВБ Бигл Екатеринбург</t>
  </si>
  <si>
    <t>Чехов 2</t>
  </si>
  <si>
    <t>6п</t>
  </si>
  <si>
    <t>БЛ00-000016</t>
  </si>
  <si>
    <t>Терра-Пласт</t>
  </si>
  <si>
    <t>ВБ Смарт Екатеринбург</t>
  </si>
  <si>
    <t>0000-000009</t>
  </si>
  <si>
    <t>1 паллет</t>
  </si>
  <si>
    <t xml:space="preserve"> Заказ на набор 0000-000001</t>
  </si>
  <si>
    <t>harly_toothpaste_50ml - 5005</t>
  </si>
  <si>
    <t>3-4 паллета</t>
  </si>
  <si>
    <t>Миламед</t>
  </si>
  <si>
    <t>qeep_magnB6_120caps - 12 000</t>
  </si>
  <si>
    <t>ЯМ Бигл Софьино 1</t>
  </si>
  <si>
    <t>11:30-12</t>
  </si>
  <si>
    <t>БЛ00-000024</t>
  </si>
  <si>
    <t>716ед.</t>
  </si>
  <si>
    <t>№ 28644159 / 0000992989</t>
  </si>
  <si>
    <t>ЯМ Бигл Шушары</t>
  </si>
  <si>
    <t>БЛ00-000025</t>
  </si>
  <si>
    <t>616ед.</t>
  </si>
  <si>
    <t>№ 28644172 / 0000022392</t>
  </si>
  <si>
    <t>Тэксиб</t>
  </si>
  <si>
    <t xml:space="preserve">Вывоз Яндекс </t>
  </si>
  <si>
    <t>Пропуск</t>
  </si>
  <si>
    <t>9 ед.</t>
  </si>
  <si>
    <t>28648163 / 0211573787</t>
  </si>
  <si>
    <t>penka_kudryavii_metod_150ml — 5 075 шт.</t>
  </si>
  <si>
    <t>Озон Бигл Хоругвино</t>
  </si>
  <si>
    <t>БЛ00-000019</t>
  </si>
  <si>
    <t>6 паллет</t>
  </si>
  <si>
    <t>Озон Смарт Уфа</t>
  </si>
  <si>
    <t>0000-000024</t>
  </si>
  <si>
    <t>2 паллета</t>
  </si>
  <si>
    <t>0000-000007
0000-000008
0000-000009
0000-000010
0000-000006</t>
  </si>
  <si>
    <t>kremshelk_100ml  — 9 176 шт.</t>
  </si>
  <si>
    <t>Озон Смарт Волгоград</t>
  </si>
  <si>
    <t>7к</t>
  </si>
  <si>
    <t>0000-000020</t>
  </si>
  <si>
    <t>Озон Смарт СПб</t>
  </si>
  <si>
    <t>0000-000021</t>
  </si>
  <si>
    <t>1-2 паллета</t>
  </si>
  <si>
    <t xml:space="preserve"> Заказ на набор 0000-000004
 Заказ на набор 0000-000005</t>
  </si>
  <si>
    <t>ВБ Бигл Котовск</t>
  </si>
  <si>
    <t>4п</t>
  </si>
  <si>
    <t>БЛ00-000015</t>
  </si>
  <si>
    <t>4 паллета</t>
  </si>
  <si>
    <t>В пути</t>
  </si>
  <si>
    <t>ВБ Смарт Сарапул</t>
  </si>
  <si>
    <t>0000-000004</t>
  </si>
  <si>
    <t>ВБ Смарт Рязань</t>
  </si>
  <si>
    <t>0000-000005</t>
  </si>
  <si>
    <t>ВБ Смарт Владимир</t>
  </si>
  <si>
    <t>0000-000006</t>
  </si>
  <si>
    <t>Отгрузка на неделе</t>
  </si>
  <si>
    <t>Озон Бигл Софьино</t>
  </si>
  <si>
    <t>БЛ00-000027</t>
  </si>
  <si>
    <t>УПД</t>
  </si>
  <si>
    <t>Биолит</t>
  </si>
  <si>
    <t>Озон Фреш Смарт Москва</t>
  </si>
  <si>
    <t>qeep_D3_30ml - 3024</t>
  </si>
  <si>
    <t>Жива</t>
  </si>
  <si>
    <t>qeep_iron40mg_60caps - 4000 шт.</t>
  </si>
  <si>
    <t>qeep_chlorophyll_500ml_v2 - 5000 шт.</t>
  </si>
  <si>
    <t>0000-000014</t>
  </si>
  <si>
    <t>qeep_chlorophyll_500ml_v2 - 3 687шт (остаток январского заказа).</t>
  </si>
  <si>
    <t>0000-000013</t>
  </si>
  <si>
    <t>:</t>
  </si>
  <si>
    <t>ВБ Бигл Казань</t>
  </si>
  <si>
    <t>БЛ00-000022</t>
  </si>
  <si>
    <t>ВБ Смарт Казань</t>
  </si>
  <si>
    <t>0000-000015</t>
  </si>
  <si>
    <t xml:space="preserve"> Заказ на набор 0000-000002</t>
  </si>
  <si>
    <t>ВБ Смарт Коледино</t>
  </si>
  <si>
    <t>0000-000018</t>
  </si>
  <si>
    <t>Озон Бигл Колпино</t>
  </si>
  <si>
    <t>БЛ00-000021</t>
  </si>
  <si>
    <t>Озон Бигл СПб</t>
  </si>
  <si>
    <t>11к</t>
  </si>
  <si>
    <t>БЛ00-000020</t>
  </si>
  <si>
    <t>Озон Смарт Астана</t>
  </si>
  <si>
    <t>1п1к</t>
  </si>
  <si>
    <t>0000-000016</t>
  </si>
  <si>
    <t xml:space="preserve"> Заказ на набор 0000-000003</t>
  </si>
  <si>
    <t>qeep_inositol1500mg_60caps - 9396</t>
  </si>
  <si>
    <t>Озон Бигл Колпино2</t>
  </si>
  <si>
    <t>БЛ00-000028</t>
  </si>
  <si>
    <t xml:space="preserve">Озон Бигл Шушары </t>
  </si>
  <si>
    <t>1к</t>
  </si>
  <si>
    <t>БЛ00-000029</t>
  </si>
  <si>
    <t>Озон Бигл Уфа 1</t>
  </si>
  <si>
    <t>БЛ00-000013</t>
  </si>
  <si>
    <t>Озон Бигл Уфа 2</t>
  </si>
  <si>
    <t>БЛ00-000014</t>
  </si>
  <si>
    <t>Озон Бигл Ярославль</t>
  </si>
  <si>
    <t>БЛ00-000010</t>
  </si>
  <si>
    <t>Вывоз Летуаль</t>
  </si>
  <si>
    <t>АЛ_П3_46337536_26_Р</t>
  </si>
  <si>
    <t>Перенос</t>
  </si>
  <si>
    <t>Озон Смарт Тюмень</t>
  </si>
  <si>
    <t>1п3к</t>
  </si>
  <si>
    <t>0000-000048</t>
  </si>
  <si>
    <t>Озон Бигл Казань</t>
  </si>
  <si>
    <t>БЛ00-000062</t>
  </si>
  <si>
    <t>Озон Смарт Казань</t>
  </si>
  <si>
    <t>2п1к</t>
  </si>
  <si>
    <t>0000-000047</t>
  </si>
  <si>
    <t>Озон Бигл Новороссийск</t>
  </si>
  <si>
    <t>БЛ00-000031</t>
  </si>
  <si>
    <t xml:space="preserve">Перенос </t>
  </si>
  <si>
    <t>Озон Бигл Омск</t>
  </si>
  <si>
    <t>БЛ00-000032</t>
  </si>
  <si>
    <t>590ед.</t>
  </si>
  <si>
    <t>№ 27987818 / 0000970679</t>
  </si>
  <si>
    <t>Озон Смарт Ярославль</t>
  </si>
  <si>
    <t>0000-000026</t>
  </si>
  <si>
    <t>490ед.</t>
  </si>
  <si>
    <t>№ 28002002 / 0000971246</t>
  </si>
  <si>
    <t>60ед.</t>
  </si>
  <si>
    <t>№ 28002928 / 0000175053</t>
  </si>
  <si>
    <t>Алексей логист</t>
  </si>
  <si>
    <t>3к</t>
  </si>
  <si>
    <t>БЛ00-000030</t>
  </si>
  <si>
    <t>9к</t>
  </si>
  <si>
    <t>БЛ00-000040</t>
  </si>
  <si>
    <t>БЛ00-000035</t>
  </si>
  <si>
    <t>Озон Бигл Екатеринбург</t>
  </si>
  <si>
    <t>БЛ00-000039</t>
  </si>
  <si>
    <t>Озон Бигл Ростов</t>
  </si>
  <si>
    <t>Замоскворечье</t>
  </si>
  <si>
    <t>БЛ00-000038</t>
  </si>
  <si>
    <t>БЛ00-000042</t>
  </si>
  <si>
    <t>БЛ00-000043</t>
  </si>
  <si>
    <t xml:space="preserve">Озон Бигл Пермь </t>
  </si>
  <si>
    <t>БЛ00-000034</t>
  </si>
  <si>
    <t xml:space="preserve">2-3 паллета </t>
  </si>
  <si>
    <t>Озон Бигл Красноярск</t>
  </si>
  <si>
    <t>ДЛ</t>
  </si>
  <si>
    <t>БЛ00-000041</t>
  </si>
  <si>
    <t>0000-000019</t>
  </si>
  <si>
    <t>Летуаль Смарт</t>
  </si>
  <si>
    <t>Пропуск ТТН</t>
  </si>
  <si>
    <t>10к</t>
  </si>
  <si>
    <t>0000-000017</t>
  </si>
  <si>
    <t>600 ед.</t>
  </si>
  <si>
    <t>Летуаль Бигл</t>
  </si>
  <si>
    <t>БЛ00-000026</t>
  </si>
  <si>
    <t>100 ед.</t>
  </si>
  <si>
    <t>Озон Бигл Минск</t>
  </si>
  <si>
    <t>БЛ00-000036</t>
  </si>
  <si>
    <t>Озон Бигл Невинномысск</t>
  </si>
  <si>
    <t>БЛ00-000037</t>
  </si>
  <si>
    <t>Озон Смарт Невинномысск</t>
  </si>
  <si>
    <t>0000-000027</t>
  </si>
  <si>
    <t>Озон Бигл Тверь</t>
  </si>
  <si>
    <t>БЛ00-000044</t>
  </si>
  <si>
    <t>БЛ00-000046</t>
  </si>
  <si>
    <t>СКЭМ, Юниверсо</t>
  </si>
  <si>
    <t>ЯМ Смарт Софьино1</t>
  </si>
  <si>
    <t>0000-000025</t>
  </si>
  <si>
    <t>400ед.</t>
  </si>
  <si>
    <t>№ 28795732 / 0000998116</t>
  </si>
  <si>
    <t>Озон Бигл Воронеж</t>
  </si>
  <si>
    <t>БЛ00-000045</t>
  </si>
  <si>
    <t>Катрен</t>
  </si>
  <si>
    <t>0000-000034</t>
  </si>
  <si>
    <t>ЧЗ</t>
  </si>
  <si>
    <t>ДЛ?</t>
  </si>
  <si>
    <t>БЛ00-000047</t>
  </si>
  <si>
    <t>питание</t>
  </si>
  <si>
    <t>ВБ Бигл Воронеж</t>
  </si>
  <si>
    <t>Чашниково</t>
  </si>
  <si>
    <t>БЛ00-000048</t>
  </si>
  <si>
    <t>Парафарм</t>
  </si>
  <si>
    <t>проблемы ЧЗ</t>
  </si>
  <si>
    <t>0000-000030</t>
  </si>
  <si>
    <t>Озон Смарт Домодедово</t>
  </si>
  <si>
    <t>0000-000041</t>
  </si>
  <si>
    <t>ВБ Смарт Невинномысск</t>
  </si>
  <si>
    <t>0000-000029</t>
  </si>
  <si>
    <t>Озон Фреш Смарт СПб</t>
  </si>
  <si>
    <t>8к</t>
  </si>
  <si>
    <t>0000-000045</t>
  </si>
  <si>
    <t>Озон Бигл Воронеж2</t>
  </si>
  <si>
    <t>БЛ00-000033</t>
  </si>
  <si>
    <t xml:space="preserve">1-2 паллета </t>
  </si>
  <si>
    <t>0000-000042</t>
  </si>
  <si>
    <t>ВБ Бигл Краснодар</t>
  </si>
  <si>
    <t>БЛ00-000053</t>
  </si>
  <si>
    <t>ВБ Смарт Тула</t>
  </si>
  <si>
    <t>0000-000028</t>
  </si>
  <si>
    <t>ВБ Смарт Котовск</t>
  </si>
  <si>
    <t>0000-000031</t>
  </si>
  <si>
    <t>ВБ Смарт Волгоград</t>
  </si>
  <si>
    <t>0000-000032</t>
  </si>
  <si>
    <t>ВБ Смарт Краснодар</t>
  </si>
  <si>
    <t>0000-000033</t>
  </si>
  <si>
    <t>ВБ Бигл Чехов 2</t>
  </si>
  <si>
    <t>БЛ00-000051</t>
  </si>
  <si>
    <t>4к</t>
  </si>
  <si>
    <t>0000-000039</t>
  </si>
  <si>
    <t>PO03008036</t>
  </si>
  <si>
    <t xml:space="preserve">короба </t>
  </si>
  <si>
    <t>800ед.</t>
  </si>
  <si>
    <t>Озон Бигл Жуковский</t>
  </si>
  <si>
    <t>БЛ00-000050</t>
  </si>
  <si>
    <t>упд</t>
  </si>
  <si>
    <t>Озон Смарт Жуковский</t>
  </si>
  <si>
    <t>0000-000044</t>
  </si>
  <si>
    <t xml:space="preserve">Вывоз ЯМ </t>
  </si>
  <si>
    <t>8-9:00</t>
  </si>
  <si>
    <t>200ед.</t>
  </si>
  <si>
    <t>БЛ00-000060</t>
  </si>
  <si>
    <t>ВБ Бигл Владивосток монопаллет</t>
  </si>
  <si>
    <t>БЛ00-000061</t>
  </si>
  <si>
    <t>БЛ00-000056</t>
  </si>
  <si>
    <t>Озон Бигл Новосибирск</t>
  </si>
  <si>
    <t>БЛ00-000059</t>
  </si>
  <si>
    <t>БЛ00-000057</t>
  </si>
  <si>
    <t>ЗЯ Смарт Ростов</t>
  </si>
  <si>
    <t>Скиф-Карго</t>
  </si>
  <si>
    <t>0000-000036</t>
  </si>
  <si>
    <t>PO03008029</t>
  </si>
  <si>
    <t>ЗЯ Смарт Парголово</t>
  </si>
  <si>
    <t>0000-000037</t>
  </si>
  <si>
    <t>PO03008034</t>
  </si>
  <si>
    <t>ЗЯ Смарт Екатеринбург</t>
  </si>
  <si>
    <t>0000-000038</t>
  </si>
  <si>
    <t>PO03008035</t>
  </si>
  <si>
    <t>ЗЯ Смарт Краснодар</t>
  </si>
  <si>
    <t>0000-000035</t>
  </si>
  <si>
    <t>PO03008018</t>
  </si>
  <si>
    <t>qeep_artichoke_60aps</t>
  </si>
  <si>
    <t>ЗЯ Смарт Казань</t>
  </si>
  <si>
    <t>0000-000040</t>
  </si>
  <si>
    <t>PO03008038</t>
  </si>
  <si>
    <t>БЛ00-000058</t>
  </si>
  <si>
    <t>БЛ00-000063</t>
  </si>
  <si>
    <t>БЛ00-000072</t>
  </si>
  <si>
    <t>ВБ Бигл Подольск</t>
  </si>
  <si>
    <t>БЛ00-000073</t>
  </si>
  <si>
    <t xml:space="preserve">Летуаль Смарт </t>
  </si>
  <si>
    <t>0000-000043</t>
  </si>
  <si>
    <t>№ 46257</t>
  </si>
  <si>
    <t>Запланированно:</t>
  </si>
  <si>
    <t>Катрен возврат</t>
  </si>
  <si>
    <t>7:30-15:00</t>
  </si>
  <si>
    <t xml:space="preserve">Озон Бигл Невинномысск </t>
  </si>
  <si>
    <t>БЛ00-000083</t>
  </si>
  <si>
    <t>БЛ00-000074</t>
  </si>
  <si>
    <t>Озон Бигл Уфа</t>
  </si>
  <si>
    <t>БЛ00-000068</t>
  </si>
  <si>
    <t>ВБ Бигл Пенза</t>
  </si>
  <si>
    <t>БЛ00-000082</t>
  </si>
  <si>
    <t>ВБ Бигл Рязань</t>
  </si>
  <si>
    <t>БЛ00-000081</t>
  </si>
  <si>
    <t>10п</t>
  </si>
  <si>
    <t>БЛ00-000077</t>
  </si>
  <si>
    <t>Озон Бигл Хабаровск</t>
  </si>
  <si>
    <t>БЛ00-000069</t>
  </si>
  <si>
    <t>Озон Смарт Новосибирск</t>
  </si>
  <si>
    <t>0000-000050</t>
  </si>
  <si>
    <t>БЛ00-000084</t>
  </si>
  <si>
    <t>ВБ Бигл Тула</t>
  </si>
  <si>
    <t>БЛ00-000080</t>
  </si>
  <si>
    <t>БЛ00-000064</t>
  </si>
  <si>
    <t>Озон Смарт Бугры</t>
  </si>
  <si>
    <t>0000-000055</t>
  </si>
  <si>
    <t>БЛ00-000076</t>
  </si>
  <si>
    <t>БЛ00-000075</t>
  </si>
  <si>
    <t>0000-000054</t>
  </si>
  <si>
    <t>Озон Бигл Астана</t>
  </si>
  <si>
    <t>БЛ00-000092</t>
  </si>
  <si>
    <t>Озон Бигл Краснодар</t>
  </si>
  <si>
    <t>БЛ00-000065</t>
  </si>
  <si>
    <t>ВБ Бигл Шушары</t>
  </si>
  <si>
    <t>БЛ00-000089</t>
  </si>
  <si>
    <t>ВБ Смарт Шушары</t>
  </si>
  <si>
    <t>16к</t>
  </si>
  <si>
    <t>0000-000057</t>
  </si>
  <si>
    <t>БЛ00-000090</t>
  </si>
  <si>
    <t>0000-000056</t>
  </si>
  <si>
    <t>ВБ Бигл Коледино</t>
  </si>
  <si>
    <t>БЛ00-000079</t>
  </si>
  <si>
    <t>8п</t>
  </si>
  <si>
    <t>БЛ00-000078</t>
  </si>
  <si>
    <t>БЛ00-000085</t>
  </si>
  <si>
    <t>БЛ00-000049</t>
  </si>
  <si>
    <t>№ 46565</t>
  </si>
  <si>
    <t>Озон Смарт Хабаровск</t>
  </si>
  <si>
    <t>3п1к</t>
  </si>
  <si>
    <t>0000-000052</t>
  </si>
  <si>
    <t>Озон Бигл Ногинск</t>
  </si>
  <si>
    <t>БЛ00-000093</t>
  </si>
  <si>
    <t>Озон Смарт Ногинск</t>
  </si>
  <si>
    <t>0000-000060</t>
  </si>
  <si>
    <t>11п</t>
  </si>
  <si>
    <t>БЛ00-000091</t>
  </si>
  <si>
    <t>Озон Бигл Пушкино</t>
  </si>
  <si>
    <t>БЛ00-000094</t>
  </si>
  <si>
    <t>БЛ00-000095</t>
  </si>
  <si>
    <t>БЛ00-000097</t>
  </si>
  <si>
    <t>БЛ00-000099</t>
  </si>
  <si>
    <t>БЛ00-000101</t>
  </si>
  <si>
    <t>Озон Бигл Самара</t>
  </si>
  <si>
    <t>БЛ00-000100</t>
  </si>
  <si>
    <t>6к</t>
  </si>
  <si>
    <t>БЛ00-000104</t>
  </si>
  <si>
    <t>БЛ00-000108</t>
  </si>
  <si>
    <t>БЛ00-000106</t>
  </si>
  <si>
    <t>БЛ00-000098</t>
  </si>
  <si>
    <t>БЛ00-000109</t>
  </si>
  <si>
    <t>БЛ00-000103</t>
  </si>
  <si>
    <t>Озон Бигл Ростов 2</t>
  </si>
  <si>
    <t>5к</t>
  </si>
  <si>
    <t>БЛ00-000105</t>
  </si>
  <si>
    <t>Озон Бигл Адыгейск</t>
  </si>
  <si>
    <t>БЛ00-000102</t>
  </si>
  <si>
    <t>Озон Бигл Махачкала</t>
  </si>
  <si>
    <t>БЛ00-000107</t>
  </si>
  <si>
    <t>БЛ00-000110</t>
  </si>
  <si>
    <t>кремы</t>
  </si>
  <si>
    <t>ВБ Бигл Екатеринбург 1</t>
  </si>
  <si>
    <t>БЛ00-000111</t>
  </si>
  <si>
    <t>qeep_dlyarostavolos_100ml - 2 958 шт.</t>
  </si>
  <si>
    <t>ВБ Бигл Екатеринбург 2</t>
  </si>
  <si>
    <t>БЛ00-000112</t>
  </si>
  <si>
    <t>maska-batter_dlya_rosta_500ml - 2 016 шт.</t>
  </si>
  <si>
    <t>ВБ Бигл Екатеринбург 3</t>
  </si>
  <si>
    <t>БЛ00-000113</t>
  </si>
  <si>
    <t>пелёнки</t>
  </si>
  <si>
    <t>syvorotka_dlya_lica_30ml_v2 - 5 980 шт.</t>
  </si>
  <si>
    <t>Оформить</t>
  </si>
  <si>
    <t>ВБ Смарт Воронеж</t>
  </si>
  <si>
    <t>0000-000061</t>
  </si>
  <si>
    <t>Благотворительность Щербинка</t>
  </si>
  <si>
    <t>Образцы производство</t>
  </si>
  <si>
    <t>0000-000063</t>
  </si>
  <si>
    <t>0000-000062</t>
  </si>
  <si>
    <t>0000-000066</t>
  </si>
  <si>
    <t>0000-000065</t>
  </si>
  <si>
    <t>0000-000064</t>
  </si>
  <si>
    <t>Забор возвратов Озон Бигл Жуковский</t>
  </si>
  <si>
    <t>Забор возвратов Озон Бигл Софьино</t>
  </si>
  <si>
    <t>SUM из Количество</t>
  </si>
  <si>
    <t>Итого</t>
  </si>
  <si>
    <t>Для сборных коробов допускается комплектование не более 5 артикулов в одном коробе.</t>
  </si>
  <si>
    <t>• На каждом коробе наклеить этикетку в печатной форме с информацией на русском языке:</t>
  </si>
  <si>
    <t>Юридическое лицо компании в соответствие с Личным кабинетом,</t>
  </si>
  <si>
    <t>общее количество коробов,</t>
  </si>
  <si>
    <t>порядковый номер каждого короба в транспортной партии (например, 1 из 3, 2 из 3, 3 из 3).</t>
  </si>
  <si>
    <t>Пример этикетки:</t>
  </si>
  <si>
    <t>ООО Ромашка</t>
  </si>
  <si>
    <t>9 коробов</t>
  </si>
  <si>
    <t>Короб 1 из 9.</t>
  </si>
  <si>
    <t>• Каждый короб, содержащий хрупкий или легко повреждаемый Товар, должен иметь соответствующую легко читаемую, стандартизированную маркировку.</t>
  </si>
  <si>
    <t>• На момент передачи на хранение, остаточный срок годности должен быть не менее 11 месяцев.</t>
  </si>
  <si>
    <t>Максимальное количество коробов - 10</t>
  </si>
  <si>
    <t>05.24</t>
  </si>
  <si>
    <t>01.25</t>
  </si>
  <si>
    <t>09.24</t>
  </si>
  <si>
    <t>02.24</t>
  </si>
  <si>
    <t>08.23</t>
  </si>
  <si>
    <t>03.24</t>
  </si>
  <si>
    <t>06.24</t>
  </si>
  <si>
    <t>10.24</t>
  </si>
  <si>
    <t>11.24</t>
  </si>
  <si>
    <t>07.24</t>
  </si>
  <si>
    <t>11.23</t>
  </si>
  <si>
    <t>0.24</t>
  </si>
  <si>
    <t>04.24</t>
  </si>
  <si>
    <t>05.20.24</t>
  </si>
  <si>
    <t>12.23</t>
  </si>
  <si>
    <t>Вес единицы, гр</t>
  </si>
  <si>
    <t>РЕЕСТР ОТГРУЗКИ</t>
  </si>
  <si>
    <t>Дата отгрузки</t>
  </si>
  <si>
    <t>Грузоотправитель</t>
  </si>
  <si>
    <t>ООО "СМАРТ-СЭЙЛ", ИНН 9723106598, Москва, Б-Р ПЕРЕРВИНСКИЙ, Д. 27, ЭТАЖ 1</t>
  </si>
  <si>
    <t>Грузополучатель</t>
  </si>
  <si>
    <t>Обособленное подразделение ООО "Екатеринбург Яблоко", 117545, г. Москва, ул. Дорожная, д. 1, к. 5, стр. 4</t>
  </si>
  <si>
    <t>Название магазина</t>
  </si>
  <si>
    <t>Адрес места выгрузки</t>
  </si>
  <si>
    <t>Номер накладной</t>
  </si>
  <si>
    <t>Номер заказа</t>
  </si>
  <si>
    <t>Кол-во коробов</t>
  </si>
  <si>
    <t>сумма заказа</t>
  </si>
  <si>
    <t>Интернет-магазин</t>
  </si>
  <si>
    <t>PO02360373</t>
  </si>
  <si>
    <t>257 260 ₽</t>
  </si>
  <si>
    <t>Итого:</t>
  </si>
  <si>
    <t>Грузоотправитель  ООО "СМАРТ-СЭЙЛ"</t>
  </si>
  <si>
    <t>(подпись, ФИО)</t>
  </si>
  <si>
    <t>Водитель Смирнов Алексей Ильич</t>
  </si>
  <si>
    <t>Грузополучатель  Обособленное подразделение ООО "Екатеринбург Яблоко"</t>
  </si>
  <si>
    <t>4610172186219; / 4660417421582</t>
  </si>
  <si>
    <t>только ремувер</t>
  </si>
  <si>
    <t>sustalit_75ml_analog_sustalit_75ml</t>
  </si>
  <si>
    <t xml:space="preserve"> syvorotka_dlya_rosta_6ml_v2</t>
  </si>
  <si>
    <t>4660417421759/4648767478777(ДжиЭсЭс)</t>
  </si>
  <si>
    <t>Резерв</t>
  </si>
  <si>
    <t>Набор</t>
  </si>
  <si>
    <t xml:space="preserve">qeep_beautybox </t>
  </si>
  <si>
    <t>qeepomega3</t>
  </si>
  <si>
    <t>qeep_joint_support_90caps</t>
  </si>
  <si>
    <t>qeep_probiotic_kids_30caps</t>
  </si>
  <si>
    <t>qeep_bcomplex_60caps</t>
  </si>
  <si>
    <t>chudofruct_1_1</t>
  </si>
  <si>
    <t>01.12.2025-07.12.2025</t>
  </si>
  <si>
    <t>термо</t>
  </si>
  <si>
    <t>короб, стикер</t>
  </si>
  <si>
    <t>пупырка, стикер</t>
  </si>
  <si>
    <t>термо, подарочный короб</t>
  </si>
  <si>
    <t>термо, подарочный короб, дубль ЧЗ</t>
  </si>
  <si>
    <t>черная пленка, стикер</t>
  </si>
  <si>
    <t>короб, стикер с составом</t>
  </si>
  <si>
    <t>короб, стикер, ШК на товаре 4610172186875, стикер с составом</t>
  </si>
  <si>
    <t>короб, стикер, ШК на товаре 4660417421582</t>
  </si>
  <si>
    <t>термо, короба по 20шт, ШК фреша</t>
  </si>
  <si>
    <t>короб, стикер, ШК на товаре 4660417421582, стикер с составом</t>
  </si>
  <si>
    <t>без чёрной плёнки</t>
  </si>
  <si>
    <t>термо, подарочный короб, дубль ЧЗ, стикер ШК</t>
  </si>
  <si>
    <t>термо, ШК на товаре 4605543013096</t>
  </si>
  <si>
    <t>короб, стикер (Алтея) ШК на товаре 4670020498017</t>
  </si>
  <si>
    <t>черная пленка, стикер, ОТДЕЛЬНЫЙ КОРОБ</t>
  </si>
  <si>
    <t>короб, стикер, ОТДЕЛЬНЫЙ КОРОБ</t>
  </si>
  <si>
    <t>термо, короба по 18шт, ШК фреша</t>
  </si>
  <si>
    <t>короб, стикер с составом стикер с производителем ООО ПКФ Две линии (Алтэя)</t>
  </si>
  <si>
    <t>короб, стикер с составом стикер с производителем ООО "Марвел"</t>
  </si>
  <si>
    <t>короб, стикер с составом стикер с производителем ООО "СКЭМ"</t>
  </si>
  <si>
    <t>термо, подарочный короб, стикер ШК</t>
  </si>
  <si>
    <t>бопп пакет, стикер</t>
  </si>
  <si>
    <t>пупырка, стикер с русским названием</t>
  </si>
  <si>
    <t>короб, стикер с составом, стикер с русским названием</t>
  </si>
  <si>
    <t>08.12.2025-14.12.2025</t>
  </si>
  <si>
    <t>короб</t>
  </si>
  <si>
    <t>серый пакет, стикер</t>
  </si>
  <si>
    <t>qeep_zink_apteka</t>
  </si>
  <si>
    <t>термо, 5 коробов по 40</t>
  </si>
  <si>
    <t>kremshelk_100ml</t>
  </si>
  <si>
    <t>15.12.2025-21.05.2025</t>
  </si>
  <si>
    <t>термо, ШК на товаре 4605543012518, стикер ШК 4673767780032</t>
  </si>
  <si>
    <t>короб, стикер (Алтея) ШК на товаре 4670020498017, стикер с составом</t>
  </si>
  <si>
    <t>22.12.2025-29.12.2025</t>
  </si>
  <si>
    <t>короб, стикер, ШК на товаре 4605543013096</t>
  </si>
  <si>
    <t>короб, стикер, ШК на товаре 4605543012518, стикер ШК 4673767780032</t>
  </si>
  <si>
    <t>Длина, см</t>
  </si>
  <si>
    <t>Ширина, см</t>
  </si>
  <si>
    <t>Высота, см</t>
  </si>
  <si>
    <t>Вес, г</t>
  </si>
  <si>
    <t>габариты без короба</t>
  </si>
  <si>
    <t>мелкий короб</t>
  </si>
  <si>
    <t>пупырка</t>
  </si>
  <si>
    <t>-</t>
  </si>
  <si>
    <t>уточнить размер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</si>
</sst>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.mm.yyyy"/>
    <numFmt numFmtId="165" formatCode="mm.yyyy"/>
    <numFmt numFmtId="166" formatCode="m.yyyy"/>
    <numFmt numFmtId="167" formatCode="d.m.yyyy"/>
    <numFmt numFmtId="168" formatCode="d-m"/>
    <numFmt numFmtId="169" formatCode="d.m"/>
    <numFmt numFmtId="170" formatCode="dd.mm"/>
    <numFmt numFmtId="171" formatCode="dd,mm,yy"/>
    <numFmt numFmtId="172" formatCode="dd.mm.yy"/>
    <numFmt numFmtId="173" formatCode="d.m.yy"/>
  </numFmts>
  <fonts count="39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  <scheme val="minor"/>
    </font>
    <font>
      <sz val="10.0"/>
      <color rgb="FF1F1F1F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sz val="12.0"/>
      <color rgb="FF000000"/>
      <name val="&quot;Aptos Narrow&quot;"/>
    </font>
    <font>
      <color theme="1"/>
      <name val="Arial"/>
    </font>
    <font>
      <sz val="10.0"/>
      <color rgb="FFFF0000"/>
      <name val="Arial"/>
      <scheme val="minor"/>
    </font>
    <font>
      <sz val="10.0"/>
      <color rgb="FF1A1425"/>
      <name val="Arial"/>
      <scheme val="minor"/>
    </font>
    <font>
      <sz val="10.0"/>
      <color rgb="FF161616"/>
      <name val="Arial"/>
      <scheme val="minor"/>
    </font>
    <font>
      <sz val="12.0"/>
      <color rgb="FF000000"/>
      <name val="Calibri"/>
    </font>
    <font>
      <color rgb="FFFF0000"/>
      <name val="Arial"/>
      <scheme val="minor"/>
    </font>
    <font>
      <sz val="11.0"/>
      <color theme="1"/>
      <name val="Calibri"/>
    </font>
    <font>
      <sz val="11.0"/>
      <color rgb="FF000000"/>
      <name val="Docs-Calibri"/>
    </font>
    <font>
      <sz val="11.0"/>
      <color rgb="FF161616"/>
      <name val="Calibri"/>
    </font>
    <font>
      <sz val="14.0"/>
      <color theme="1"/>
      <name val="Arial"/>
    </font>
    <font>
      <sz val="10.0"/>
      <color rgb="FF3D3C3A"/>
      <name val="&quot;YS Text&quot;"/>
    </font>
    <font>
      <sz val="10.0"/>
      <color rgb="FF000000"/>
      <name val="GraphikLCG"/>
    </font>
    <font>
      <sz val="10.0"/>
      <color rgb="FF3D3C3A"/>
      <name val="Arial"/>
    </font>
    <font>
      <sz val="10.0"/>
      <color rgb="FF000000"/>
      <name val="Arial"/>
    </font>
    <font>
      <sz val="9.0"/>
      <color rgb="FF000000"/>
      <name val="GraphikLCG"/>
    </font>
    <font>
      <sz val="10.0"/>
      <color rgb="FF3D3C3A"/>
      <name val="Arial"/>
      <scheme val="minor"/>
    </font>
    <font>
      <sz val="11.0"/>
      <color rgb="FF3D3C3A"/>
      <name val="&quot;YS Text&quot;"/>
    </font>
    <font>
      <sz val="10.0"/>
      <color rgb="FF000000"/>
      <name val="Golos"/>
    </font>
    <font>
      <color rgb="FF000000"/>
      <name val="Golos"/>
    </font>
    <font>
      <sz val="12.0"/>
      <color rgb="FF424242"/>
      <name val="Roboto"/>
    </font>
    <font>
      <b/>
      <sz val="12.0"/>
      <color rgb="FF424242"/>
      <name val="Roboto"/>
    </font>
    <font>
      <b/>
      <sz val="15.0"/>
      <color theme="1"/>
      <name val="Times New Roman"/>
    </font>
    <font>
      <b/>
      <color theme="1"/>
      <name val="Times New Roman"/>
    </font>
    <font/>
    <font>
      <color theme="1"/>
      <name val="Times New Roman"/>
    </font>
    <font>
      <b/>
      <sz val="11.0"/>
      <color theme="1"/>
      <name val="Calibri"/>
    </font>
    <font>
      <sz val="8.0"/>
      <color theme="1"/>
      <name val="Calibri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6F6F6"/>
        <bgColor rgb="FFF6F6F6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0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right" readingOrder="0" shrinkToFit="0" wrapText="0"/>
    </xf>
    <xf borderId="1" fillId="0" fontId="4" numFmtId="0" xfId="0" applyBorder="1" applyFont="1"/>
    <xf borderId="1" fillId="2" fontId="5" numFmtId="164" xfId="0" applyAlignment="1" applyBorder="1" applyFill="1" applyFont="1" applyNumberFormat="1">
      <alignment horizontal="right" readingOrder="0" vertical="bottom"/>
    </xf>
    <xf borderId="0" fillId="0" fontId="2" numFmtId="0" xfId="0" applyAlignment="1" applyFont="1">
      <alignment horizontal="left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vertical="bottom"/>
    </xf>
    <xf borderId="1" fillId="0" fontId="0" numFmtId="0" xfId="0" applyAlignment="1" applyBorder="1" applyFont="1">
      <alignment horizontal="right" readingOrder="0" shrinkToFit="0" vertical="bottom" wrapText="0"/>
    </xf>
    <xf borderId="1" fillId="2" fontId="0" numFmtId="0" xfId="0" applyAlignment="1" applyBorder="1" applyFont="1">
      <alignment horizontal="left" readingOrder="0" shrinkToFit="0" vertical="bottom" wrapText="0"/>
    </xf>
    <xf borderId="1" fillId="0" fontId="0" numFmtId="0" xfId="0" applyAlignment="1" applyBorder="1" applyFont="1">
      <alignment horizontal="left" readingOrder="0" shrinkToFit="0" vertical="bottom" wrapText="0"/>
    </xf>
    <xf borderId="1" fillId="0" fontId="2" numFmtId="0" xfId="0" applyBorder="1" applyFont="1"/>
    <xf borderId="1" fillId="3" fontId="0" numFmtId="0" xfId="0" applyAlignment="1" applyBorder="1" applyFill="1" applyFont="1">
      <alignment horizontal="left" readingOrder="0" shrinkToFit="0" vertical="bottom" wrapText="0"/>
    </xf>
    <xf borderId="1" fillId="0" fontId="2" numFmtId="164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 vertical="center"/>
    </xf>
    <xf borderId="1" fillId="2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0" fontId="2" numFmtId="165" xfId="0" applyAlignment="1" applyBorder="1" applyFont="1" applyNumberFormat="1">
      <alignment readingOrder="0" shrinkToFit="0" wrapText="1"/>
    </xf>
    <xf borderId="1" fillId="0" fontId="4" numFmtId="166" xfId="0" applyAlignment="1" applyBorder="1" applyFont="1" applyNumberFormat="1">
      <alignment horizontal="right" readingOrder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8" numFmtId="0" xfId="0" applyAlignment="1" applyBorder="1" applyFont="1">
      <alignment horizontal="right"/>
    </xf>
    <xf borderId="1" fillId="0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readingOrder="0"/>
    </xf>
    <xf borderId="1" fillId="2" fontId="2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/>
    </xf>
    <xf borderId="0" fillId="2" fontId="2" numFmtId="0" xfId="0" applyAlignment="1" applyFont="1">
      <alignment readingOrder="0"/>
    </xf>
    <xf borderId="1" fillId="0" fontId="8" numFmtId="0" xfId="0" applyAlignment="1" applyBorder="1" applyFont="1">
      <alignment horizontal="right" readingOrder="0"/>
    </xf>
    <xf borderId="1" fillId="4" fontId="8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0" fillId="2" fontId="2" numFmtId="0" xfId="0" applyFont="1"/>
    <xf borderId="1" fillId="0" fontId="2" numFmtId="166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1" fillId="3" fontId="5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6" fontId="2" numFmtId="164" xfId="0" applyAlignment="1" applyBorder="1" applyFill="1" applyFont="1" applyNumberFormat="1">
      <alignment readingOrder="0"/>
    </xf>
    <xf borderId="1" fillId="0" fontId="2" numFmtId="0" xfId="0" applyAlignment="1" applyBorder="1" applyFont="1">
      <alignment horizontal="right" readingOrder="0" vertical="bottom"/>
    </xf>
    <xf borderId="1" fillId="2" fontId="0" numFmtId="0" xfId="0" applyAlignment="1" applyBorder="1" applyFont="1">
      <alignment horizontal="left" readingOrder="0"/>
    </xf>
    <xf borderId="0" fillId="0" fontId="0" numFmtId="0" xfId="0" applyAlignment="1" applyFont="1">
      <alignment horizontal="right" readingOrder="0" shrinkToFit="0" wrapText="0"/>
    </xf>
    <xf borderId="1" fillId="0" fontId="9" numFmtId="0" xfId="0" applyAlignment="1" applyBorder="1" applyFont="1">
      <alignment readingOrder="0" vertical="bottom"/>
    </xf>
    <xf borderId="1" fillId="0" fontId="0" numFmtId="0" xfId="0" applyAlignment="1" applyBorder="1" applyFont="1">
      <alignment horizontal="right" readingOrder="0" vertical="bottom"/>
    </xf>
    <xf borderId="1" fillId="2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readingOrder="0"/>
    </xf>
    <xf borderId="1" fillId="0" fontId="10" numFmtId="0" xfId="0" applyAlignment="1" applyBorder="1" applyFont="1">
      <alignment horizontal="right"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horizontal="right" readingOrder="0" shrinkToFit="0" vertical="bottom" wrapText="1"/>
    </xf>
    <xf borderId="1" fillId="0" fontId="10" numFmtId="0" xfId="0" applyAlignment="1" applyBorder="1" applyFont="1">
      <alignment horizontal="right" shrinkToFit="0" wrapText="1"/>
    </xf>
    <xf borderId="1" fillId="2" fontId="10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right" readingOrder="0" shrinkToFit="0" wrapText="1"/>
    </xf>
    <xf borderId="1" fillId="2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0" fontId="2" numFmtId="165" xfId="0" applyAlignment="1" applyBorder="1" applyFont="1" applyNumberForma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1" fillId="2" fontId="2" numFmtId="0" xfId="0" applyAlignment="1" applyBorder="1" applyFont="1">
      <alignment readingOrder="0" shrinkToFit="0" wrapText="1"/>
    </xf>
    <xf borderId="0" fillId="5" fontId="0" numFmtId="0" xfId="0" applyAlignment="1" applyFont="1">
      <alignment horizontal="left" readingOrder="0" shrinkToFit="0" wrapText="0"/>
    </xf>
    <xf borderId="1" fillId="2" fontId="8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shrinkToFit="0" vertical="center" wrapText="1"/>
    </xf>
    <xf borderId="1" fillId="4" fontId="0" numFmtId="0" xfId="0" applyAlignment="1" applyBorder="1" applyFont="1">
      <alignment horizontal="left" readingOrder="0"/>
    </xf>
    <xf borderId="1" fillId="5" fontId="0" numFmtId="0" xfId="0" applyAlignment="1" applyBorder="1" applyFont="1">
      <alignment horizontal="left" readingOrder="0"/>
    </xf>
    <xf borderId="1" fillId="0" fontId="11" numFmtId="0" xfId="0" applyAlignment="1" applyBorder="1" applyFont="1">
      <alignment readingOrder="0"/>
    </xf>
    <xf borderId="1" fillId="2" fontId="0" numFmtId="0" xfId="0" applyAlignment="1" applyBorder="1" applyFont="1">
      <alignment readingOrder="0" shrinkToFit="0" vertical="bottom" wrapText="0"/>
    </xf>
    <xf borderId="1" fillId="5" fontId="0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164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right" readingOrder="0" vertical="bottom"/>
    </xf>
    <xf borderId="1" fillId="3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1" fillId="2" fontId="0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right" shrinkToFit="0" wrapText="1"/>
    </xf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right" vertical="bottom"/>
    </xf>
    <xf borderId="1" fillId="3" fontId="10" numFmtId="0" xfId="0" applyAlignment="1" applyBorder="1" applyFont="1">
      <alignment vertical="bottom"/>
    </xf>
    <xf borderId="1" fillId="3" fontId="0" numFmtId="0" xfId="0" applyAlignment="1" applyBorder="1" applyFont="1">
      <alignment readingOrder="0" vertical="bottom"/>
    </xf>
    <xf borderId="0" fillId="0" fontId="8" numFmtId="0" xfId="0" applyAlignment="1" applyFont="1">
      <alignment horizontal="right" readingOrder="0"/>
    </xf>
    <xf borderId="1" fillId="2" fontId="10" numFmtId="0" xfId="0" applyAlignment="1" applyBorder="1" applyFont="1">
      <alignment vertical="bottom"/>
    </xf>
    <xf borderId="1" fillId="5" fontId="10" numFmtId="0" xfId="0" applyAlignment="1" applyBorder="1" applyFont="1">
      <alignment vertical="bottom"/>
    </xf>
    <xf borderId="1" fillId="7" fontId="8" numFmtId="0" xfId="0" applyAlignment="1" applyBorder="1" applyFill="1" applyFont="1">
      <alignment readingOrder="0"/>
    </xf>
    <xf borderId="1" fillId="8" fontId="8" numFmtId="0" xfId="0" applyAlignment="1" applyBorder="1" applyFill="1" applyFont="1">
      <alignment readingOrder="0"/>
    </xf>
    <xf borderId="1" fillId="2" fontId="8" numFmtId="0" xfId="0" applyAlignment="1" applyBorder="1" applyFont="1">
      <alignment horizontal="right" readingOrder="0"/>
    </xf>
    <xf borderId="1" fillId="7" fontId="2" numFmtId="0" xfId="0" applyAlignment="1" applyBorder="1" applyFont="1">
      <alignment horizontal="left" shrinkToFit="0" wrapText="1"/>
    </xf>
    <xf borderId="1" fillId="7" fontId="2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left" readingOrder="0"/>
    </xf>
    <xf borderId="1" fillId="2" fontId="2" numFmtId="0" xfId="0" applyBorder="1" applyFont="1"/>
    <xf borderId="1" fillId="2" fontId="4" numFmtId="0" xfId="0" applyBorder="1" applyFont="1"/>
    <xf borderId="1" fillId="8" fontId="2" numFmtId="0" xfId="0" applyAlignment="1" applyBorder="1" applyFont="1">
      <alignment horizontal="left" shrinkToFit="0" wrapText="1"/>
    </xf>
    <xf borderId="1" fillId="0" fontId="2" numFmtId="167" xfId="0" applyAlignment="1" applyBorder="1" applyFont="1" applyNumberFormat="1">
      <alignment horizontal="right" readingOrder="0"/>
    </xf>
    <xf borderId="1" fillId="8" fontId="2" numFmtId="0" xfId="0" applyAlignment="1" applyBorder="1" applyFont="1">
      <alignment horizontal="left" readingOrder="0" shrinkToFit="0" wrapText="1"/>
    </xf>
    <xf borderId="1" fillId="8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readingOrder="0" vertical="bottom"/>
    </xf>
    <xf borderId="1" fillId="2" fontId="12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right" readingOrder="0"/>
    </xf>
    <xf borderId="0" fillId="2" fontId="7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left" vertical="bottom"/>
    </xf>
    <xf borderId="1" fillId="0" fontId="13" numFmtId="0" xfId="0" applyAlignment="1" applyBorder="1" applyFont="1">
      <alignment horizontal="right" readingOrder="0" shrinkToFit="0" vertical="bottom" wrapText="0"/>
    </xf>
    <xf borderId="1" fillId="3" fontId="2" numFmtId="0" xfId="0" applyAlignment="1" applyBorder="1" applyFont="1">
      <alignment horizontal="left" vertical="bottom"/>
    </xf>
    <xf borderId="1" fillId="2" fontId="0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0" numFmtId="0" xfId="0" applyAlignment="1" applyBorder="1" applyFont="1">
      <alignment readingOrder="0" vertical="bottom"/>
    </xf>
    <xf borderId="2" fillId="2" fontId="0" numFmtId="0" xfId="0" applyAlignment="1" applyBorder="1" applyFont="1">
      <alignment horizontal="right" readingOrder="0" vertical="bottom"/>
    </xf>
    <xf borderId="2" fillId="0" fontId="4" numFmtId="0" xfId="0" applyBorder="1" applyFont="1"/>
    <xf borderId="3" fillId="0" fontId="2" numFmtId="0" xfId="0" applyAlignment="1" applyBorder="1" applyFont="1">
      <alignment readingOrder="0"/>
    </xf>
    <xf borderId="1" fillId="4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2" numFmtId="1" xfId="0" applyAlignment="1" applyBorder="1" applyFont="1" applyNumberFormat="1">
      <alignment horizontal="left" vertical="bottom"/>
    </xf>
    <xf borderId="1" fillId="2" fontId="0" numFmtId="1" xfId="0" applyAlignment="1" applyBorder="1" applyFont="1" applyNumberFormat="1">
      <alignment horizontal="left" readingOrder="0"/>
    </xf>
    <xf borderId="1" fillId="2" fontId="2" numFmtId="1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/>
    </xf>
    <xf borderId="1" fillId="2" fontId="13" numFmtId="0" xfId="0" applyAlignment="1" applyBorder="1" applyFont="1">
      <alignment horizontal="right" readingOrder="0"/>
    </xf>
    <xf borderId="1" fillId="0" fontId="0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horizontal="right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0" numFmtId="0" xfId="0" applyAlignment="1" applyBorder="1" applyFont="1">
      <alignment horizontal="right" readingOrder="0" shrinkToFit="0" vertical="bottom" wrapText="0"/>
    </xf>
    <xf borderId="2" fillId="2" fontId="0" numFmtId="0" xfId="0" applyAlignment="1" applyBorder="1" applyFont="1">
      <alignment horizontal="left" readingOrder="0" shrinkToFit="0" vertical="bottom" wrapText="0"/>
    </xf>
    <xf borderId="2" fillId="0" fontId="0" numFmtId="0" xfId="0" applyAlignment="1" applyBorder="1" applyFont="1">
      <alignment horizontal="left" readingOrder="0" shrinkToFit="0" vertical="bottom" wrapText="0"/>
    </xf>
    <xf borderId="2" fillId="2" fontId="2" numFmtId="0" xfId="0" applyAlignment="1" applyBorder="1" applyFont="1">
      <alignment horizontal="right" readingOrder="0"/>
    </xf>
    <xf borderId="1" fillId="0" fontId="10" numFmtId="0" xfId="0" applyAlignment="1" applyBorder="1" applyFont="1">
      <alignment horizontal="left" vertical="bottom"/>
    </xf>
    <xf borderId="1" fillId="0" fontId="10" numFmtId="0" xfId="0" applyAlignment="1" applyBorder="1" applyFont="1">
      <alignment readingOrder="0" vertical="bottom"/>
    </xf>
    <xf borderId="1" fillId="2" fontId="10" numFmtId="0" xfId="0" applyAlignment="1" applyBorder="1" applyFont="1">
      <alignment readingOrder="0" vertical="bottom"/>
    </xf>
    <xf borderId="0" fillId="0" fontId="0" numFmtId="0" xfId="0" applyAlignment="1" applyFont="1">
      <alignment readingOrder="0" shrinkToFit="0" vertical="bottom" wrapText="0"/>
    </xf>
    <xf borderId="1" fillId="2" fontId="8" numFmtId="0" xfId="0" applyBorder="1" applyFont="1"/>
    <xf borderId="1" fillId="2" fontId="10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0" fontId="7" numFmtId="0" xfId="0" applyAlignment="1" applyFont="1">
      <alignment horizontal="right" readingOrder="0" vertical="bottom"/>
    </xf>
    <xf borderId="1" fillId="2" fontId="8" numFmtId="0" xfId="0" applyAlignment="1" applyBorder="1" applyFont="1">
      <alignment horizontal="right"/>
    </xf>
    <xf borderId="1" fillId="3" fontId="10" numFmtId="0" xfId="0" applyAlignment="1" applyBorder="1" applyFont="1">
      <alignment vertical="bottom"/>
    </xf>
    <xf borderId="1" fillId="0" fontId="10" numFmtId="0" xfId="0" applyAlignment="1" applyBorder="1" applyFont="1">
      <alignment horizontal="right" readingOrder="0" vertical="bottom"/>
    </xf>
    <xf borderId="1" fillId="4" fontId="10" numFmtId="0" xfId="0" applyAlignment="1" applyBorder="1" applyFont="1">
      <alignment vertical="bottom"/>
    </xf>
    <xf borderId="1" fillId="0" fontId="8" numFmtId="165" xfId="0" applyAlignment="1" applyBorder="1" applyFont="1" applyNumberFormat="1">
      <alignment readingOrder="0"/>
    </xf>
    <xf borderId="1" fillId="4" fontId="7" numFmtId="0" xfId="0" applyAlignment="1" applyBorder="1" applyFont="1">
      <alignment readingOrder="0" vertical="bottom"/>
    </xf>
    <xf borderId="1" fillId="0" fontId="14" numFmtId="0" xfId="0" applyAlignment="1" applyBorder="1" applyFont="1">
      <alignment horizontal="center" readingOrder="0"/>
    </xf>
    <xf borderId="1" fillId="2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0" fillId="2" fontId="0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 readingOrder="0" shrinkToFit="0" wrapText="1"/>
    </xf>
    <xf borderId="0" fillId="0" fontId="0" numFmtId="0" xfId="0" applyAlignment="1" applyFont="1">
      <alignment readingOrder="0" vertical="bottom"/>
    </xf>
    <xf borderId="0" fillId="0" fontId="8" numFmtId="164" xfId="0" applyAlignment="1" applyFont="1" applyNumberFormat="1">
      <alignment readingOrder="0"/>
    </xf>
    <xf borderId="0" fillId="0" fontId="0" numFmtId="0" xfId="0" applyAlignment="1" applyFont="1">
      <alignment horizontal="left" readingOrder="0" shrinkToFit="0" wrapText="0"/>
    </xf>
    <xf borderId="0" fillId="0" fontId="8" numFmtId="0" xfId="0" applyAlignment="1" applyFont="1">
      <alignment horizontal="right"/>
    </xf>
    <xf borderId="0" fillId="0" fontId="8" numFmtId="0" xfId="0" applyAlignment="1" applyFont="1">
      <alignment readingOrder="0" shrinkToFit="0" wrapText="1"/>
    </xf>
    <xf borderId="1" fillId="2" fontId="11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/>
    </xf>
    <xf borderId="1" fillId="0" fontId="2" numFmtId="167" xfId="0" applyAlignment="1" applyBorder="1" applyFont="1" applyNumberFormat="1">
      <alignment readingOrder="0"/>
    </xf>
    <xf borderId="1" fillId="2" fontId="2" numFmtId="167" xfId="0" applyAlignment="1" applyBorder="1" applyFont="1" applyNumberFormat="1">
      <alignment readingOrder="0"/>
    </xf>
    <xf borderId="1" fillId="3" fontId="0" numFmtId="0" xfId="0" applyAlignment="1" applyBorder="1" applyFont="1">
      <alignment horizontal="left" readingOrder="0" shrinkToFit="0" wrapText="0"/>
    </xf>
    <xf borderId="0" fillId="0" fontId="0" numFmtId="0" xfId="0" applyAlignment="1" applyFont="1">
      <alignment horizontal="right" readingOrder="0" vertical="bottom"/>
    </xf>
    <xf borderId="0" fillId="2" fontId="7" numFmtId="0" xfId="0" applyAlignment="1" applyFont="1">
      <alignment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/>
    </xf>
    <xf borderId="1" fillId="0" fontId="16" numFmtId="0" xfId="0" applyAlignment="1" applyBorder="1" applyFont="1">
      <alignment horizontal="left" vertical="bottom"/>
    </xf>
    <xf borderId="1" fillId="0" fontId="1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shrinkToFit="0" vertical="bottom" wrapText="0"/>
    </xf>
    <xf borderId="1" fillId="2" fontId="17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shrinkToFit="0" wrapText="0"/>
    </xf>
    <xf borderId="1" fillId="0" fontId="18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1" fillId="2" fontId="8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right"/>
    </xf>
    <xf borderId="1" fillId="0" fontId="10" numFmtId="0" xfId="0" applyAlignment="1" applyBorder="1" applyFont="1">
      <alignment horizontal="right"/>
    </xf>
    <xf borderId="0" fillId="0" fontId="8" numFmtId="0" xfId="0" applyAlignment="1" applyFont="1">
      <alignment horizontal="left"/>
    </xf>
    <xf borderId="0" fillId="0" fontId="19" numFmtId="1" xfId="0" applyAlignment="1" applyFont="1" applyNumberFormat="1">
      <alignment horizontal="right" readingOrder="0" vertical="bottom"/>
    </xf>
    <xf borderId="0" fillId="0" fontId="19" numFmtId="0" xfId="0" applyAlignment="1" applyFont="1">
      <alignment horizontal="right" vertical="bottom"/>
    </xf>
    <xf borderId="0" fillId="2" fontId="8" numFmtId="164" xfId="0" applyAlignment="1" applyFont="1" applyNumberFormat="1">
      <alignment horizontal="right" readingOrder="0"/>
    </xf>
    <xf borderId="0" fillId="2" fontId="8" numFmtId="0" xfId="0" applyAlignment="1" applyFont="1">
      <alignment horizontal="right" readingOrder="0"/>
    </xf>
    <xf borderId="0" fillId="9" fontId="8" numFmtId="0" xfId="0" applyAlignment="1" applyFill="1" applyFont="1">
      <alignment horizontal="right" readingOrder="0"/>
    </xf>
    <xf borderId="0" fillId="2" fontId="8" numFmtId="0" xfId="0" applyAlignment="1" applyFont="1">
      <alignment horizontal="right"/>
    </xf>
    <xf borderId="0" fillId="2" fontId="10" numFmtId="0" xfId="0" applyAlignment="1" applyFont="1">
      <alignment horizontal="right" readingOrder="0" vertical="bottom"/>
    </xf>
    <xf borderId="0" fillId="5" fontId="8" numFmtId="0" xfId="0" applyAlignment="1" applyFont="1">
      <alignment horizontal="right" readingOrder="0"/>
    </xf>
    <xf borderId="0" fillId="10" fontId="8" numFmtId="0" xfId="0" applyAlignment="1" applyFill="1" applyFont="1">
      <alignment horizontal="right"/>
    </xf>
    <xf borderId="0" fillId="2" fontId="8" numFmtId="0" xfId="0" applyFont="1"/>
    <xf borderId="0" fillId="2" fontId="20" numFmtId="0" xfId="0" applyAlignment="1" applyFont="1">
      <alignment horizontal="right" readingOrder="0"/>
    </xf>
    <xf borderId="0" fillId="11" fontId="8" numFmtId="0" xfId="0" applyAlignment="1" applyFill="1" applyFont="1">
      <alignment horizontal="right" readingOrder="0"/>
    </xf>
    <xf borderId="0" fillId="2" fontId="8" numFmtId="0" xfId="0" applyAlignment="1" applyFont="1">
      <alignment readingOrder="0"/>
    </xf>
    <xf borderId="0" fillId="0" fontId="21" numFmtId="0" xfId="0" applyAlignment="1" applyFont="1">
      <alignment horizontal="right" readingOrder="0"/>
    </xf>
    <xf borderId="0" fillId="10" fontId="8" numFmtId="0" xfId="0" applyAlignment="1" applyFont="1">
      <alignment horizontal="right" readingOrder="0"/>
    </xf>
    <xf borderId="0" fillId="2" fontId="22" numFmtId="0" xfId="0" applyAlignment="1" applyFont="1">
      <alignment horizontal="right" readingOrder="0"/>
    </xf>
    <xf borderId="0" fillId="0" fontId="21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10" numFmtId="0" xfId="0" applyAlignment="1" applyFont="1">
      <alignment horizontal="right" vertical="bottom"/>
    </xf>
    <xf borderId="0" fillId="2" fontId="8" numFmtId="168" xfId="0" applyAlignment="1" applyFont="1" applyNumberFormat="1">
      <alignment horizontal="right" readingOrder="0"/>
    </xf>
    <xf borderId="0" fillId="9" fontId="10" numFmtId="0" xfId="0" applyAlignment="1" applyFont="1">
      <alignment horizontal="right" readingOrder="0" vertical="bottom"/>
    </xf>
    <xf borderId="0" fillId="2" fontId="10" numFmtId="164" xfId="0" applyAlignment="1" applyFont="1" applyNumberFormat="1">
      <alignment horizontal="right" readingOrder="0" vertical="bottom"/>
    </xf>
    <xf borderId="0" fillId="11" fontId="10" numFmtId="0" xfId="0" applyAlignment="1" applyFont="1">
      <alignment horizontal="right" vertical="bottom"/>
    </xf>
    <xf borderId="0" fillId="0" fontId="10" numFmtId="0" xfId="0" applyAlignment="1" applyFont="1">
      <alignment shrinkToFit="0" wrapText="0"/>
    </xf>
    <xf borderId="0" fillId="10" fontId="21" numFmtId="0" xfId="0" applyAlignment="1" applyFont="1">
      <alignment horizontal="right" readingOrder="0"/>
    </xf>
    <xf borderId="0" fillId="10" fontId="23" numFmtId="0" xfId="0" applyAlignment="1" applyFont="1">
      <alignment horizontal="right" readingOrder="0"/>
    </xf>
    <xf borderId="0" fillId="0" fontId="24" numFmtId="0" xfId="0" applyAlignment="1" applyFont="1">
      <alignment horizontal="right" readingOrder="0"/>
    </xf>
    <xf borderId="0" fillId="0" fontId="8" numFmtId="20" xfId="0" applyAlignment="1" applyFont="1" applyNumberFormat="1">
      <alignment horizontal="right" readingOrder="0"/>
    </xf>
    <xf borderId="0" fillId="5" fontId="10" numFmtId="0" xfId="0" applyAlignment="1" applyFont="1">
      <alignment horizontal="right" readingOrder="0" vertical="bottom"/>
    </xf>
    <xf borderId="0" fillId="2" fontId="25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2" fontId="26" numFmtId="0" xfId="0" applyAlignment="1" applyFont="1">
      <alignment horizontal="right" readingOrder="0"/>
    </xf>
    <xf borderId="0" fillId="2" fontId="8" numFmtId="20" xfId="0" applyAlignment="1" applyFont="1" applyNumberFormat="1">
      <alignment horizontal="right" readingOrder="0"/>
    </xf>
    <xf borderId="0" fillId="3" fontId="8" numFmtId="0" xfId="0" applyAlignment="1" applyFont="1">
      <alignment horizontal="right" readingOrder="0"/>
    </xf>
    <xf borderId="0" fillId="2" fontId="10" numFmtId="0" xfId="0" applyAlignment="1" applyFont="1">
      <alignment horizontal="right" vertical="bottom"/>
    </xf>
    <xf borderId="0" fillId="2" fontId="23" numFmtId="0" xfId="0" applyAlignment="1" applyFont="1">
      <alignment horizontal="right" readingOrder="0"/>
    </xf>
    <xf borderId="0" fillId="2" fontId="27" numFmtId="0" xfId="0" applyAlignment="1" applyFont="1">
      <alignment horizontal="right" readingOrder="0"/>
    </xf>
    <xf borderId="0" fillId="0" fontId="23" numFmtId="0" xfId="0" applyAlignment="1" applyFont="1">
      <alignment horizontal="right" readingOrder="0"/>
    </xf>
    <xf borderId="0" fillId="0" fontId="8" numFmtId="164" xfId="0" applyAlignment="1" applyFont="1" applyNumberFormat="1">
      <alignment horizontal="right" readingOrder="0"/>
    </xf>
    <xf borderId="0" fillId="9" fontId="20" numFmtId="0" xfId="0" applyAlignment="1" applyFont="1">
      <alignment horizontal="right" readingOrder="0"/>
    </xf>
    <xf borderId="0" fillId="12" fontId="28" numFmtId="0" xfId="0" applyAlignment="1" applyFill="1" applyFont="1">
      <alignment horizontal="right" readingOrder="0"/>
    </xf>
    <xf borderId="0" fillId="11" fontId="8" numFmtId="0" xfId="0" applyAlignment="1" applyFont="1">
      <alignment horizontal="right"/>
    </xf>
    <xf borderId="0" fillId="2" fontId="8" numFmtId="169" xfId="0" applyAlignment="1" applyFont="1" applyNumberFormat="1">
      <alignment horizontal="right" readingOrder="0"/>
    </xf>
    <xf borderId="0" fillId="2" fontId="8" numFmtId="170" xfId="0" applyAlignment="1" applyFont="1" applyNumberFormat="1">
      <alignment horizontal="right" readingOrder="0"/>
    </xf>
    <xf borderId="0" fillId="13" fontId="8" numFmtId="0" xfId="0" applyAlignment="1" applyFill="1" applyFont="1">
      <alignment horizontal="right" readingOrder="0"/>
    </xf>
    <xf borderId="0" fillId="0" fontId="8" numFmtId="0" xfId="0" applyFont="1"/>
    <xf borderId="0" fillId="2" fontId="29" numFmtId="0" xfId="0" applyAlignment="1" applyFont="1">
      <alignment readingOrder="0"/>
    </xf>
    <xf borderId="0" fillId="2" fontId="30" numFmtId="0" xfId="0" applyAlignment="1" applyFont="1">
      <alignment readingOrder="0"/>
    </xf>
    <xf borderId="1" fillId="14" fontId="2" numFmtId="0" xfId="0" applyAlignment="1" applyBorder="1" applyFill="1" applyFont="1">
      <alignment horizontal="left" readingOrder="0"/>
    </xf>
    <xf borderId="1" fillId="14" fontId="2" numFmtId="0" xfId="0" applyAlignment="1" applyBorder="1" applyFont="1">
      <alignment readingOrder="0"/>
    </xf>
    <xf borderId="1" fillId="14" fontId="2" numFmtId="0" xfId="0" applyAlignment="1" applyBorder="1" applyFont="1">
      <alignment horizontal="left" readingOrder="0" vertical="bottom"/>
    </xf>
    <xf borderId="0" fillId="0" fontId="8" numFmtId="171" xfId="0" applyAlignment="1" applyFont="1" applyNumberFormat="1">
      <alignment readingOrder="0"/>
    </xf>
    <xf borderId="0" fillId="0" fontId="8" numFmtId="172" xfId="0" applyAlignment="1" applyFont="1" applyNumberFormat="1">
      <alignment readingOrder="0"/>
    </xf>
    <xf borderId="0" fillId="0" fontId="8" numFmtId="173" xfId="0" applyAlignment="1" applyFont="1" applyNumberFormat="1">
      <alignment readingOrder="0"/>
    </xf>
    <xf borderId="0" fillId="3" fontId="8" numFmtId="172" xfId="0" applyAlignment="1" applyFont="1" applyNumberFormat="1">
      <alignment readingOrder="0"/>
    </xf>
    <xf borderId="4" fillId="0" fontId="2" numFmtId="0" xfId="0" applyAlignment="1" applyBorder="1" applyFont="1">
      <alignment horizontal="right"/>
    </xf>
    <xf borderId="4" fillId="2" fontId="2" numFmtId="0" xfId="0" applyAlignment="1" applyBorder="1" applyFont="1">
      <alignment horizontal="left" shrinkToFit="0" wrapText="1"/>
    </xf>
    <xf borderId="4" fillId="0" fontId="8" numFmtId="0" xfId="0" applyAlignment="1" applyBorder="1" applyFont="1">
      <alignment readingOrder="0"/>
    </xf>
    <xf borderId="0" fillId="0" fontId="10" numFmtId="0" xfId="0" applyAlignment="1" applyFont="1">
      <alignment vertical="bottom"/>
    </xf>
    <xf borderId="0" fillId="0" fontId="31" numFmtId="0" xfId="0" applyAlignment="1" applyFont="1">
      <alignment horizontal="center" vertical="bottom"/>
    </xf>
    <xf borderId="2" fillId="0" fontId="32" numFmtId="0" xfId="0" applyAlignment="1" applyBorder="1" applyFont="1">
      <alignment horizontal="center" vertical="bottom"/>
    </xf>
    <xf borderId="3" fillId="0" fontId="10" numFmtId="164" xfId="0" applyAlignment="1" applyBorder="1" applyFont="1" applyNumberFormat="1">
      <alignment horizontal="right" readingOrder="0" vertical="bottom"/>
    </xf>
    <xf borderId="5" fillId="0" fontId="33" numFmtId="0" xfId="0" applyBorder="1" applyFont="1"/>
    <xf borderId="6" fillId="0" fontId="33" numFmtId="0" xfId="0" applyBorder="1" applyFont="1"/>
    <xf borderId="7" fillId="0" fontId="10" numFmtId="0" xfId="0" applyAlignment="1" applyBorder="1" applyFont="1">
      <alignment readingOrder="0" vertical="bottom"/>
    </xf>
    <xf borderId="7" fillId="0" fontId="33" numFmtId="0" xfId="0" applyBorder="1" applyFont="1"/>
    <xf borderId="8" fillId="0" fontId="33" numFmtId="0" xfId="0" applyBorder="1" applyFont="1"/>
    <xf borderId="1" fillId="0" fontId="32" numFmtId="0" xfId="0" applyAlignment="1" applyBorder="1" applyFont="1">
      <alignment horizontal="center" vertical="bottom"/>
    </xf>
    <xf borderId="5" fillId="0" fontId="34" numFmtId="0" xfId="0" applyAlignment="1" applyBorder="1" applyFont="1">
      <alignment horizontal="center" vertical="bottom"/>
    </xf>
    <xf borderId="1" fillId="0" fontId="35" numFmtId="0" xfId="0" applyAlignment="1" applyBorder="1" applyFont="1">
      <alignment horizontal="center" vertical="bottom"/>
    </xf>
    <xf borderId="6" fillId="0" fontId="35" numFmtId="0" xfId="0" applyAlignment="1" applyBorder="1" applyFont="1">
      <alignment horizontal="center" vertical="bottom"/>
    </xf>
    <xf borderId="4" fillId="0" fontId="16" numFmtId="0" xfId="0" applyAlignment="1" applyBorder="1" applyFont="1">
      <alignment horizontal="center" vertical="bottom"/>
    </xf>
    <xf borderId="8" fillId="0" fontId="16" numFmtId="0" xfId="0" applyAlignment="1" applyBorder="1" applyFont="1">
      <alignment horizontal="center" shrinkToFit="0" vertical="bottom" wrapText="1"/>
    </xf>
    <xf borderId="8" fillId="0" fontId="16" numFmtId="0" xfId="0" applyAlignment="1" applyBorder="1" applyFont="1">
      <alignment horizontal="center" readingOrder="0" vertical="bottom"/>
    </xf>
    <xf borderId="8" fillId="0" fontId="16" numFmtId="0" xfId="0" applyAlignment="1" applyBorder="1" applyFont="1">
      <alignment horizontal="center" vertical="bottom"/>
    </xf>
    <xf borderId="4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" fillId="0" fontId="16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0" fillId="0" fontId="3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36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2" fillId="0" fontId="10" numFmtId="0" xfId="0" applyAlignment="1" applyBorder="1" applyFont="1">
      <alignment horizontal="center" shrinkToFit="0" vertical="center" wrapText="1"/>
    </xf>
    <xf borderId="9" fillId="0" fontId="33" numFmtId="0" xfId="0" applyBorder="1" applyFont="1"/>
    <xf borderId="1" fillId="0" fontId="13" numFmtId="0" xfId="0" applyAlignment="1" applyBorder="1" applyFont="1">
      <alignment horizontal="left" readingOrder="0" shrinkToFit="0" vertical="bottom" wrapText="0"/>
    </xf>
    <xf borderId="4" fillId="0" fontId="33" numFmtId="0" xfId="0" applyBorder="1" applyFont="1"/>
    <xf borderId="1" fillId="0" fontId="2" numFmtId="0" xfId="0" applyAlignment="1" applyBorder="1" applyFont="1">
      <alignment horizontal="left" readingOrder="0" shrinkToFit="0" vertical="bottom" wrapText="0"/>
    </xf>
    <xf borderId="2" fillId="0" fontId="8" numFmtId="0" xfId="0" applyAlignment="1" applyBorder="1" applyFont="1">
      <alignment readingOrder="0" vertical="center"/>
    </xf>
    <xf borderId="1" fillId="2" fontId="6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10" numFmtId="0" xfId="0" applyBorder="1" applyFont="1"/>
    <xf borderId="1" fillId="0" fontId="8" numFmtId="0" xfId="0" applyAlignment="1" applyBorder="1" applyFont="1">
      <alignment vertical="center"/>
    </xf>
    <xf borderId="0" fillId="0" fontId="3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8" fontId="38" numFmtId="0" xfId="0" applyAlignment="1" applyFont="1">
      <alignment readingOrder="0"/>
    </xf>
    <xf borderId="0" fillId="8" fontId="8" numFmtId="0" xfId="0" applyFont="1"/>
    <xf borderId="0" fillId="8" fontId="8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left" shrinkToFit="0" vertical="bottom" wrapText="1"/>
    </xf>
    <xf borderId="1" fillId="2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N1:O1038" sheet="Остатки"/>
  </cacheSource>
  <cacheFields>
    <cacheField name="Наименование" numFmtId="0">
      <sharedItems containsString="0" containsBlank="1">
        <m/>
      </sharedItems>
    </cacheField>
    <cacheField name="Количество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1" cacheId="0" dataCaption="" compact="0" compactData="0">
  <location ref="A1:B3" firstHeaderRow="0" firstDataRow="1" firstDataCol="0"/>
  <pivotFields>
    <pivotField name="Наименование" axis="axisRow" compact="0" outline="0" multipleItemSelectionAllowed="1" showAll="0" sortType="ascending">
      <items>
        <item sd="0" x="0"/>
        <item t="default"/>
      </items>
    </pivotField>
    <pivotField name="Количество" dataField="1" compact="0" outline="0" multipleItemSelectionAllowed="1" showAll="0">
      <items>
        <item x="0"/>
        <item t="default"/>
      </items>
    </pivotField>
  </pivotFields>
  <rowFields>
    <field x="0"/>
  </rowFields>
  <dataFields>
    <dataField name="SUM of Количество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3.13"/>
    <col customWidth="1" min="3" max="4" width="27.25"/>
    <col customWidth="1" min="6" max="7" width="21.75"/>
    <col customWidth="1" min="8" max="8" width="13.63"/>
    <col customWidth="1" min="11" max="11" width="12.0"/>
    <col customWidth="1" min="12" max="12" width="22.13"/>
    <col customWidth="1" min="14" max="14" width="25.5"/>
    <col customWidth="1" min="15" max="15" width="13.0"/>
    <col customWidth="1" min="16" max="16" width="17.38"/>
    <col customWidth="1" min="17" max="17" width="19.0"/>
    <col customWidth="1" min="24" max="24" width="14.0"/>
    <col customWidth="1" min="25" max="25" width="9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/>
      <c r="N1" s="8" t="s">
        <v>3</v>
      </c>
      <c r="O1" s="9" t="s">
        <v>12</v>
      </c>
      <c r="P1" s="10"/>
      <c r="Q1" s="11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3" t="s">
        <v>13</v>
      </c>
      <c r="B2" s="14">
        <v>4.660401460054E12</v>
      </c>
      <c r="C2" s="13" t="s">
        <v>14</v>
      </c>
      <c r="D2" s="13" t="s">
        <v>14</v>
      </c>
      <c r="E2" s="4">
        <v>1100.0</v>
      </c>
      <c r="F2" s="4"/>
      <c r="G2" s="4"/>
      <c r="H2" s="4">
        <v>665.0</v>
      </c>
      <c r="I2" s="4">
        <v>370.0</v>
      </c>
      <c r="J2" s="15">
        <f t="shared" ref="J2:J42" si="1">E2-F2-H2-I2</f>
        <v>65</v>
      </c>
      <c r="K2" s="2">
        <v>50.0</v>
      </c>
      <c r="L2" s="16">
        <v>46124.0</v>
      </c>
      <c r="M2" s="17"/>
      <c r="N2" s="18"/>
      <c r="O2" s="19"/>
      <c r="P2" s="20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3" t="s">
        <v>13</v>
      </c>
      <c r="B3" s="21">
        <v>4.630263902535E12</v>
      </c>
      <c r="C3" s="22" t="s">
        <v>15</v>
      </c>
      <c r="D3" s="23" t="s">
        <v>15</v>
      </c>
      <c r="E3" s="4">
        <v>33923.0</v>
      </c>
      <c r="F3" s="24"/>
      <c r="G3" s="24"/>
      <c r="H3" s="4">
        <v>11020.0</v>
      </c>
      <c r="I3" s="4">
        <v>20467.0</v>
      </c>
      <c r="J3" s="15">
        <f t="shared" si="1"/>
        <v>2436</v>
      </c>
      <c r="K3" s="2" t="s">
        <v>16</v>
      </c>
      <c r="L3" s="16">
        <v>46254.0</v>
      </c>
      <c r="N3" s="18"/>
      <c r="O3" s="19"/>
      <c r="S3" s="12"/>
      <c r="W3" s="12"/>
      <c r="Z3" s="12"/>
      <c r="AA3" s="12"/>
      <c r="AB3" s="12"/>
    </row>
    <row r="4">
      <c r="A4" s="13" t="s">
        <v>13</v>
      </c>
      <c r="B4" s="21">
        <v>4.630205148199E12</v>
      </c>
      <c r="C4" s="25" t="s">
        <v>17</v>
      </c>
      <c r="D4" s="23" t="s">
        <v>17</v>
      </c>
      <c r="E4" s="4">
        <v>26060.0</v>
      </c>
      <c r="F4" s="24"/>
      <c r="G4" s="24"/>
      <c r="H4" s="4">
        <v>6778.0</v>
      </c>
      <c r="I4" s="4">
        <v>19016.0</v>
      </c>
      <c r="J4" s="15">
        <f t="shared" si="1"/>
        <v>266</v>
      </c>
      <c r="K4" s="2" t="s">
        <v>18</v>
      </c>
      <c r="L4" s="26">
        <v>46261.0</v>
      </c>
      <c r="M4" s="27"/>
      <c r="N4" s="18"/>
      <c r="O4" s="19"/>
      <c r="S4" s="12"/>
      <c r="W4" s="12"/>
      <c r="Z4" s="12"/>
      <c r="AA4" s="12"/>
      <c r="AB4" s="12"/>
    </row>
    <row r="5">
      <c r="A5" s="13" t="s">
        <v>13</v>
      </c>
      <c r="B5" s="21">
        <v>4.67016725305E12</v>
      </c>
      <c r="C5" s="25" t="s">
        <v>19</v>
      </c>
      <c r="D5" s="23" t="s">
        <v>19</v>
      </c>
      <c r="E5" s="4">
        <v>7996.0</v>
      </c>
      <c r="F5" s="4"/>
      <c r="G5" s="4"/>
      <c r="H5" s="4">
        <v>6042.0</v>
      </c>
      <c r="I5" s="4">
        <v>1932.0</v>
      </c>
      <c r="J5" s="15">
        <f t="shared" si="1"/>
        <v>22</v>
      </c>
      <c r="K5" s="2">
        <v>12.0</v>
      </c>
      <c r="L5" s="28">
        <v>46269.0</v>
      </c>
      <c r="M5" s="27"/>
      <c r="N5" s="18"/>
      <c r="O5" s="19"/>
      <c r="S5" s="12"/>
      <c r="W5" s="12"/>
      <c r="Z5" s="12"/>
      <c r="AA5" s="12"/>
      <c r="AB5" s="12"/>
    </row>
    <row r="6">
      <c r="A6" s="13" t="s">
        <v>13</v>
      </c>
      <c r="B6" s="29">
        <v>4.673767780032E12</v>
      </c>
      <c r="C6" s="30" t="s">
        <v>20</v>
      </c>
      <c r="D6" s="3" t="s">
        <v>20</v>
      </c>
      <c r="E6" s="4">
        <v>25846.0</v>
      </c>
      <c r="F6" s="4">
        <v>3.0</v>
      </c>
      <c r="G6" s="4"/>
      <c r="H6" s="4">
        <v>8784.0</v>
      </c>
      <c r="I6" s="4">
        <v>5480.0</v>
      </c>
      <c r="J6" s="15">
        <f t="shared" si="1"/>
        <v>11579</v>
      </c>
      <c r="K6" s="2" t="s">
        <v>21</v>
      </c>
      <c r="L6" s="31">
        <v>46235.0</v>
      </c>
      <c r="M6" s="27"/>
      <c r="N6" s="18"/>
      <c r="O6" s="19"/>
      <c r="S6" s="12"/>
      <c r="W6" s="12"/>
      <c r="Z6" s="12"/>
      <c r="AA6" s="12"/>
      <c r="AB6" s="12"/>
    </row>
    <row r="7">
      <c r="A7" s="13" t="s">
        <v>13</v>
      </c>
      <c r="B7" s="32">
        <v>4.670227414926E12</v>
      </c>
      <c r="C7" s="30" t="s">
        <v>22</v>
      </c>
      <c r="D7" s="3" t="s">
        <v>22</v>
      </c>
      <c r="E7" s="4">
        <v>9000.0</v>
      </c>
      <c r="F7" s="24"/>
      <c r="G7" s="24"/>
      <c r="H7" s="4">
        <v>2982.0</v>
      </c>
      <c r="I7" s="4">
        <v>3372.0</v>
      </c>
      <c r="J7" s="15">
        <f t="shared" si="1"/>
        <v>2646</v>
      </c>
      <c r="K7" s="2">
        <v>50.0</v>
      </c>
      <c r="L7" s="28">
        <v>46282.0</v>
      </c>
      <c r="N7" s="18"/>
      <c r="O7" s="19"/>
      <c r="S7" s="12"/>
      <c r="W7" s="12"/>
      <c r="Z7" s="12"/>
      <c r="AA7" s="12"/>
      <c r="AB7" s="12"/>
    </row>
    <row r="8">
      <c r="A8" s="13" t="s">
        <v>13</v>
      </c>
      <c r="B8" s="32">
        <v>4.68016284276E12</v>
      </c>
      <c r="C8" s="33" t="s">
        <v>23</v>
      </c>
      <c r="D8" s="34" t="s">
        <v>23</v>
      </c>
      <c r="E8" s="4">
        <v>75350.0</v>
      </c>
      <c r="F8" s="4"/>
      <c r="G8" s="4"/>
      <c r="H8" s="4">
        <v>11536.0</v>
      </c>
      <c r="I8" s="4">
        <v>58769.0</v>
      </c>
      <c r="J8" s="15">
        <f t="shared" si="1"/>
        <v>5045</v>
      </c>
      <c r="K8" s="2" t="s">
        <v>24</v>
      </c>
      <c r="L8" s="35">
        <v>46235.0</v>
      </c>
      <c r="N8" s="18"/>
      <c r="O8" s="19"/>
      <c r="S8" s="12"/>
      <c r="W8" s="12"/>
      <c r="Z8" s="12"/>
      <c r="AA8" s="12"/>
      <c r="AB8" s="12"/>
    </row>
    <row r="9">
      <c r="A9" s="13" t="s">
        <v>13</v>
      </c>
      <c r="B9" s="2">
        <v>4.607050974815E12</v>
      </c>
      <c r="C9" s="30" t="s">
        <v>25</v>
      </c>
      <c r="D9" s="3" t="s">
        <v>25</v>
      </c>
      <c r="E9" s="4">
        <v>62944.0</v>
      </c>
      <c r="F9" s="4">
        <v>43.0</v>
      </c>
      <c r="G9" s="24"/>
      <c r="H9" s="4">
        <v>24611.0</v>
      </c>
      <c r="I9" s="4">
        <v>37974.0</v>
      </c>
      <c r="J9" s="15">
        <f t="shared" si="1"/>
        <v>316</v>
      </c>
      <c r="K9" s="2">
        <v>144.0</v>
      </c>
      <c r="L9" s="36"/>
      <c r="N9" s="18"/>
      <c r="O9" s="19"/>
      <c r="S9" s="12"/>
      <c r="W9" s="12"/>
      <c r="X9" s="12"/>
      <c r="Y9" s="12"/>
      <c r="Z9" s="12"/>
      <c r="AA9" s="12"/>
      <c r="AB9" s="12"/>
    </row>
    <row r="10">
      <c r="A10" s="13" t="s">
        <v>13</v>
      </c>
      <c r="B10" s="2">
        <v>4.680201377123E12</v>
      </c>
      <c r="C10" s="30" t="s">
        <v>26</v>
      </c>
      <c r="D10" s="3" t="s">
        <v>26</v>
      </c>
      <c r="E10" s="37">
        <v>3320.0</v>
      </c>
      <c r="F10" s="38"/>
      <c r="G10" s="38"/>
      <c r="H10" s="37">
        <v>2168.0</v>
      </c>
      <c r="I10" s="37">
        <v>1152.0</v>
      </c>
      <c r="J10" s="15">
        <f t="shared" si="1"/>
        <v>0</v>
      </c>
      <c r="K10" s="39"/>
      <c r="L10" s="38"/>
      <c r="N10" s="18"/>
      <c r="O10" s="19"/>
      <c r="S10" s="12"/>
      <c r="W10" s="12"/>
      <c r="X10" s="12"/>
      <c r="Y10" s="12"/>
      <c r="Z10" s="12"/>
      <c r="AA10" s="12"/>
      <c r="AB10" s="12"/>
    </row>
    <row r="11">
      <c r="A11" s="13" t="s">
        <v>13</v>
      </c>
      <c r="B11" s="40">
        <v>4.67022741564E12</v>
      </c>
      <c r="C11" s="41" t="s">
        <v>27</v>
      </c>
      <c r="D11" s="42" t="s">
        <v>27</v>
      </c>
      <c r="E11" s="4">
        <v>1200.0</v>
      </c>
      <c r="F11" s="24"/>
      <c r="G11" s="24"/>
      <c r="H11" s="4">
        <v>662.0</v>
      </c>
      <c r="I11" s="4">
        <v>528.0</v>
      </c>
      <c r="J11" s="15">
        <f t="shared" si="1"/>
        <v>10</v>
      </c>
      <c r="K11" s="2">
        <v>12.0</v>
      </c>
      <c r="L11" s="43">
        <v>46299.0</v>
      </c>
      <c r="N11" s="18"/>
      <c r="O11" s="19"/>
      <c r="S11" s="12"/>
      <c r="V11" s="12"/>
      <c r="W11" s="12"/>
      <c r="X11" s="12"/>
      <c r="Y11" s="12"/>
      <c r="Z11" s="12"/>
      <c r="AA11" s="12"/>
      <c r="AB11" s="12"/>
    </row>
    <row r="12">
      <c r="A12" s="13" t="s">
        <v>13</v>
      </c>
      <c r="B12" s="40">
        <v>4.670227415657E12</v>
      </c>
      <c r="C12" s="44" t="s">
        <v>28</v>
      </c>
      <c r="D12" s="42" t="s">
        <v>28</v>
      </c>
      <c r="E12" s="4">
        <v>1200.0</v>
      </c>
      <c r="F12" s="4">
        <v>3.0</v>
      </c>
      <c r="G12" s="24"/>
      <c r="H12" s="4">
        <v>664.0</v>
      </c>
      <c r="I12" s="4">
        <v>518.0</v>
      </c>
      <c r="J12" s="15">
        <f t="shared" si="1"/>
        <v>15</v>
      </c>
      <c r="K12" s="2">
        <v>12.0</v>
      </c>
      <c r="L12" s="43">
        <v>46299.0</v>
      </c>
      <c r="N12" s="18"/>
      <c r="O12" s="19"/>
      <c r="S12" s="12"/>
      <c r="V12" s="12"/>
      <c r="W12" s="12"/>
      <c r="X12" s="12"/>
      <c r="Y12" s="12"/>
      <c r="Z12" s="12"/>
      <c r="AA12" s="12"/>
      <c r="AB12" s="12"/>
    </row>
    <row r="13">
      <c r="A13" s="13" t="s">
        <v>13</v>
      </c>
      <c r="B13" s="40">
        <v>4.670227415817E12</v>
      </c>
      <c r="C13" s="45" t="s">
        <v>29</v>
      </c>
      <c r="D13" s="42" t="s">
        <v>29</v>
      </c>
      <c r="E13" s="4">
        <v>1150.0</v>
      </c>
      <c r="F13" s="4">
        <v>7.0</v>
      </c>
      <c r="G13" s="24"/>
      <c r="H13" s="4">
        <v>734.0</v>
      </c>
      <c r="I13" s="4">
        <v>403.0</v>
      </c>
      <c r="J13" s="15">
        <f t="shared" si="1"/>
        <v>6</v>
      </c>
      <c r="K13" s="2">
        <v>12.0</v>
      </c>
      <c r="L13" s="26">
        <v>46299.0</v>
      </c>
      <c r="N13" s="18"/>
      <c r="O13" s="19"/>
      <c r="S13" s="12"/>
      <c r="V13" s="12"/>
      <c r="W13" s="12"/>
      <c r="X13" s="12"/>
      <c r="Y13" s="12"/>
      <c r="Z13" s="12"/>
      <c r="AA13" s="12"/>
      <c r="AB13" s="12"/>
    </row>
    <row r="14">
      <c r="A14" s="13" t="s">
        <v>13</v>
      </c>
      <c r="B14" s="32">
        <v>4.670020498024E12</v>
      </c>
      <c r="C14" s="46" t="s">
        <v>30</v>
      </c>
      <c r="D14" s="47" t="s">
        <v>30</v>
      </c>
      <c r="E14" s="4">
        <v>10406.0</v>
      </c>
      <c r="F14" s="24"/>
      <c r="G14" s="24"/>
      <c r="H14" s="4">
        <v>3849.0</v>
      </c>
      <c r="I14" s="4">
        <v>6322.0</v>
      </c>
      <c r="J14" s="15">
        <f t="shared" si="1"/>
        <v>235</v>
      </c>
      <c r="K14" s="2" t="s">
        <v>31</v>
      </c>
      <c r="L14" s="26">
        <v>46296.0</v>
      </c>
      <c r="N14" s="18"/>
      <c r="O14" s="19"/>
      <c r="S14" s="12"/>
      <c r="V14" s="12"/>
      <c r="W14" s="12"/>
      <c r="X14" s="12"/>
      <c r="Y14" s="12"/>
      <c r="Z14" s="12"/>
      <c r="AA14" s="12"/>
      <c r="AB14" s="12"/>
    </row>
    <row r="15">
      <c r="A15" s="13" t="s">
        <v>13</v>
      </c>
      <c r="B15" s="29">
        <v>4.610030631868E12</v>
      </c>
      <c r="C15" s="33" t="s">
        <v>32</v>
      </c>
      <c r="D15" s="47" t="s">
        <v>32</v>
      </c>
      <c r="E15" s="4">
        <v>2054.0</v>
      </c>
      <c r="F15" s="4"/>
      <c r="G15" s="4"/>
      <c r="H15" s="4">
        <v>1402.0</v>
      </c>
      <c r="I15" s="4">
        <v>576.0</v>
      </c>
      <c r="J15" s="15">
        <f t="shared" si="1"/>
        <v>76</v>
      </c>
      <c r="K15" s="2">
        <v>72.0</v>
      </c>
      <c r="L15" s="26">
        <v>46296.0</v>
      </c>
      <c r="N15" s="18"/>
      <c r="O15" s="19"/>
      <c r="S15" s="12"/>
      <c r="V15" s="12"/>
      <c r="W15" s="12"/>
      <c r="X15" s="12"/>
      <c r="Y15" s="12"/>
      <c r="Z15" s="12"/>
      <c r="AA15" s="12"/>
      <c r="AB15" s="12"/>
    </row>
    <row r="16">
      <c r="A16" s="13" t="s">
        <v>13</v>
      </c>
      <c r="B16" s="32">
        <v>4.673748455348E12</v>
      </c>
      <c r="C16" s="30" t="s">
        <v>33</v>
      </c>
      <c r="D16" s="3" t="s">
        <v>33</v>
      </c>
      <c r="E16" s="4">
        <v>38656.0</v>
      </c>
      <c r="F16" s="24"/>
      <c r="G16" s="4" t="s">
        <v>34</v>
      </c>
      <c r="H16" s="4">
        <v>21550.0</v>
      </c>
      <c r="I16" s="4">
        <v>12708.0</v>
      </c>
      <c r="J16" s="15">
        <f t="shared" si="1"/>
        <v>4398</v>
      </c>
      <c r="K16" s="2">
        <v>108.0</v>
      </c>
      <c r="L16" s="43"/>
      <c r="N16" s="18"/>
      <c r="O16" s="19"/>
      <c r="S16" s="12"/>
      <c r="V16" s="11" t="s">
        <v>35</v>
      </c>
      <c r="W16" s="11" t="s">
        <v>36</v>
      </c>
      <c r="X16" s="11" t="s">
        <v>37</v>
      </c>
      <c r="Y16" s="11" t="s">
        <v>38</v>
      </c>
      <c r="Z16" s="11" t="s">
        <v>39</v>
      </c>
      <c r="AA16" s="12"/>
      <c r="AB16" s="12"/>
    </row>
    <row r="17">
      <c r="A17" s="13" t="s">
        <v>13</v>
      </c>
      <c r="B17" s="32">
        <v>4.610172186752E12</v>
      </c>
      <c r="C17" s="48" t="s">
        <v>40</v>
      </c>
      <c r="D17" s="3" t="s">
        <v>40</v>
      </c>
      <c r="E17" s="4">
        <v>4711.0</v>
      </c>
      <c r="F17" s="4"/>
      <c r="G17" s="4"/>
      <c r="H17" s="4">
        <v>1820.0</v>
      </c>
      <c r="I17" s="4">
        <v>2890.0</v>
      </c>
      <c r="J17" s="15">
        <f t="shared" si="1"/>
        <v>1</v>
      </c>
      <c r="K17" s="2">
        <v>17.0</v>
      </c>
      <c r="L17" s="26">
        <v>46296.0</v>
      </c>
      <c r="N17" s="18"/>
      <c r="O17" s="19"/>
      <c r="S17" s="12"/>
      <c r="V17" s="49">
        <v>41703.0</v>
      </c>
      <c r="W17" s="49">
        <v>103904.0</v>
      </c>
      <c r="X17" s="49"/>
      <c r="Y17" s="49"/>
      <c r="Z17" s="49">
        <v>3060.0</v>
      </c>
      <c r="AA17" s="49">
        <v>148667.0</v>
      </c>
      <c r="AB17" s="11" t="s">
        <v>41</v>
      </c>
    </row>
    <row r="18">
      <c r="A18" s="13" t="s">
        <v>13</v>
      </c>
      <c r="B18" s="50">
        <v>2.044461342086E12</v>
      </c>
      <c r="C18" s="51" t="s">
        <v>42</v>
      </c>
      <c r="D18" s="52" t="s">
        <v>42</v>
      </c>
      <c r="E18" s="37">
        <v>54270.0</v>
      </c>
      <c r="F18" s="38"/>
      <c r="G18" s="37"/>
      <c r="H18" s="37">
        <v>16899.0</v>
      </c>
      <c r="I18" s="37">
        <v>32715.0</v>
      </c>
      <c r="J18" s="15">
        <f t="shared" si="1"/>
        <v>4656</v>
      </c>
      <c r="K18" s="50" t="s">
        <v>43</v>
      </c>
      <c r="L18" s="38"/>
      <c r="N18" s="18"/>
      <c r="O18" s="19"/>
      <c r="S18" s="53"/>
      <c r="V18" s="49"/>
      <c r="W18" s="49"/>
      <c r="X18" s="49"/>
      <c r="Y18" s="11"/>
      <c r="Z18" s="53"/>
      <c r="AA18" s="53"/>
      <c r="AB18" s="53"/>
    </row>
    <row r="19">
      <c r="A19" s="13" t="s">
        <v>13</v>
      </c>
      <c r="B19" s="29">
        <v>4.670142964339E12</v>
      </c>
      <c r="C19" s="30" t="s">
        <v>44</v>
      </c>
      <c r="D19" s="3" t="s">
        <v>44</v>
      </c>
      <c r="E19" s="4">
        <v>8100.0</v>
      </c>
      <c r="F19" s="24"/>
      <c r="G19" s="24"/>
      <c r="H19" s="4">
        <v>3379.0</v>
      </c>
      <c r="I19" s="4">
        <v>2800.0</v>
      </c>
      <c r="J19" s="15">
        <f t="shared" si="1"/>
        <v>1921</v>
      </c>
      <c r="K19" s="2">
        <v>54.0</v>
      </c>
      <c r="L19" s="54">
        <v>46296.0</v>
      </c>
      <c r="N19" s="18"/>
      <c r="O19" s="19"/>
      <c r="S19" s="53"/>
      <c r="T19" s="55" t="s">
        <v>45</v>
      </c>
      <c r="V19" s="53"/>
      <c r="W19" s="49" t="s">
        <v>46</v>
      </c>
      <c r="X19" s="49"/>
      <c r="Y19" s="53"/>
      <c r="Z19" s="49" t="s">
        <v>47</v>
      </c>
      <c r="AA19" s="53"/>
      <c r="AB19" s="53"/>
    </row>
    <row r="20">
      <c r="A20" s="13" t="s">
        <v>13</v>
      </c>
      <c r="B20" s="29">
        <v>4.657786831579E12</v>
      </c>
      <c r="C20" s="56" t="s">
        <v>48</v>
      </c>
      <c r="D20" s="57" t="s">
        <v>48</v>
      </c>
      <c r="E20" s="4">
        <v>4869.0</v>
      </c>
      <c r="F20" s="4"/>
      <c r="G20" s="4"/>
      <c r="H20" s="4">
        <v>1350.0</v>
      </c>
      <c r="I20" s="4">
        <v>3519.0</v>
      </c>
      <c r="J20" s="15">
        <f t="shared" si="1"/>
        <v>0</v>
      </c>
      <c r="K20" s="2">
        <v>99.0</v>
      </c>
      <c r="L20" s="58">
        <v>45962.0</v>
      </c>
      <c r="N20" s="18"/>
      <c r="O20" s="19"/>
      <c r="S20" s="12"/>
      <c r="V20" s="12"/>
      <c r="Y20" s="12"/>
      <c r="AB20" s="12"/>
    </row>
    <row r="21">
      <c r="A21" s="13" t="s">
        <v>13</v>
      </c>
      <c r="B21" s="59">
        <v>4.607025203049E12</v>
      </c>
      <c r="C21" s="60" t="s">
        <v>49</v>
      </c>
      <c r="D21" s="60" t="s">
        <v>49</v>
      </c>
      <c r="E21" s="4">
        <v>6048.0</v>
      </c>
      <c r="F21" s="24"/>
      <c r="G21" s="24"/>
      <c r="H21" s="4">
        <v>2875.0</v>
      </c>
      <c r="I21" s="4">
        <v>2880.0</v>
      </c>
      <c r="J21" s="15">
        <f t="shared" si="1"/>
        <v>293</v>
      </c>
      <c r="K21" s="2">
        <v>42.0</v>
      </c>
      <c r="L21" s="24"/>
      <c r="N21" s="18"/>
      <c r="S21" s="12"/>
      <c r="Y21" s="12"/>
      <c r="AB21" s="12"/>
    </row>
    <row r="22">
      <c r="A22" s="13" t="s">
        <v>13</v>
      </c>
      <c r="B22" s="61">
        <v>4.607025202875E12</v>
      </c>
      <c r="C22" s="60" t="s">
        <v>50</v>
      </c>
      <c r="D22" s="24" t="s">
        <v>51</v>
      </c>
      <c r="E22" s="4">
        <v>6048.0</v>
      </c>
      <c r="F22" s="24"/>
      <c r="G22" s="4">
        <v>0.0</v>
      </c>
      <c r="H22" s="4">
        <v>2522.0</v>
      </c>
      <c r="I22" s="4">
        <v>3192.0</v>
      </c>
      <c r="J22" s="15">
        <f t="shared" si="1"/>
        <v>334</v>
      </c>
      <c r="K22" s="2">
        <v>42.0</v>
      </c>
      <c r="L22" s="62"/>
      <c r="N22" s="18"/>
      <c r="S22" s="12"/>
      <c r="Y22" s="12"/>
      <c r="AB22" s="12"/>
    </row>
    <row r="23">
      <c r="A23" s="13" t="s">
        <v>13</v>
      </c>
      <c r="B23" s="59">
        <v>4.673722841006E12</v>
      </c>
      <c r="C23" s="48" t="s">
        <v>52</v>
      </c>
      <c r="D23" s="4" t="s">
        <v>52</v>
      </c>
      <c r="E23" s="4">
        <v>2000.0</v>
      </c>
      <c r="F23" s="24"/>
      <c r="G23" s="24"/>
      <c r="H23" s="4">
        <v>1045.0</v>
      </c>
      <c r="I23" s="4">
        <v>955.0</v>
      </c>
      <c r="J23" s="15">
        <f t="shared" si="1"/>
        <v>0</v>
      </c>
      <c r="K23" s="2">
        <v>15.0</v>
      </c>
      <c r="L23" s="24"/>
      <c r="N23" s="18"/>
      <c r="S23" s="12"/>
      <c r="Y23" s="12"/>
      <c r="AB23" s="12"/>
    </row>
    <row r="24">
      <c r="A24" s="13" t="s">
        <v>13</v>
      </c>
      <c r="B24" s="63">
        <v>4.670227414018E12</v>
      </c>
      <c r="C24" s="64" t="s">
        <v>53</v>
      </c>
      <c r="D24" s="65" t="s">
        <v>53</v>
      </c>
      <c r="E24" s="37">
        <v>5000.0</v>
      </c>
      <c r="F24" s="38"/>
      <c r="G24" s="38"/>
      <c r="H24" s="37">
        <v>1526.0</v>
      </c>
      <c r="I24" s="37">
        <v>1850.0</v>
      </c>
      <c r="J24" s="15">
        <f t="shared" si="1"/>
        <v>1624</v>
      </c>
      <c r="K24" s="50">
        <v>50.0</v>
      </c>
      <c r="L24" s="38"/>
      <c r="N24" s="18"/>
      <c r="O24" s="19"/>
      <c r="S24" s="12"/>
      <c r="Y24" s="12"/>
      <c r="AB24" s="12"/>
    </row>
    <row r="25">
      <c r="A25" s="13" t="s">
        <v>13</v>
      </c>
      <c r="B25" s="50">
        <v>4.630205144061E12</v>
      </c>
      <c r="C25" s="51" t="s">
        <v>54</v>
      </c>
      <c r="D25" s="37" t="s">
        <v>54</v>
      </c>
      <c r="E25" s="37">
        <v>1500.0</v>
      </c>
      <c r="F25" s="38"/>
      <c r="G25" s="38"/>
      <c r="H25" s="37">
        <v>975.0</v>
      </c>
      <c r="I25" s="37">
        <v>500.0</v>
      </c>
      <c r="J25" s="15">
        <f t="shared" si="1"/>
        <v>25</v>
      </c>
      <c r="K25" s="50">
        <v>50.0</v>
      </c>
      <c r="L25" s="38"/>
      <c r="N25" s="18"/>
      <c r="O25" s="19"/>
      <c r="S25" s="12"/>
      <c r="Y25" s="12"/>
      <c r="AB25" s="12"/>
    </row>
    <row r="26">
      <c r="A26" s="13" t="s">
        <v>13</v>
      </c>
      <c r="B26" s="21">
        <v>4.605543012839E12</v>
      </c>
      <c r="C26" s="66" t="s">
        <v>55</v>
      </c>
      <c r="D26" s="67" t="s">
        <v>55</v>
      </c>
      <c r="E26" s="4">
        <v>89050.0</v>
      </c>
      <c r="F26" s="24"/>
      <c r="G26" s="4" t="s">
        <v>56</v>
      </c>
      <c r="H26" s="4">
        <v>26630.0</v>
      </c>
      <c r="I26" s="4">
        <v>48412.0</v>
      </c>
      <c r="J26" s="15">
        <f t="shared" si="1"/>
        <v>14008</v>
      </c>
      <c r="K26" s="2">
        <v>60.0</v>
      </c>
      <c r="L26" s="24"/>
      <c r="N26" s="18"/>
      <c r="O26" s="19"/>
      <c r="S26" s="12"/>
      <c r="Y26" s="12"/>
      <c r="AB26" s="12"/>
    </row>
    <row r="27">
      <c r="A27" s="13" t="s">
        <v>13</v>
      </c>
      <c r="B27" s="21">
        <v>4.605543012518E12</v>
      </c>
      <c r="C27" s="68" t="s">
        <v>57</v>
      </c>
      <c r="D27" s="69" t="s">
        <v>57</v>
      </c>
      <c r="E27" s="4">
        <v>2928.0</v>
      </c>
      <c r="F27" s="24"/>
      <c r="G27" s="24"/>
      <c r="H27" s="4">
        <v>1131.0</v>
      </c>
      <c r="I27" s="4">
        <v>1334.0</v>
      </c>
      <c r="J27" s="15">
        <f t="shared" si="1"/>
        <v>463</v>
      </c>
      <c r="K27" s="2">
        <v>12.0</v>
      </c>
      <c r="L27" s="24"/>
      <c r="N27" s="18"/>
      <c r="O27" s="19"/>
      <c r="S27" s="12"/>
      <c r="Y27" s="12"/>
      <c r="AB27" s="12"/>
    </row>
    <row r="28">
      <c r="A28" s="13" t="s">
        <v>13</v>
      </c>
      <c r="B28" s="32">
        <v>4.610172186745E12</v>
      </c>
      <c r="C28" s="60" t="s">
        <v>58</v>
      </c>
      <c r="D28" s="60" t="s">
        <v>58</v>
      </c>
      <c r="E28" s="4">
        <v>9940.0</v>
      </c>
      <c r="F28" s="24"/>
      <c r="G28" s="24"/>
      <c r="H28" s="4">
        <v>2311.0</v>
      </c>
      <c r="I28" s="4">
        <v>5282.0</v>
      </c>
      <c r="J28" s="15">
        <f t="shared" si="1"/>
        <v>2347</v>
      </c>
      <c r="K28" s="70">
        <v>9.0</v>
      </c>
      <c r="L28" s="24"/>
      <c r="N28" s="18"/>
      <c r="O28" s="19"/>
      <c r="S28" s="12"/>
      <c r="Y28" s="12"/>
      <c r="AB28" s="12"/>
    </row>
    <row r="29">
      <c r="A29" s="13" t="s">
        <v>13</v>
      </c>
      <c r="B29" s="71">
        <v>4.673767781985E12</v>
      </c>
      <c r="C29" s="72" t="s">
        <v>59</v>
      </c>
      <c r="D29" s="73" t="s">
        <v>59</v>
      </c>
      <c r="E29" s="74">
        <v>8000.0</v>
      </c>
      <c r="F29" s="24"/>
      <c r="G29" s="24"/>
      <c r="H29" s="4">
        <v>3850.0</v>
      </c>
      <c r="I29" s="4">
        <v>2050.0</v>
      </c>
      <c r="J29" s="15">
        <f t="shared" si="1"/>
        <v>2100</v>
      </c>
      <c r="K29" s="70">
        <v>41.0</v>
      </c>
      <c r="L29" s="24"/>
      <c r="N29" s="18"/>
      <c r="O29" s="19"/>
      <c r="S29" s="12"/>
      <c r="Y29" s="12"/>
      <c r="Z29" s="12"/>
      <c r="AA29" s="12"/>
      <c r="AB29" s="12"/>
    </row>
    <row r="30">
      <c r="A30" s="13" t="s">
        <v>13</v>
      </c>
      <c r="B30" s="71">
        <v>4.673767781992E12</v>
      </c>
      <c r="C30" s="73" t="s">
        <v>60</v>
      </c>
      <c r="D30" s="73" t="s">
        <v>60</v>
      </c>
      <c r="E30" s="74">
        <v>5000.0</v>
      </c>
      <c r="F30" s="24"/>
      <c r="G30" s="24"/>
      <c r="H30" s="4">
        <v>2289.0</v>
      </c>
      <c r="I30" s="4">
        <v>2130.0</v>
      </c>
      <c r="J30" s="15">
        <f t="shared" si="1"/>
        <v>581</v>
      </c>
      <c r="K30" s="70">
        <v>20.0</v>
      </c>
      <c r="L30" s="24"/>
      <c r="N30" s="18"/>
      <c r="S30" s="12"/>
      <c r="Y30" s="12"/>
      <c r="Z30" s="12"/>
      <c r="AA30" s="12"/>
      <c r="AB30" s="12"/>
    </row>
    <row r="31">
      <c r="A31" s="13" t="s">
        <v>13</v>
      </c>
      <c r="B31" s="75">
        <v>4.670020498239E12</v>
      </c>
      <c r="C31" s="76" t="s">
        <v>61</v>
      </c>
      <c r="D31" s="77" t="s">
        <v>61</v>
      </c>
      <c r="E31" s="78">
        <v>36112.0</v>
      </c>
      <c r="F31" s="24"/>
      <c r="G31" s="4"/>
      <c r="H31" s="4">
        <v>12758.0</v>
      </c>
      <c r="I31" s="4">
        <v>11546.0</v>
      </c>
      <c r="J31" s="15">
        <f t="shared" si="1"/>
        <v>11808</v>
      </c>
      <c r="K31" s="70" t="s">
        <v>62</v>
      </c>
      <c r="L31" s="24"/>
      <c r="N31" s="18"/>
      <c r="S31" s="12"/>
      <c r="Y31" s="12"/>
      <c r="Z31" s="12"/>
      <c r="AA31" s="12"/>
      <c r="AB31" s="12"/>
    </row>
    <row r="32">
      <c r="A32" s="13" t="s">
        <v>13</v>
      </c>
      <c r="B32" s="32">
        <v>4.640346711329E12</v>
      </c>
      <c r="C32" s="79" t="s">
        <v>63</v>
      </c>
      <c r="D32" s="80" t="s">
        <v>63</v>
      </c>
      <c r="E32" s="4">
        <v>8093.0</v>
      </c>
      <c r="F32" s="4"/>
      <c r="G32" s="24"/>
      <c r="H32" s="4">
        <v>2844.0</v>
      </c>
      <c r="I32" s="4">
        <v>2376.0</v>
      </c>
      <c r="J32" s="15">
        <f t="shared" si="1"/>
        <v>2873</v>
      </c>
      <c r="K32" s="70">
        <v>12.0</v>
      </c>
      <c r="L32" s="24"/>
      <c r="N32" s="18"/>
      <c r="S32" s="12"/>
      <c r="Y32" s="12"/>
      <c r="Z32" s="12"/>
      <c r="AA32" s="12"/>
      <c r="AB32" s="12"/>
    </row>
    <row r="33">
      <c r="A33" s="13" t="s">
        <v>13</v>
      </c>
      <c r="B33" s="32">
        <v>4.640346711336E12</v>
      </c>
      <c r="C33" s="81" t="s">
        <v>64</v>
      </c>
      <c r="D33" s="80" t="s">
        <v>64</v>
      </c>
      <c r="E33" s="4">
        <v>9835.0</v>
      </c>
      <c r="F33" s="24"/>
      <c r="G33" s="24"/>
      <c r="H33" s="4">
        <v>7629.0</v>
      </c>
      <c r="I33" s="4">
        <v>2196.0</v>
      </c>
      <c r="J33" s="15">
        <f t="shared" si="1"/>
        <v>10</v>
      </c>
      <c r="K33" s="70">
        <v>12.0</v>
      </c>
      <c r="L33" s="24"/>
      <c r="N33" s="18"/>
      <c r="S33" s="12"/>
      <c r="Y33" s="12"/>
      <c r="Z33" s="12"/>
      <c r="AA33" s="12"/>
      <c r="AB33" s="12"/>
    </row>
    <row r="34">
      <c r="A34" s="13" t="s">
        <v>13</v>
      </c>
      <c r="B34" s="2">
        <v>4.680162842814E12</v>
      </c>
      <c r="C34" s="79" t="s">
        <v>65</v>
      </c>
      <c r="D34" s="80" t="s">
        <v>65</v>
      </c>
      <c r="E34" s="4">
        <v>15000.0</v>
      </c>
      <c r="F34" s="24"/>
      <c r="G34" s="24"/>
      <c r="H34" s="4">
        <v>4082.0</v>
      </c>
      <c r="I34" s="4">
        <v>3970.0</v>
      </c>
      <c r="J34" s="15">
        <f t="shared" si="1"/>
        <v>6948</v>
      </c>
      <c r="K34" s="70">
        <v>150.0</v>
      </c>
      <c r="L34" s="82">
        <v>46569.0</v>
      </c>
      <c r="N34" s="18"/>
      <c r="O34" s="19"/>
      <c r="S34" s="12"/>
      <c r="Y34" s="12"/>
      <c r="Z34" s="12"/>
      <c r="AA34" s="12"/>
      <c r="AB34" s="12"/>
    </row>
    <row r="35">
      <c r="A35" s="13" t="s">
        <v>13</v>
      </c>
      <c r="B35" s="83">
        <v>4.630263902528E12</v>
      </c>
      <c r="C35" s="84" t="s">
        <v>66</v>
      </c>
      <c r="D35" s="85" t="s">
        <v>67</v>
      </c>
      <c r="E35" s="4">
        <v>201686.0</v>
      </c>
      <c r="F35" s="24"/>
      <c r="G35" s="4"/>
      <c r="H35" s="4">
        <v>18289.0</v>
      </c>
      <c r="I35" s="4">
        <v>144116.0</v>
      </c>
      <c r="J35" s="15">
        <f t="shared" si="1"/>
        <v>39281</v>
      </c>
      <c r="K35" s="70" t="s">
        <v>16</v>
      </c>
      <c r="L35" s="82">
        <v>46539.0</v>
      </c>
      <c r="N35" s="18"/>
      <c r="O35" s="19"/>
      <c r="S35" s="12"/>
      <c r="Y35" s="12"/>
      <c r="Z35" s="12"/>
      <c r="AA35" s="12"/>
      <c r="AB35" s="12"/>
    </row>
    <row r="36">
      <c r="A36" s="13" t="s">
        <v>13</v>
      </c>
      <c r="B36" s="50">
        <v>4.63026390638E12</v>
      </c>
      <c r="C36" s="86" t="s">
        <v>68</v>
      </c>
      <c r="D36" s="52" t="s">
        <v>68</v>
      </c>
      <c r="E36" s="37">
        <v>144182.0</v>
      </c>
      <c r="F36" s="38"/>
      <c r="G36" s="38"/>
      <c r="H36" s="37">
        <v>13761.0</v>
      </c>
      <c r="I36" s="37">
        <v>100485.0</v>
      </c>
      <c r="J36" s="15">
        <f t="shared" si="1"/>
        <v>29936</v>
      </c>
      <c r="K36" s="70" t="s">
        <v>16</v>
      </c>
      <c r="L36" s="38"/>
      <c r="N36" s="18"/>
      <c r="O36" s="19"/>
      <c r="S36" s="12"/>
      <c r="Y36" s="12"/>
      <c r="Z36" s="12"/>
      <c r="AA36" s="12"/>
      <c r="AB36" s="12"/>
    </row>
    <row r="37">
      <c r="A37" s="13" t="s">
        <v>13</v>
      </c>
      <c r="B37" s="32">
        <v>4.603320465236E12</v>
      </c>
      <c r="C37" s="81" t="s">
        <v>69</v>
      </c>
      <c r="D37" s="80" t="s">
        <v>69</v>
      </c>
      <c r="E37" s="4">
        <v>4388.0</v>
      </c>
      <c r="F37" s="24"/>
      <c r="G37" s="24"/>
      <c r="H37" s="4">
        <v>3078.0</v>
      </c>
      <c r="I37" s="4">
        <v>1310.0</v>
      </c>
      <c r="J37" s="15">
        <f t="shared" si="1"/>
        <v>0</v>
      </c>
      <c r="K37" s="70">
        <v>20.0</v>
      </c>
      <c r="L37" s="24"/>
      <c r="N37" s="18"/>
      <c r="O37" s="19"/>
      <c r="S37" s="12"/>
      <c r="Y37" s="12"/>
      <c r="Z37" s="12"/>
      <c r="AA37" s="12"/>
      <c r="AB37" s="12"/>
    </row>
    <row r="38">
      <c r="A38" s="13" t="s">
        <v>13</v>
      </c>
      <c r="B38" s="87">
        <v>4.67376778119E12</v>
      </c>
      <c r="C38" s="88" t="s">
        <v>70</v>
      </c>
      <c r="D38" s="89" t="s">
        <v>70</v>
      </c>
      <c r="E38" s="4">
        <v>47311.0</v>
      </c>
      <c r="F38" s="24"/>
      <c r="G38" s="90"/>
      <c r="H38" s="4">
        <v>13598.0</v>
      </c>
      <c r="I38" s="4">
        <v>29300.0</v>
      </c>
      <c r="J38" s="15">
        <f t="shared" si="1"/>
        <v>4413</v>
      </c>
      <c r="K38" s="70" t="s">
        <v>71</v>
      </c>
      <c r="L38" s="54">
        <v>46327.0</v>
      </c>
      <c r="N38" s="18"/>
      <c r="O38" s="19"/>
      <c r="S38" s="12"/>
      <c r="Y38" s="12"/>
      <c r="Z38" s="12"/>
      <c r="AA38" s="12"/>
      <c r="AB38" s="12"/>
    </row>
    <row r="39">
      <c r="A39" s="13" t="s">
        <v>13</v>
      </c>
      <c r="B39" s="83">
        <v>4.650099657515E12</v>
      </c>
      <c r="C39" s="91" t="s">
        <v>72</v>
      </c>
      <c r="D39" s="92" t="s">
        <v>72</v>
      </c>
      <c r="E39" s="4">
        <v>97934.0</v>
      </c>
      <c r="F39" s="24"/>
      <c r="G39" s="90"/>
      <c r="H39" s="4">
        <v>88162.0</v>
      </c>
      <c r="I39" s="4">
        <v>6732.0</v>
      </c>
      <c r="J39" s="15">
        <f t="shared" si="1"/>
        <v>3040</v>
      </c>
      <c r="K39" s="2" t="s">
        <v>73</v>
      </c>
      <c r="L39" s="24"/>
      <c r="N39" s="18"/>
      <c r="O39" s="19"/>
      <c r="S39" s="12"/>
      <c r="Y39" s="12"/>
      <c r="Z39" s="12"/>
      <c r="AA39" s="12"/>
      <c r="AB39" s="12"/>
    </row>
    <row r="40">
      <c r="A40" s="13" t="s">
        <v>13</v>
      </c>
      <c r="B40" s="21">
        <v>4.627102679611E12</v>
      </c>
      <c r="C40" s="93" t="s">
        <v>74</v>
      </c>
      <c r="D40" s="4" t="s">
        <v>74</v>
      </c>
      <c r="E40" s="4">
        <v>34531.0</v>
      </c>
      <c r="F40" s="24"/>
      <c r="G40" s="90"/>
      <c r="H40" s="4">
        <v>19568.0</v>
      </c>
      <c r="I40" s="4">
        <v>10840.0</v>
      </c>
      <c r="J40" s="15">
        <f t="shared" si="1"/>
        <v>4123</v>
      </c>
      <c r="K40" s="2" t="s">
        <v>75</v>
      </c>
      <c r="L40" s="38"/>
      <c r="N40" s="18"/>
      <c r="O40" s="19"/>
      <c r="S40" s="12"/>
      <c r="Y40" s="12"/>
      <c r="Z40" s="12"/>
      <c r="AA40" s="12"/>
      <c r="AB40" s="12"/>
    </row>
    <row r="41">
      <c r="A41" s="13" t="s">
        <v>13</v>
      </c>
      <c r="B41" s="2">
        <v>4.67022741689E12</v>
      </c>
      <c r="C41" s="37" t="s">
        <v>76</v>
      </c>
      <c r="D41" s="37" t="s">
        <v>76</v>
      </c>
      <c r="E41" s="37">
        <v>5400.0</v>
      </c>
      <c r="F41" s="38"/>
      <c r="G41" s="38"/>
      <c r="H41" s="37">
        <v>2152.0</v>
      </c>
      <c r="I41" s="37">
        <v>2322.0</v>
      </c>
      <c r="J41" s="15">
        <f t="shared" si="1"/>
        <v>926</v>
      </c>
      <c r="K41" s="50">
        <v>50.0</v>
      </c>
      <c r="L41" s="38"/>
      <c r="N41" s="18"/>
      <c r="O41" s="19"/>
      <c r="S41" s="12"/>
      <c r="Y41" s="12"/>
      <c r="Z41" s="12"/>
      <c r="AA41" s="12"/>
      <c r="AB41" s="12"/>
    </row>
    <row r="42">
      <c r="A42" s="13" t="s">
        <v>13</v>
      </c>
      <c r="B42" s="2">
        <v>4.61003063405E12</v>
      </c>
      <c r="C42" s="94" t="s">
        <v>77</v>
      </c>
      <c r="D42" s="94" t="s">
        <v>77</v>
      </c>
      <c r="E42" s="4">
        <v>4865.0</v>
      </c>
      <c r="F42" s="4"/>
      <c r="G42" s="4"/>
      <c r="H42" s="4">
        <v>2951.0</v>
      </c>
      <c r="I42" s="4">
        <v>626.0</v>
      </c>
      <c r="J42" s="15">
        <f t="shared" si="1"/>
        <v>1288</v>
      </c>
      <c r="K42" s="2">
        <v>72.0</v>
      </c>
      <c r="L42" s="95"/>
      <c r="N42" s="18"/>
      <c r="O42" s="19"/>
      <c r="S42" s="12"/>
      <c r="Y42" s="12"/>
      <c r="Z42" s="12"/>
      <c r="AA42" s="12"/>
      <c r="AB42" s="12"/>
    </row>
    <row r="43">
      <c r="A43" s="13" t="s">
        <v>13</v>
      </c>
      <c r="B43" s="96">
        <v>4.670110184271E12</v>
      </c>
      <c r="C43" s="13" t="s">
        <v>78</v>
      </c>
      <c r="D43" s="97" t="s">
        <v>79</v>
      </c>
      <c r="E43" s="98">
        <v>4870.0</v>
      </c>
      <c r="F43" s="24"/>
      <c r="G43" s="24"/>
      <c r="H43" s="4">
        <v>2279.0</v>
      </c>
      <c r="I43" s="4">
        <v>890.0</v>
      </c>
      <c r="J43" s="15">
        <f t="shared" ref="J43:J81" si="2">((E43-F43)-H43)-I43</f>
        <v>1701</v>
      </c>
      <c r="K43" s="50">
        <v>50.0</v>
      </c>
      <c r="L43" s="38"/>
      <c r="N43" s="18"/>
      <c r="O43" s="19"/>
      <c r="S43" s="12"/>
      <c r="Y43" s="12"/>
      <c r="Z43" s="12"/>
      <c r="AA43" s="12"/>
      <c r="AB43" s="12"/>
    </row>
    <row r="44">
      <c r="A44" s="13" t="s">
        <v>13</v>
      </c>
      <c r="B44" s="50">
        <v>4.67002049842E12</v>
      </c>
      <c r="C44" s="86" t="s">
        <v>80</v>
      </c>
      <c r="D44" s="52" t="s">
        <v>80</v>
      </c>
      <c r="E44" s="37">
        <v>38552.0</v>
      </c>
      <c r="F44" s="38"/>
      <c r="G44" s="38"/>
      <c r="H44" s="37">
        <v>15956.0</v>
      </c>
      <c r="I44" s="37">
        <v>12836.0</v>
      </c>
      <c r="J44" s="15">
        <f t="shared" si="2"/>
        <v>9760</v>
      </c>
      <c r="K44" s="50" t="s">
        <v>81</v>
      </c>
      <c r="L44" s="38"/>
      <c r="N44" s="18"/>
      <c r="O44" s="19"/>
      <c r="S44" s="12"/>
      <c r="V44" s="18"/>
      <c r="Y44" s="12"/>
      <c r="Z44" s="12"/>
      <c r="AA44" s="12"/>
      <c r="AB44" s="12"/>
    </row>
    <row r="45">
      <c r="A45" s="13" t="s">
        <v>13</v>
      </c>
      <c r="B45" s="96">
        <v>4.620153903605E12</v>
      </c>
      <c r="C45" s="97" t="s">
        <v>82</v>
      </c>
      <c r="D45" s="97" t="s">
        <v>82</v>
      </c>
      <c r="E45" s="37">
        <v>3040.0</v>
      </c>
      <c r="F45" s="38"/>
      <c r="G45" s="38"/>
      <c r="H45" s="37">
        <v>1370.0</v>
      </c>
      <c r="I45" s="37">
        <v>380.0</v>
      </c>
      <c r="J45" s="15">
        <f t="shared" si="2"/>
        <v>1290</v>
      </c>
      <c r="K45" s="50">
        <v>40.0</v>
      </c>
      <c r="L45" s="38"/>
      <c r="N45" s="18"/>
      <c r="O45" s="19"/>
      <c r="S45" s="12"/>
      <c r="W45" s="12"/>
      <c r="X45" s="12"/>
      <c r="Y45" s="12"/>
      <c r="Z45" s="12"/>
      <c r="AA45" s="12"/>
      <c r="AB45" s="12"/>
    </row>
    <row r="46">
      <c r="A46" s="13" t="s">
        <v>13</v>
      </c>
      <c r="B46" s="14">
        <v>4.630040228506E12</v>
      </c>
      <c r="C46" s="99" t="s">
        <v>83</v>
      </c>
      <c r="D46" s="13" t="s">
        <v>84</v>
      </c>
      <c r="E46" s="37">
        <v>3000.0</v>
      </c>
      <c r="F46" s="38"/>
      <c r="G46" s="38"/>
      <c r="H46" s="37">
        <v>684.0</v>
      </c>
      <c r="I46" s="37">
        <v>2316.0</v>
      </c>
      <c r="J46" s="15">
        <f t="shared" si="2"/>
        <v>0</v>
      </c>
      <c r="K46" s="50">
        <v>40.0</v>
      </c>
      <c r="L46" s="100">
        <v>46440.0</v>
      </c>
      <c r="N46" s="18"/>
      <c r="O46" s="19"/>
      <c r="S46" s="12"/>
      <c r="W46" s="12"/>
      <c r="X46" s="12"/>
      <c r="Y46" s="12"/>
      <c r="Z46" s="12"/>
      <c r="AA46" s="12"/>
      <c r="AB46" s="12"/>
    </row>
    <row r="47">
      <c r="A47" s="13" t="s">
        <v>13</v>
      </c>
      <c r="B47" s="63">
        <v>4.630040228322E12</v>
      </c>
      <c r="C47" s="101" t="s">
        <v>85</v>
      </c>
      <c r="D47" s="65" t="s">
        <v>86</v>
      </c>
      <c r="E47" s="37">
        <v>27467.0</v>
      </c>
      <c r="F47" s="38"/>
      <c r="G47" s="38"/>
      <c r="H47" s="37">
        <v>8114.0</v>
      </c>
      <c r="I47" s="37">
        <v>18720.0</v>
      </c>
      <c r="J47" s="15">
        <f t="shared" si="2"/>
        <v>633</v>
      </c>
      <c r="K47" s="50" t="s">
        <v>87</v>
      </c>
      <c r="L47" s="38"/>
      <c r="N47" s="18"/>
      <c r="O47" s="19"/>
      <c r="S47" s="12"/>
      <c r="W47" s="12"/>
      <c r="X47" s="12"/>
      <c r="Y47" s="12"/>
      <c r="Z47" s="12"/>
      <c r="AA47" s="12"/>
      <c r="AB47" s="12"/>
    </row>
    <row r="48">
      <c r="A48" s="13" t="s">
        <v>13</v>
      </c>
      <c r="B48" s="14">
        <v>4.630040228513E12</v>
      </c>
      <c r="C48" s="37" t="s">
        <v>88</v>
      </c>
      <c r="D48" s="13" t="s">
        <v>89</v>
      </c>
      <c r="E48" s="37">
        <v>2500.0</v>
      </c>
      <c r="F48" s="38"/>
      <c r="G48" s="38"/>
      <c r="H48" s="37">
        <v>858.0</v>
      </c>
      <c r="I48" s="37">
        <v>1150.0</v>
      </c>
      <c r="J48" s="15">
        <f t="shared" si="2"/>
        <v>492</v>
      </c>
      <c r="K48" s="50">
        <v>40.0</v>
      </c>
      <c r="L48" s="38"/>
      <c r="N48" s="18"/>
      <c r="O48" s="19"/>
      <c r="S48" s="12"/>
      <c r="W48" s="12"/>
      <c r="X48" s="12"/>
      <c r="Y48" s="12"/>
      <c r="Z48" s="12"/>
      <c r="AA48" s="12"/>
      <c r="AB48" s="12"/>
    </row>
    <row r="49">
      <c r="A49" s="13" t="s">
        <v>13</v>
      </c>
      <c r="B49" s="2">
        <v>4.680201379691E12</v>
      </c>
      <c r="C49" s="51" t="s">
        <v>90</v>
      </c>
      <c r="D49" s="37" t="s">
        <v>90</v>
      </c>
      <c r="E49" s="37">
        <v>57276.0</v>
      </c>
      <c r="F49" s="38"/>
      <c r="G49" s="38"/>
      <c r="H49" s="37">
        <v>12659.0</v>
      </c>
      <c r="I49" s="37">
        <v>28562.0</v>
      </c>
      <c r="J49" s="15">
        <f t="shared" si="2"/>
        <v>16055</v>
      </c>
      <c r="K49" s="50" t="s">
        <v>91</v>
      </c>
      <c r="L49" s="38"/>
      <c r="N49" s="18"/>
      <c r="O49" s="19"/>
      <c r="S49" s="12"/>
      <c r="W49" s="12"/>
      <c r="X49" s="12"/>
      <c r="Y49" s="12"/>
      <c r="Z49" s="12"/>
      <c r="AA49" s="12"/>
      <c r="AB49" s="12"/>
    </row>
    <row r="50">
      <c r="A50" s="13" t="s">
        <v>13</v>
      </c>
      <c r="B50" s="50">
        <v>4.670020498475E12</v>
      </c>
      <c r="C50" s="86" t="s">
        <v>92</v>
      </c>
      <c r="D50" s="52" t="s">
        <v>92</v>
      </c>
      <c r="E50" s="37">
        <v>25567.0</v>
      </c>
      <c r="F50" s="38"/>
      <c r="G50" s="38"/>
      <c r="H50" s="37">
        <v>13949.0</v>
      </c>
      <c r="I50" s="37">
        <v>4948.0</v>
      </c>
      <c r="J50" s="15">
        <f t="shared" si="2"/>
        <v>6670</v>
      </c>
      <c r="K50" s="50" t="s">
        <v>93</v>
      </c>
      <c r="L50" s="38"/>
      <c r="N50" s="18"/>
      <c r="O50" s="19"/>
      <c r="S50" s="12"/>
      <c r="W50" s="12"/>
      <c r="X50" s="12"/>
      <c r="Y50" s="12"/>
      <c r="Z50" s="12"/>
      <c r="AA50" s="12"/>
      <c r="AB50" s="12"/>
    </row>
    <row r="51">
      <c r="A51" s="13" t="s">
        <v>13</v>
      </c>
      <c r="B51" s="50">
        <v>4.660417420103E12</v>
      </c>
      <c r="C51" s="38" t="s">
        <v>94</v>
      </c>
      <c r="D51" s="38" t="s">
        <v>94</v>
      </c>
      <c r="E51" s="37">
        <v>2280.0</v>
      </c>
      <c r="F51" s="38"/>
      <c r="G51" s="38"/>
      <c r="H51" s="37">
        <v>580.0</v>
      </c>
      <c r="I51" s="37">
        <v>1700.0</v>
      </c>
      <c r="J51" s="15">
        <f t="shared" si="2"/>
        <v>0</v>
      </c>
      <c r="K51" s="37">
        <v>42.0</v>
      </c>
      <c r="L51" s="38"/>
      <c r="N51" s="18"/>
      <c r="O51" s="19"/>
      <c r="S51" s="12"/>
      <c r="W51" s="12"/>
      <c r="X51" s="12"/>
      <c r="Y51" s="12"/>
      <c r="Z51" s="12"/>
      <c r="AA51" s="12"/>
      <c r="AB51" s="12"/>
    </row>
    <row r="52">
      <c r="A52" s="13" t="s">
        <v>13</v>
      </c>
      <c r="B52" s="50">
        <v>4.607025204626E12</v>
      </c>
      <c r="C52" s="86" t="s">
        <v>95</v>
      </c>
      <c r="D52" s="37" t="s">
        <v>95</v>
      </c>
      <c r="E52" s="37">
        <v>9864.0</v>
      </c>
      <c r="F52" s="38"/>
      <c r="G52" s="38"/>
      <c r="H52" s="37">
        <v>1376.0</v>
      </c>
      <c r="I52" s="37">
        <v>6454.0</v>
      </c>
      <c r="J52" s="15">
        <f t="shared" si="2"/>
        <v>2034</v>
      </c>
      <c r="K52" s="37">
        <v>42.0</v>
      </c>
      <c r="L52" s="38"/>
      <c r="N52" s="18"/>
      <c r="O52" s="19"/>
      <c r="S52" s="12"/>
      <c r="W52" s="12"/>
      <c r="X52" s="12"/>
      <c r="Y52" s="12"/>
      <c r="Z52" s="12"/>
      <c r="AA52" s="12"/>
      <c r="AB52" s="12"/>
    </row>
    <row r="53">
      <c r="A53" s="13" t="s">
        <v>13</v>
      </c>
      <c r="B53" s="50">
        <v>4.670020498468E12</v>
      </c>
      <c r="C53" s="86" t="s">
        <v>96</v>
      </c>
      <c r="D53" s="37" t="s">
        <v>96</v>
      </c>
      <c r="E53" s="37">
        <v>7981.0</v>
      </c>
      <c r="F53" s="38"/>
      <c r="G53" s="38"/>
      <c r="H53" s="37">
        <v>3604.0</v>
      </c>
      <c r="I53" s="37">
        <v>2576.0</v>
      </c>
      <c r="J53" s="15">
        <f t="shared" si="2"/>
        <v>1801</v>
      </c>
      <c r="K53" s="37">
        <v>50.0</v>
      </c>
      <c r="L53" s="38"/>
      <c r="N53" s="18"/>
      <c r="O53" s="19"/>
      <c r="S53" s="12"/>
      <c r="W53" s="12"/>
      <c r="X53" s="12"/>
      <c r="Y53" s="12"/>
      <c r="Z53" s="12"/>
      <c r="AA53" s="12"/>
      <c r="AB53" s="12"/>
    </row>
    <row r="54">
      <c r="A54" s="13" t="s">
        <v>13</v>
      </c>
      <c r="B54" s="50">
        <v>4.620153902592E12</v>
      </c>
      <c r="C54" s="51" t="s">
        <v>97</v>
      </c>
      <c r="D54" s="37" t="s">
        <v>97</v>
      </c>
      <c r="E54" s="37">
        <v>15506.0</v>
      </c>
      <c r="F54" s="38"/>
      <c r="G54" s="38"/>
      <c r="H54" s="37">
        <v>3499.0</v>
      </c>
      <c r="I54" s="37">
        <v>11820.0</v>
      </c>
      <c r="J54" s="15">
        <f t="shared" si="2"/>
        <v>187</v>
      </c>
      <c r="K54" s="37">
        <v>60.0</v>
      </c>
      <c r="L54" s="38"/>
      <c r="N54" s="18"/>
      <c r="O54" s="19"/>
      <c r="S54" s="12"/>
      <c r="W54" s="12"/>
      <c r="X54" s="12"/>
      <c r="Y54" s="12"/>
      <c r="Z54" s="12"/>
      <c r="AA54" s="12"/>
      <c r="AB54" s="12"/>
    </row>
    <row r="55">
      <c r="A55" s="13" t="s">
        <v>13</v>
      </c>
      <c r="B55" s="50">
        <v>4.620153906644E12</v>
      </c>
      <c r="C55" s="99" t="s">
        <v>98</v>
      </c>
      <c r="D55" s="37" t="s">
        <v>98</v>
      </c>
      <c r="E55" s="37">
        <v>3000.0</v>
      </c>
      <c r="F55" s="38"/>
      <c r="G55" s="38"/>
      <c r="H55" s="37">
        <v>1720.0</v>
      </c>
      <c r="I55" s="37">
        <v>1280.0</v>
      </c>
      <c r="J55" s="15">
        <f t="shared" si="2"/>
        <v>0</v>
      </c>
      <c r="K55" s="37">
        <v>40.0</v>
      </c>
      <c r="L55" s="38"/>
      <c r="N55" s="18"/>
      <c r="O55" s="19"/>
      <c r="S55" s="12"/>
      <c r="W55" s="12"/>
      <c r="X55" s="12"/>
      <c r="Y55" s="12"/>
      <c r="Z55" s="12"/>
      <c r="AA55" s="12"/>
      <c r="AB55" s="12"/>
    </row>
    <row r="56">
      <c r="A56" s="13" t="s">
        <v>13</v>
      </c>
      <c r="B56" s="21">
        <v>4.620153901908E12</v>
      </c>
      <c r="C56" s="102" t="s">
        <v>99</v>
      </c>
      <c r="D56" s="102" t="s">
        <v>99</v>
      </c>
      <c r="E56" s="37">
        <v>3000.0</v>
      </c>
      <c r="F56" s="38"/>
      <c r="G56" s="38"/>
      <c r="H56" s="37">
        <v>1730.0</v>
      </c>
      <c r="I56" s="37">
        <v>1110.0</v>
      </c>
      <c r="J56" s="15">
        <f t="shared" si="2"/>
        <v>160</v>
      </c>
      <c r="K56" s="37">
        <v>40.0</v>
      </c>
      <c r="L56" s="38"/>
      <c r="N56" s="18"/>
      <c r="O56" s="19"/>
      <c r="S56" s="12"/>
      <c r="W56" s="12"/>
      <c r="X56" s="12"/>
      <c r="Y56" s="12"/>
      <c r="Z56" s="12"/>
      <c r="AA56" s="12"/>
      <c r="AB56" s="12"/>
    </row>
    <row r="57">
      <c r="A57" s="13" t="s">
        <v>13</v>
      </c>
      <c r="B57" s="103">
        <v>4.640332830317E12</v>
      </c>
      <c r="C57" s="104" t="s">
        <v>100</v>
      </c>
      <c r="D57" s="104" t="s">
        <v>100</v>
      </c>
      <c r="E57" s="37">
        <v>5000.0</v>
      </c>
      <c r="F57" s="38"/>
      <c r="G57" s="38"/>
      <c r="H57" s="37">
        <v>1843.0</v>
      </c>
      <c r="I57" s="37">
        <v>1640.0</v>
      </c>
      <c r="J57" s="15">
        <f t="shared" si="2"/>
        <v>1517</v>
      </c>
      <c r="K57" s="37">
        <v>20.0</v>
      </c>
      <c r="L57" s="38"/>
      <c r="N57" s="18"/>
      <c r="O57" s="19"/>
      <c r="S57" s="12"/>
      <c r="W57" s="12"/>
      <c r="X57" s="12"/>
      <c r="Y57" s="12"/>
      <c r="Z57" s="12"/>
      <c r="AA57" s="12"/>
      <c r="AB57" s="12"/>
    </row>
    <row r="58">
      <c r="A58" s="13" t="s">
        <v>13</v>
      </c>
      <c r="B58" s="103">
        <v>4.6403328303E12</v>
      </c>
      <c r="C58" s="104" t="s">
        <v>101</v>
      </c>
      <c r="D58" s="104" t="s">
        <v>101</v>
      </c>
      <c r="E58" s="37">
        <v>7060.0</v>
      </c>
      <c r="F58" s="38"/>
      <c r="G58" s="38"/>
      <c r="H58" s="37">
        <v>943.0</v>
      </c>
      <c r="I58" s="37">
        <v>1370.0</v>
      </c>
      <c r="J58" s="15">
        <f t="shared" si="2"/>
        <v>4747</v>
      </c>
      <c r="K58" s="37">
        <v>20.0</v>
      </c>
      <c r="L58" s="38"/>
      <c r="N58" s="18"/>
      <c r="O58" s="19"/>
      <c r="S58" s="12"/>
      <c r="W58" s="12"/>
      <c r="X58" s="12"/>
      <c r="Y58" s="12"/>
      <c r="Z58" s="12"/>
      <c r="AA58" s="12"/>
      <c r="AB58" s="12"/>
    </row>
    <row r="59">
      <c r="A59" s="13" t="s">
        <v>13</v>
      </c>
      <c r="B59" s="50">
        <v>4.603320465434E12</v>
      </c>
      <c r="C59" s="51" t="s">
        <v>102</v>
      </c>
      <c r="D59" s="37" t="s">
        <v>102</v>
      </c>
      <c r="E59" s="37">
        <v>18784.0</v>
      </c>
      <c r="F59" s="38"/>
      <c r="G59" s="38"/>
      <c r="H59" s="37">
        <v>12277.0</v>
      </c>
      <c r="I59" s="37">
        <v>5904.0</v>
      </c>
      <c r="J59" s="15">
        <f t="shared" si="2"/>
        <v>603</v>
      </c>
      <c r="K59" s="50" t="s">
        <v>103</v>
      </c>
      <c r="L59" s="38"/>
      <c r="N59" s="18"/>
      <c r="O59" s="19"/>
      <c r="S59" s="12"/>
      <c r="W59" s="12"/>
      <c r="X59" s="12"/>
      <c r="Y59" s="12"/>
      <c r="Z59" s="12"/>
      <c r="AA59" s="12"/>
      <c r="AB59" s="12"/>
    </row>
    <row r="60">
      <c r="A60" s="13" t="s">
        <v>13</v>
      </c>
      <c r="B60" s="105">
        <v>4.630205140179E12</v>
      </c>
      <c r="C60" s="102" t="s">
        <v>104</v>
      </c>
      <c r="D60" s="102" t="s">
        <v>105</v>
      </c>
      <c r="E60" s="37">
        <v>1005.0</v>
      </c>
      <c r="F60" s="38"/>
      <c r="G60" s="38"/>
      <c r="H60" s="37">
        <v>303.0</v>
      </c>
      <c r="I60" s="37">
        <v>148.0</v>
      </c>
      <c r="J60" s="15">
        <f t="shared" si="2"/>
        <v>554</v>
      </c>
      <c r="K60" s="37">
        <v>12.0</v>
      </c>
      <c r="L60" s="38"/>
      <c r="N60" s="18"/>
      <c r="O60" s="19"/>
      <c r="S60" s="12"/>
      <c r="W60" s="12"/>
      <c r="X60" s="12"/>
      <c r="Y60" s="12"/>
      <c r="Z60" s="12"/>
      <c r="AA60" s="12"/>
      <c r="AB60" s="12"/>
    </row>
    <row r="61">
      <c r="A61" s="13" t="s">
        <v>13</v>
      </c>
      <c r="B61" s="105">
        <v>4.630205140322E12</v>
      </c>
      <c r="C61" s="106" t="s">
        <v>106</v>
      </c>
      <c r="D61" s="102" t="s">
        <v>107</v>
      </c>
      <c r="E61" s="37">
        <v>501.0</v>
      </c>
      <c r="F61" s="38"/>
      <c r="G61" s="38"/>
      <c r="H61" s="37">
        <v>338.0</v>
      </c>
      <c r="I61" s="37">
        <v>148.0</v>
      </c>
      <c r="J61" s="15">
        <f t="shared" si="2"/>
        <v>15</v>
      </c>
      <c r="K61" s="37">
        <v>12.0</v>
      </c>
      <c r="L61" s="38"/>
      <c r="N61" s="18"/>
      <c r="O61" s="19"/>
      <c r="S61" s="12"/>
      <c r="W61" s="12"/>
      <c r="X61" s="12"/>
      <c r="Y61" s="12"/>
      <c r="Z61" s="12"/>
      <c r="AA61" s="12"/>
      <c r="AB61" s="12"/>
    </row>
    <row r="62">
      <c r="A62" s="13" t="s">
        <v>13</v>
      </c>
      <c r="B62" s="105">
        <v>4.630205140308E12</v>
      </c>
      <c r="C62" s="102" t="s">
        <v>108</v>
      </c>
      <c r="D62" s="102" t="s">
        <v>109</v>
      </c>
      <c r="E62" s="37">
        <v>501.0</v>
      </c>
      <c r="F62" s="38"/>
      <c r="G62" s="38"/>
      <c r="H62" s="37">
        <v>282.0</v>
      </c>
      <c r="I62" s="37">
        <v>96.0</v>
      </c>
      <c r="J62" s="15">
        <f t="shared" si="2"/>
        <v>123</v>
      </c>
      <c r="K62" s="37">
        <v>12.0</v>
      </c>
      <c r="L62" s="38"/>
      <c r="N62" s="18"/>
      <c r="O62" s="19"/>
      <c r="S62" s="12"/>
      <c r="W62" s="12"/>
      <c r="X62" s="12"/>
      <c r="Y62" s="12"/>
      <c r="Z62" s="12"/>
      <c r="AA62" s="12"/>
      <c r="AB62" s="12"/>
    </row>
    <row r="63">
      <c r="A63" s="13" t="s">
        <v>13</v>
      </c>
      <c r="B63" s="63">
        <v>4.630205149011E12</v>
      </c>
      <c r="C63" s="107" t="s">
        <v>110</v>
      </c>
      <c r="D63" s="65" t="s">
        <v>110</v>
      </c>
      <c r="E63" s="37">
        <v>3000.0</v>
      </c>
      <c r="F63" s="38"/>
      <c r="G63" s="37" t="s">
        <v>111</v>
      </c>
      <c r="H63" s="37">
        <v>738.0</v>
      </c>
      <c r="I63" s="37">
        <v>1920.0</v>
      </c>
      <c r="J63" s="15">
        <f t="shared" si="2"/>
        <v>342</v>
      </c>
      <c r="K63" s="37">
        <v>100.0</v>
      </c>
      <c r="L63" s="38"/>
      <c r="N63" s="18"/>
      <c r="O63" s="19"/>
      <c r="S63" s="12"/>
      <c r="W63" s="12"/>
      <c r="X63" s="12"/>
      <c r="Y63" s="12"/>
      <c r="Z63" s="12"/>
      <c r="AA63" s="12"/>
      <c r="AB63" s="12"/>
    </row>
    <row r="64">
      <c r="A64" s="13" t="s">
        <v>13</v>
      </c>
      <c r="B64" s="50">
        <v>4.670020498727E12</v>
      </c>
      <c r="C64" s="86" t="s">
        <v>112</v>
      </c>
      <c r="D64" s="37" t="s">
        <v>112</v>
      </c>
      <c r="E64" s="37">
        <v>9903.0</v>
      </c>
      <c r="F64" s="38"/>
      <c r="G64" s="38"/>
      <c r="H64" s="37">
        <v>3506.0</v>
      </c>
      <c r="I64" s="37">
        <v>2369.0</v>
      </c>
      <c r="J64" s="15">
        <f t="shared" si="2"/>
        <v>4028</v>
      </c>
      <c r="K64" s="50" t="s">
        <v>31</v>
      </c>
      <c r="L64" s="38"/>
      <c r="N64" s="18"/>
      <c r="O64" s="19"/>
      <c r="S64" s="12"/>
      <c r="W64" s="12"/>
      <c r="X64" s="12"/>
      <c r="Y64" s="12"/>
      <c r="Z64" s="12"/>
      <c r="AA64" s="12"/>
      <c r="AB64" s="12"/>
    </row>
    <row r="65">
      <c r="A65" s="13" t="s">
        <v>13</v>
      </c>
      <c r="B65" s="50">
        <v>4.670020499243E12</v>
      </c>
      <c r="C65" s="37" t="s">
        <v>113</v>
      </c>
      <c r="D65" s="37" t="s">
        <v>113</v>
      </c>
      <c r="E65" s="37">
        <v>4909.0</v>
      </c>
      <c r="F65" s="38"/>
      <c r="G65" s="38"/>
      <c r="H65" s="37">
        <v>2504.0</v>
      </c>
      <c r="I65" s="37">
        <v>2096.0</v>
      </c>
      <c r="J65" s="15">
        <f t="shared" si="2"/>
        <v>309</v>
      </c>
      <c r="K65" s="70" t="s">
        <v>114</v>
      </c>
      <c r="L65" s="38"/>
      <c r="N65" s="18"/>
      <c r="O65" s="19"/>
      <c r="S65" s="12"/>
      <c r="W65" s="11"/>
      <c r="X65" s="12"/>
      <c r="Y65" s="12"/>
      <c r="Z65" s="12"/>
      <c r="AA65" s="12"/>
      <c r="AB65" s="12"/>
    </row>
    <row r="66">
      <c r="A66" s="13" t="s">
        <v>13</v>
      </c>
      <c r="B66" s="50">
        <v>4.66041742152E12</v>
      </c>
      <c r="C66" s="37" t="s">
        <v>115</v>
      </c>
      <c r="D66" s="37" t="s">
        <v>115</v>
      </c>
      <c r="E66" s="37">
        <v>82560.0</v>
      </c>
      <c r="F66" s="38"/>
      <c r="G66" s="38"/>
      <c r="H66" s="37">
        <v>35863.0</v>
      </c>
      <c r="I66" s="37">
        <v>23452.0</v>
      </c>
      <c r="J66" s="15">
        <f t="shared" si="2"/>
        <v>23245</v>
      </c>
      <c r="K66" s="37">
        <v>144.0</v>
      </c>
      <c r="L66" s="38"/>
      <c r="N66" s="18"/>
      <c r="O66" s="19"/>
      <c r="S66" s="12"/>
      <c r="W66" s="11"/>
      <c r="X66" s="11"/>
      <c r="Y66" s="12"/>
      <c r="Z66" s="12"/>
      <c r="AA66" s="12"/>
      <c r="AB66" s="12"/>
    </row>
    <row r="67">
      <c r="A67" s="13" t="s">
        <v>13</v>
      </c>
      <c r="B67" s="50">
        <v>4.630205142852E12</v>
      </c>
      <c r="C67" s="51" t="s">
        <v>116</v>
      </c>
      <c r="D67" s="52" t="s">
        <v>116</v>
      </c>
      <c r="E67" s="37">
        <v>35013.0</v>
      </c>
      <c r="F67" s="38"/>
      <c r="G67" s="38"/>
      <c r="H67" s="37">
        <v>5854.0</v>
      </c>
      <c r="I67" s="37">
        <v>25840.0</v>
      </c>
      <c r="J67" s="15">
        <f t="shared" si="2"/>
        <v>3319</v>
      </c>
      <c r="K67" s="37">
        <v>10.0</v>
      </c>
      <c r="L67" s="38"/>
      <c r="N67" s="18"/>
      <c r="O67" s="19"/>
      <c r="S67" s="12"/>
      <c r="W67" s="12"/>
      <c r="X67" s="12"/>
      <c r="Y67" s="12"/>
      <c r="Z67" s="12"/>
      <c r="AA67" s="12"/>
      <c r="AB67" s="12"/>
    </row>
    <row r="68">
      <c r="A68" s="13" t="s">
        <v>13</v>
      </c>
      <c r="B68" s="2">
        <v>4.657796830517E12</v>
      </c>
      <c r="C68" s="51" t="s">
        <v>117</v>
      </c>
      <c r="D68" s="37" t="s">
        <v>117</v>
      </c>
      <c r="E68" s="37">
        <v>2998.0</v>
      </c>
      <c r="F68" s="38"/>
      <c r="G68" s="37" t="s">
        <v>118</v>
      </c>
      <c r="H68" s="37">
        <v>885.0</v>
      </c>
      <c r="I68" s="37">
        <v>1800.0</v>
      </c>
      <c r="J68" s="15">
        <f t="shared" si="2"/>
        <v>313</v>
      </c>
      <c r="K68" s="37">
        <v>100.0</v>
      </c>
      <c r="L68" s="38"/>
      <c r="N68" s="18"/>
      <c r="O68" s="19"/>
      <c r="S68" s="12"/>
      <c r="W68" s="12"/>
      <c r="X68" s="12"/>
      <c r="Y68" s="12"/>
      <c r="Z68" s="12"/>
      <c r="AA68" s="12"/>
      <c r="AB68" s="12"/>
    </row>
    <row r="69">
      <c r="A69" s="13" t="s">
        <v>13</v>
      </c>
      <c r="B69" s="50">
        <v>4.627102679765E12</v>
      </c>
      <c r="C69" s="86" t="s">
        <v>119</v>
      </c>
      <c r="D69" s="37" t="s">
        <v>119</v>
      </c>
      <c r="E69" s="37">
        <v>6043.0</v>
      </c>
      <c r="F69" s="38"/>
      <c r="G69" s="38"/>
      <c r="H69" s="37">
        <v>3153.0</v>
      </c>
      <c r="I69" s="37">
        <v>1396.0</v>
      </c>
      <c r="J69" s="15">
        <f t="shared" si="2"/>
        <v>1494</v>
      </c>
      <c r="K69" s="37">
        <v>48.0</v>
      </c>
      <c r="L69" s="38"/>
      <c r="N69" s="18"/>
      <c r="O69" s="19"/>
      <c r="S69" s="12"/>
      <c r="W69" s="12"/>
      <c r="X69" s="12"/>
      <c r="Y69" s="12"/>
      <c r="Z69" s="12"/>
      <c r="AA69" s="12"/>
      <c r="AB69" s="12"/>
    </row>
    <row r="70">
      <c r="A70" s="4" t="s">
        <v>13</v>
      </c>
      <c r="B70" s="50">
        <v>4.670020499809E12</v>
      </c>
      <c r="C70" s="51" t="s">
        <v>120</v>
      </c>
      <c r="D70" s="37" t="s">
        <v>120</v>
      </c>
      <c r="E70" s="37">
        <v>4050.0</v>
      </c>
      <c r="F70" s="38"/>
      <c r="G70" s="38"/>
      <c r="H70" s="37">
        <v>940.0</v>
      </c>
      <c r="I70" s="37">
        <v>2200.0</v>
      </c>
      <c r="J70" s="15">
        <f t="shared" si="2"/>
        <v>910</v>
      </c>
      <c r="K70" s="2" t="s">
        <v>121</v>
      </c>
      <c r="L70" s="38"/>
      <c r="N70" s="18"/>
      <c r="O70" s="19"/>
      <c r="S70" s="12"/>
      <c r="W70" s="12"/>
      <c r="X70" s="12"/>
      <c r="Y70" s="12"/>
      <c r="Z70" s="12"/>
      <c r="AA70" s="12"/>
      <c r="AB70" s="12"/>
    </row>
    <row r="71">
      <c r="A71" s="4" t="s">
        <v>13</v>
      </c>
      <c r="B71" s="2">
        <v>4.660417421773E12</v>
      </c>
      <c r="C71" s="37" t="s">
        <v>122</v>
      </c>
      <c r="D71" s="37" t="s">
        <v>122</v>
      </c>
      <c r="E71" s="37">
        <v>10040.0</v>
      </c>
      <c r="F71" s="38"/>
      <c r="G71" s="38"/>
      <c r="H71" s="37">
        <v>3562.0</v>
      </c>
      <c r="I71" s="37">
        <v>2736.0</v>
      </c>
      <c r="J71" s="15">
        <f t="shared" si="2"/>
        <v>3742</v>
      </c>
      <c r="K71" s="37">
        <v>144.0</v>
      </c>
      <c r="L71" s="38"/>
      <c r="N71" s="18"/>
      <c r="O71" s="19"/>
      <c r="S71" s="12"/>
      <c r="W71" s="12"/>
      <c r="X71" s="12"/>
      <c r="Y71" s="12"/>
      <c r="Z71" s="12"/>
      <c r="AA71" s="12"/>
      <c r="AB71" s="12"/>
    </row>
    <row r="72">
      <c r="A72" s="13" t="s">
        <v>13</v>
      </c>
      <c r="B72" s="103">
        <v>4.66041742178E12</v>
      </c>
      <c r="C72" s="104" t="s">
        <v>123</v>
      </c>
      <c r="D72" s="104" t="s">
        <v>123</v>
      </c>
      <c r="E72" s="37">
        <v>21560.0</v>
      </c>
      <c r="F72" s="38"/>
      <c r="G72" s="38"/>
      <c r="H72" s="37">
        <v>4787.0</v>
      </c>
      <c r="I72" s="37">
        <v>7776.0</v>
      </c>
      <c r="J72" s="15">
        <f t="shared" si="2"/>
        <v>8997</v>
      </c>
      <c r="K72" s="37">
        <v>144.0</v>
      </c>
      <c r="L72" s="38"/>
      <c r="N72" s="18"/>
      <c r="O72" s="19"/>
      <c r="S72" s="12"/>
      <c r="W72" s="12"/>
      <c r="X72" s="12"/>
      <c r="Y72" s="12"/>
      <c r="Z72" s="12"/>
      <c r="AA72" s="12"/>
      <c r="AB72" s="12"/>
    </row>
    <row r="73">
      <c r="A73" s="13" t="s">
        <v>13</v>
      </c>
      <c r="B73" s="103">
        <v>4.660417421742E12</v>
      </c>
      <c r="C73" s="104" t="s">
        <v>124</v>
      </c>
      <c r="D73" s="104" t="s">
        <v>124</v>
      </c>
      <c r="E73" s="37">
        <v>30630.0</v>
      </c>
      <c r="F73" s="38"/>
      <c r="G73" s="38"/>
      <c r="H73" s="37">
        <v>7203.0</v>
      </c>
      <c r="I73" s="37">
        <v>9216.0</v>
      </c>
      <c r="J73" s="15">
        <f t="shared" si="2"/>
        <v>14211</v>
      </c>
      <c r="K73" s="37">
        <v>144.0</v>
      </c>
      <c r="L73" s="38"/>
      <c r="N73" s="18"/>
      <c r="O73" s="19"/>
      <c r="S73" s="12"/>
      <c r="W73" s="12"/>
      <c r="X73" s="12"/>
      <c r="Y73" s="12"/>
      <c r="Z73" s="12"/>
      <c r="AA73" s="12"/>
      <c r="AB73" s="12"/>
    </row>
    <row r="74">
      <c r="A74" s="13" t="s">
        <v>13</v>
      </c>
      <c r="B74" s="37">
        <v>4.650099659434E12</v>
      </c>
      <c r="C74" s="37" t="s">
        <v>125</v>
      </c>
      <c r="D74" s="37" t="s">
        <v>125</v>
      </c>
      <c r="E74" s="37">
        <v>10080.0</v>
      </c>
      <c r="F74" s="38"/>
      <c r="G74" s="38"/>
      <c r="H74" s="37">
        <v>1584.0</v>
      </c>
      <c r="I74" s="37">
        <v>1296.0</v>
      </c>
      <c r="J74" s="15">
        <f t="shared" si="2"/>
        <v>7200</v>
      </c>
      <c r="K74" s="50" t="s">
        <v>126</v>
      </c>
      <c r="L74" s="38"/>
      <c r="N74" s="18"/>
      <c r="O74" s="19"/>
      <c r="S74" s="12"/>
      <c r="W74" s="12"/>
      <c r="X74" s="12"/>
      <c r="Y74" s="12"/>
      <c r="Z74" s="12"/>
      <c r="AA74" s="12"/>
      <c r="AB74" s="12"/>
    </row>
    <row r="75">
      <c r="A75" s="13" t="s">
        <v>13</v>
      </c>
      <c r="B75" s="37">
        <v>4.640523970068E12</v>
      </c>
      <c r="C75" s="37" t="s">
        <v>127</v>
      </c>
      <c r="D75" s="37" t="s">
        <v>127</v>
      </c>
      <c r="E75" s="37">
        <v>3565.0</v>
      </c>
      <c r="F75" s="38"/>
      <c r="G75" s="38"/>
      <c r="H75" s="37">
        <v>756.0</v>
      </c>
      <c r="I75" s="38"/>
      <c r="J75" s="15">
        <f t="shared" si="2"/>
        <v>2809</v>
      </c>
      <c r="K75" s="37">
        <v>144.0</v>
      </c>
      <c r="L75" s="38"/>
      <c r="N75" s="18"/>
      <c r="O75" s="19"/>
      <c r="S75" s="12"/>
      <c r="W75" s="12"/>
      <c r="X75" s="12"/>
      <c r="Y75" s="12"/>
      <c r="Z75" s="12"/>
      <c r="AA75" s="12"/>
      <c r="AB75" s="12"/>
    </row>
    <row r="76">
      <c r="A76" s="13" t="s">
        <v>13</v>
      </c>
      <c r="B76" s="37">
        <v>4.610030695679E12</v>
      </c>
      <c r="C76" s="37" t="s">
        <v>128</v>
      </c>
      <c r="D76" s="37" t="s">
        <v>128</v>
      </c>
      <c r="E76" s="37">
        <v>5005.0</v>
      </c>
      <c r="F76" s="38"/>
      <c r="G76" s="38"/>
      <c r="H76" s="37">
        <v>672.0</v>
      </c>
      <c r="I76" s="37">
        <v>1120.0</v>
      </c>
      <c r="J76" s="15">
        <f t="shared" si="2"/>
        <v>3213</v>
      </c>
      <c r="K76" s="37">
        <v>56.0</v>
      </c>
      <c r="L76" s="38"/>
      <c r="N76" s="18"/>
      <c r="O76" s="19"/>
      <c r="S76" s="12"/>
      <c r="W76" s="12"/>
      <c r="X76" s="12"/>
      <c r="Y76" s="12"/>
      <c r="Z76" s="12"/>
      <c r="AA76" s="12"/>
      <c r="AB76" s="12"/>
    </row>
    <row r="77">
      <c r="A77" s="13" t="s">
        <v>13</v>
      </c>
      <c r="B77" s="108">
        <v>4.670207150202E12</v>
      </c>
      <c r="C77" s="99" t="s">
        <v>129</v>
      </c>
      <c r="D77" s="37" t="s">
        <v>129</v>
      </c>
      <c r="E77" s="37">
        <v>11564.0</v>
      </c>
      <c r="F77" s="38"/>
      <c r="G77" s="38"/>
      <c r="H77" s="37">
        <v>3620.0</v>
      </c>
      <c r="I77" s="37">
        <v>7928.0</v>
      </c>
      <c r="J77" s="15">
        <f t="shared" si="2"/>
        <v>16</v>
      </c>
      <c r="K77" s="50" t="s">
        <v>130</v>
      </c>
      <c r="L77" s="100">
        <v>46291.0</v>
      </c>
      <c r="N77" s="18"/>
      <c r="O77" s="19"/>
      <c r="S77" s="12"/>
      <c r="W77" s="12"/>
      <c r="X77" s="12"/>
      <c r="Y77" s="12"/>
      <c r="Z77" s="12"/>
      <c r="AA77" s="12"/>
      <c r="AB77" s="12"/>
    </row>
    <row r="78">
      <c r="A78" s="13" t="s">
        <v>13</v>
      </c>
      <c r="B78" s="2">
        <v>4.620290621325E12</v>
      </c>
      <c r="C78" s="109" t="s">
        <v>131</v>
      </c>
      <c r="D78" s="110" t="s">
        <v>131</v>
      </c>
      <c r="E78" s="37">
        <v>113245.0</v>
      </c>
      <c r="F78" s="38"/>
      <c r="G78" s="38"/>
      <c r="H78" s="37">
        <v>29892.0</v>
      </c>
      <c r="I78" s="37">
        <v>78576.0</v>
      </c>
      <c r="J78" s="15">
        <f t="shared" si="2"/>
        <v>4777</v>
      </c>
      <c r="K78" s="37">
        <v>144.0</v>
      </c>
      <c r="L78" s="38"/>
      <c r="N78" s="18"/>
      <c r="O78" s="19"/>
      <c r="S78" s="12"/>
      <c r="W78" s="12"/>
      <c r="X78" s="12"/>
      <c r="Y78" s="12"/>
      <c r="Z78" s="12"/>
      <c r="AA78" s="12"/>
      <c r="AB78" s="12"/>
    </row>
    <row r="79">
      <c r="A79" s="13" t="s">
        <v>13</v>
      </c>
      <c r="B79" s="50">
        <v>4.620290621547E12</v>
      </c>
      <c r="C79" s="111" t="s">
        <v>132</v>
      </c>
      <c r="D79" s="37" t="s">
        <v>132</v>
      </c>
      <c r="E79" s="37">
        <v>5040.0</v>
      </c>
      <c r="F79" s="38"/>
      <c r="G79" s="38"/>
      <c r="H79" s="37">
        <v>1263.0</v>
      </c>
      <c r="I79" s="37">
        <v>2790.0</v>
      </c>
      <c r="J79" s="15">
        <f t="shared" si="2"/>
        <v>987</v>
      </c>
      <c r="K79" s="37">
        <v>90.0</v>
      </c>
      <c r="L79" s="38"/>
      <c r="N79" s="18"/>
      <c r="O79" s="19"/>
      <c r="S79" s="12"/>
      <c r="W79" s="12"/>
      <c r="X79" s="12"/>
      <c r="Y79" s="12"/>
      <c r="Z79" s="12"/>
      <c r="AA79" s="12"/>
      <c r="AB79" s="12"/>
    </row>
    <row r="80">
      <c r="A80" s="13" t="s">
        <v>13</v>
      </c>
      <c r="B80" s="2">
        <v>4.620290621356E12</v>
      </c>
      <c r="C80" s="112" t="s">
        <v>133</v>
      </c>
      <c r="D80" s="37" t="s">
        <v>133</v>
      </c>
      <c r="E80" s="37">
        <v>14766.0</v>
      </c>
      <c r="F80" s="38"/>
      <c r="G80" s="38"/>
      <c r="H80" s="37">
        <v>2942.0</v>
      </c>
      <c r="I80" s="37">
        <v>4790.0</v>
      </c>
      <c r="J80" s="15">
        <f t="shared" si="2"/>
        <v>7034</v>
      </c>
      <c r="K80" s="50">
        <v>90.0</v>
      </c>
      <c r="L80" s="38"/>
      <c r="N80" s="18"/>
      <c r="O80" s="19"/>
      <c r="S80" s="12"/>
      <c r="W80" s="12"/>
      <c r="X80" s="12"/>
      <c r="Y80" s="12"/>
      <c r="Z80" s="12"/>
      <c r="AA80" s="12"/>
      <c r="AB80" s="12"/>
    </row>
    <row r="81">
      <c r="A81" s="13" t="s">
        <v>13</v>
      </c>
      <c r="B81" s="113">
        <v>4.620290621011E12</v>
      </c>
      <c r="C81" s="112" t="s">
        <v>134</v>
      </c>
      <c r="D81" s="37" t="s">
        <v>134</v>
      </c>
      <c r="E81" s="37">
        <v>112675.0</v>
      </c>
      <c r="F81" s="38"/>
      <c r="G81" s="37"/>
      <c r="H81" s="37">
        <v>31796.0</v>
      </c>
      <c r="I81" s="37">
        <v>62760.0</v>
      </c>
      <c r="J81" s="15">
        <f t="shared" si="2"/>
        <v>18119</v>
      </c>
      <c r="K81" s="50" t="s">
        <v>135</v>
      </c>
      <c r="L81" s="38"/>
      <c r="N81" s="18"/>
      <c r="O81" s="19"/>
      <c r="S81" s="12"/>
      <c r="W81" s="12"/>
      <c r="X81" s="12"/>
      <c r="Y81" s="12"/>
      <c r="Z81" s="12"/>
      <c r="AA81" s="12"/>
      <c r="AB81" s="12"/>
    </row>
    <row r="82">
      <c r="A82" s="13" t="s">
        <v>13</v>
      </c>
      <c r="B82" s="32">
        <v>4.60707717678E12</v>
      </c>
      <c r="C82" s="114" t="s">
        <v>136</v>
      </c>
      <c r="D82" s="42" t="s">
        <v>136</v>
      </c>
      <c r="E82" s="4">
        <v>7341.0</v>
      </c>
      <c r="F82" s="4">
        <v>53.0</v>
      </c>
      <c r="G82" s="4" t="s">
        <v>137</v>
      </c>
      <c r="H82" s="4">
        <v>2900.0</v>
      </c>
      <c r="I82" s="4">
        <v>3057.0</v>
      </c>
      <c r="J82" s="15">
        <f t="shared" ref="J82:J94" si="3">E82-F82-H82-I82</f>
        <v>1331</v>
      </c>
      <c r="K82" s="2" t="s">
        <v>138</v>
      </c>
      <c r="L82" s="95"/>
      <c r="N82" s="18"/>
      <c r="O82" s="19"/>
      <c r="S82" s="12"/>
      <c r="W82" s="12"/>
      <c r="X82" s="12"/>
      <c r="Y82" s="12"/>
      <c r="Z82" s="12"/>
      <c r="AA82" s="12"/>
      <c r="AB82" s="12"/>
    </row>
    <row r="83">
      <c r="A83" s="13" t="s">
        <v>13</v>
      </c>
      <c r="B83" s="32">
        <v>4.607077176773E12</v>
      </c>
      <c r="C83" s="114" t="s">
        <v>139</v>
      </c>
      <c r="D83" s="42" t="s">
        <v>139</v>
      </c>
      <c r="E83" s="4">
        <v>7156.0</v>
      </c>
      <c r="F83" s="4">
        <v>37.0</v>
      </c>
      <c r="G83" s="4" t="s">
        <v>140</v>
      </c>
      <c r="H83" s="4">
        <v>2086.0</v>
      </c>
      <c r="I83" s="4">
        <v>3940.0</v>
      </c>
      <c r="J83" s="15">
        <f t="shared" si="3"/>
        <v>1093</v>
      </c>
      <c r="K83" s="2" t="s">
        <v>138</v>
      </c>
      <c r="L83" s="40"/>
      <c r="N83" s="18"/>
      <c r="O83" s="19"/>
      <c r="S83" s="12"/>
      <c r="W83" s="12"/>
      <c r="X83" s="12"/>
      <c r="Y83" s="12"/>
      <c r="Z83" s="12"/>
      <c r="AA83" s="12"/>
      <c r="AB83" s="12"/>
    </row>
    <row r="84">
      <c r="A84" s="13" t="s">
        <v>13</v>
      </c>
      <c r="B84" s="105">
        <v>4.607077176636E12</v>
      </c>
      <c r="C84" s="115" t="s">
        <v>141</v>
      </c>
      <c r="D84" s="3" t="s">
        <v>141</v>
      </c>
      <c r="E84" s="37">
        <v>4161.0</v>
      </c>
      <c r="F84" s="38"/>
      <c r="G84" s="38"/>
      <c r="H84" s="37">
        <v>1030.0</v>
      </c>
      <c r="I84" s="37">
        <v>2036.0</v>
      </c>
      <c r="J84" s="15">
        <f t="shared" si="3"/>
        <v>1095</v>
      </c>
      <c r="K84" s="50">
        <v>10.0</v>
      </c>
      <c r="L84" s="38"/>
      <c r="N84" s="18"/>
      <c r="O84" s="19"/>
      <c r="S84" s="12"/>
      <c r="W84" s="12"/>
      <c r="X84" s="12"/>
      <c r="Y84" s="12"/>
      <c r="Z84" s="12"/>
      <c r="AA84" s="12"/>
      <c r="AB84" s="12"/>
    </row>
    <row r="85">
      <c r="A85" s="13" t="s">
        <v>13</v>
      </c>
      <c r="B85" s="105">
        <v>4.607077176643E12</v>
      </c>
      <c r="C85" s="115" t="s">
        <v>142</v>
      </c>
      <c r="D85" s="3" t="s">
        <v>142</v>
      </c>
      <c r="E85" s="37">
        <v>3764.0</v>
      </c>
      <c r="F85" s="38"/>
      <c r="G85" s="38"/>
      <c r="H85" s="37">
        <v>1160.0</v>
      </c>
      <c r="I85" s="37">
        <v>1504.0</v>
      </c>
      <c r="J85" s="15">
        <f t="shared" si="3"/>
        <v>1100</v>
      </c>
      <c r="K85" s="50">
        <v>10.0</v>
      </c>
      <c r="L85" s="38"/>
      <c r="N85" s="18"/>
      <c r="O85" s="19"/>
      <c r="S85" s="12"/>
      <c r="W85" s="11"/>
      <c r="X85" s="11"/>
      <c r="Y85" s="12"/>
      <c r="Z85" s="12"/>
      <c r="AA85" s="12"/>
      <c r="AB85" s="12"/>
    </row>
    <row r="86">
      <c r="A86" s="101" t="s">
        <v>13</v>
      </c>
      <c r="B86" s="29">
        <v>4.605543013096E12</v>
      </c>
      <c r="C86" s="116" t="s">
        <v>143</v>
      </c>
      <c r="D86" s="30" t="s">
        <v>143</v>
      </c>
      <c r="E86" s="93">
        <v>3080.0</v>
      </c>
      <c r="F86" s="117"/>
      <c r="G86" s="117"/>
      <c r="H86" s="93">
        <v>1540.0</v>
      </c>
      <c r="I86" s="93">
        <v>1540.0</v>
      </c>
      <c r="J86" s="118">
        <f t="shared" si="3"/>
        <v>0</v>
      </c>
      <c r="K86" s="70">
        <v>20.0</v>
      </c>
      <c r="L86" s="70"/>
      <c r="N86" s="18"/>
      <c r="O86" s="19"/>
      <c r="S86" s="12"/>
      <c r="W86" s="11"/>
      <c r="X86" s="11"/>
      <c r="Y86" s="12"/>
      <c r="Z86" s="12"/>
      <c r="AA86" s="12"/>
      <c r="AB86" s="12"/>
    </row>
    <row r="87">
      <c r="A87" s="101" t="s">
        <v>13</v>
      </c>
      <c r="B87" s="50">
        <v>4.646536748595E12</v>
      </c>
      <c r="C87" s="111" t="s">
        <v>144</v>
      </c>
      <c r="D87" s="37" t="s">
        <v>144</v>
      </c>
      <c r="E87" s="37">
        <v>31940.0</v>
      </c>
      <c r="F87" s="38"/>
      <c r="G87" s="37" t="s">
        <v>145</v>
      </c>
      <c r="H87" s="37">
        <v>5489.0</v>
      </c>
      <c r="I87" s="37">
        <v>16620.0</v>
      </c>
      <c r="J87" s="118">
        <f t="shared" si="3"/>
        <v>9831</v>
      </c>
      <c r="K87" s="70" t="s">
        <v>146</v>
      </c>
      <c r="L87" s="38"/>
      <c r="N87" s="18"/>
      <c r="O87" s="19"/>
      <c r="S87" s="12"/>
      <c r="W87" s="12"/>
      <c r="X87" s="12"/>
      <c r="Y87" s="12"/>
      <c r="Z87" s="12"/>
      <c r="AA87" s="12"/>
      <c r="AB87" s="12"/>
    </row>
    <row r="88">
      <c r="A88" s="101" t="s">
        <v>13</v>
      </c>
      <c r="B88" s="32">
        <v>4.605543011092E12</v>
      </c>
      <c r="C88" s="116" t="s">
        <v>147</v>
      </c>
      <c r="D88" s="30" t="s">
        <v>147</v>
      </c>
      <c r="E88" s="93">
        <v>30380.0</v>
      </c>
      <c r="F88" s="117"/>
      <c r="G88" s="93" t="s">
        <v>148</v>
      </c>
      <c r="H88" s="93">
        <v>11467.0</v>
      </c>
      <c r="I88" s="93">
        <v>8020.0</v>
      </c>
      <c r="J88" s="118">
        <f t="shared" si="3"/>
        <v>10893</v>
      </c>
      <c r="K88" s="70">
        <v>40.0</v>
      </c>
      <c r="L88" s="70"/>
      <c r="N88" s="18"/>
      <c r="O88" s="19"/>
      <c r="S88" s="12"/>
      <c r="W88" s="12"/>
      <c r="X88" s="12"/>
      <c r="Y88" s="12"/>
      <c r="Z88" s="12"/>
      <c r="AA88" s="12"/>
      <c r="AB88" s="12"/>
    </row>
    <row r="89">
      <c r="A89" s="13" t="s">
        <v>13</v>
      </c>
      <c r="B89" s="32">
        <v>4.605543011085E12</v>
      </c>
      <c r="C89" s="116" t="s">
        <v>149</v>
      </c>
      <c r="D89" s="3" t="s">
        <v>149</v>
      </c>
      <c r="E89" s="4">
        <v>28480.0</v>
      </c>
      <c r="F89" s="24"/>
      <c r="G89" s="24"/>
      <c r="H89" s="4">
        <v>11535.0</v>
      </c>
      <c r="I89" s="4">
        <v>4400.0</v>
      </c>
      <c r="J89" s="15">
        <f t="shared" si="3"/>
        <v>12545</v>
      </c>
      <c r="K89" s="2">
        <v>40.0</v>
      </c>
      <c r="L89" s="24"/>
      <c r="N89" s="18"/>
      <c r="O89" s="19"/>
      <c r="S89" s="12"/>
      <c r="W89" s="12"/>
      <c r="X89" s="12"/>
      <c r="Y89" s="12"/>
      <c r="Z89" s="12"/>
      <c r="AA89" s="12"/>
      <c r="AB89" s="12"/>
    </row>
    <row r="90">
      <c r="A90" s="13" t="s">
        <v>13</v>
      </c>
      <c r="B90" s="40">
        <v>4.605543011153E12</v>
      </c>
      <c r="C90" s="119" t="s">
        <v>150</v>
      </c>
      <c r="D90" s="42" t="s">
        <v>150</v>
      </c>
      <c r="E90" s="4">
        <v>10000.0</v>
      </c>
      <c r="F90" s="24"/>
      <c r="G90" s="4"/>
      <c r="H90" s="4">
        <v>2663.0</v>
      </c>
      <c r="I90" s="4">
        <v>6160.0</v>
      </c>
      <c r="J90" s="15">
        <f t="shared" si="3"/>
        <v>1177</v>
      </c>
      <c r="K90" s="2">
        <v>40.0</v>
      </c>
      <c r="L90" s="24"/>
      <c r="N90" s="18"/>
      <c r="O90" s="19"/>
      <c r="S90" s="12"/>
      <c r="W90" s="12"/>
      <c r="X90" s="12"/>
      <c r="Y90" s="12"/>
      <c r="Z90" s="12"/>
      <c r="AA90" s="12"/>
      <c r="AB90" s="12"/>
    </row>
    <row r="91">
      <c r="A91" s="13" t="s">
        <v>13</v>
      </c>
      <c r="B91" s="40">
        <v>4.605543011177E12</v>
      </c>
      <c r="C91" s="119" t="s">
        <v>151</v>
      </c>
      <c r="D91" s="42" t="s">
        <v>151</v>
      </c>
      <c r="E91" s="4">
        <v>19440.0</v>
      </c>
      <c r="F91" s="24"/>
      <c r="G91" s="4"/>
      <c r="H91" s="4">
        <v>7826.0</v>
      </c>
      <c r="I91" s="4">
        <v>8732.0</v>
      </c>
      <c r="J91" s="15">
        <f t="shared" si="3"/>
        <v>2882</v>
      </c>
      <c r="K91" s="2">
        <v>40.0</v>
      </c>
      <c r="L91" s="120"/>
      <c r="N91" s="18"/>
      <c r="O91" s="19"/>
      <c r="S91" s="12"/>
      <c r="W91" s="12"/>
      <c r="X91" s="12"/>
      <c r="Y91" s="12"/>
      <c r="Z91" s="12"/>
      <c r="AA91" s="12"/>
      <c r="AB91" s="12"/>
    </row>
    <row r="92">
      <c r="A92" s="13" t="s">
        <v>13</v>
      </c>
      <c r="B92" s="2">
        <v>4.60554301116E12</v>
      </c>
      <c r="C92" s="121" t="s">
        <v>152</v>
      </c>
      <c r="D92" s="42" t="s">
        <v>152</v>
      </c>
      <c r="E92" s="4">
        <v>7040.0</v>
      </c>
      <c r="F92" s="24"/>
      <c r="G92" s="24"/>
      <c r="H92" s="4">
        <v>2375.0</v>
      </c>
      <c r="I92" s="4">
        <v>2320.0</v>
      </c>
      <c r="J92" s="15">
        <f t="shared" si="3"/>
        <v>2345</v>
      </c>
      <c r="K92" s="2">
        <v>40.0</v>
      </c>
      <c r="L92" s="2"/>
      <c r="N92" s="18"/>
      <c r="O92" s="19"/>
      <c r="S92" s="12"/>
      <c r="W92" s="12"/>
      <c r="X92" s="12"/>
      <c r="Y92" s="12"/>
      <c r="Z92" s="12"/>
      <c r="AA92" s="12"/>
      <c r="AB92" s="12"/>
    </row>
    <row r="93">
      <c r="A93" s="13" t="s">
        <v>13</v>
      </c>
      <c r="B93" s="21">
        <v>4.605543012471E12</v>
      </c>
      <c r="C93" s="122" t="s">
        <v>153</v>
      </c>
      <c r="D93" s="47" t="s">
        <v>153</v>
      </c>
      <c r="E93" s="4">
        <v>18320.0</v>
      </c>
      <c r="F93" s="24"/>
      <c r="G93" s="24"/>
      <c r="H93" s="4">
        <v>8394.0</v>
      </c>
      <c r="I93" s="4">
        <v>4560.0</v>
      </c>
      <c r="J93" s="15">
        <f t="shared" si="3"/>
        <v>5366</v>
      </c>
      <c r="K93" s="2">
        <v>40.0</v>
      </c>
      <c r="L93" s="2"/>
      <c r="N93" s="18"/>
      <c r="O93" s="19"/>
      <c r="S93" s="12"/>
      <c r="W93" s="12"/>
      <c r="X93" s="12"/>
      <c r="Y93" s="12"/>
      <c r="Z93" s="12"/>
      <c r="AA93" s="12"/>
      <c r="AB93" s="12"/>
    </row>
    <row r="94">
      <c r="A94" s="13" t="s">
        <v>13</v>
      </c>
      <c r="B94" s="21">
        <v>4.605543012495E12</v>
      </c>
      <c r="C94" s="116" t="s">
        <v>154</v>
      </c>
      <c r="D94" s="3" t="s">
        <v>154</v>
      </c>
      <c r="E94" s="4">
        <v>71440.0</v>
      </c>
      <c r="F94" s="24"/>
      <c r="G94" s="4" t="s">
        <v>155</v>
      </c>
      <c r="H94" s="4">
        <v>17581.0</v>
      </c>
      <c r="I94" s="4">
        <v>42160.0</v>
      </c>
      <c r="J94" s="15">
        <f t="shared" si="3"/>
        <v>11699</v>
      </c>
      <c r="K94" s="2" t="s">
        <v>156</v>
      </c>
      <c r="L94" s="24"/>
      <c r="N94" s="18"/>
      <c r="O94" s="19"/>
      <c r="S94" s="12"/>
      <c r="W94" s="12"/>
      <c r="X94" s="12"/>
      <c r="Y94" s="12"/>
      <c r="Z94" s="12"/>
      <c r="AA94" s="12"/>
      <c r="AB94" s="12"/>
    </row>
    <row r="95">
      <c r="A95" s="4" t="s">
        <v>157</v>
      </c>
      <c r="B95" s="2">
        <v>4.680918970174E12</v>
      </c>
      <c r="C95" s="123" t="s">
        <v>158</v>
      </c>
      <c r="D95" s="124" t="s">
        <v>158</v>
      </c>
      <c r="E95" s="59">
        <v>19500.0</v>
      </c>
      <c r="F95" s="125"/>
      <c r="G95" s="69"/>
      <c r="H95" s="4">
        <v>10526.0</v>
      </c>
      <c r="I95" s="4">
        <v>7956.0</v>
      </c>
      <c r="J95" s="15">
        <f t="shared" ref="J95:J271" si="4">((E95-F95)-H95)-I95</f>
        <v>1018</v>
      </c>
      <c r="K95" s="32"/>
      <c r="L95" s="82">
        <v>45474.0</v>
      </c>
      <c r="N95" s="18"/>
      <c r="O95" s="19"/>
      <c r="S95" s="12"/>
      <c r="W95" s="12"/>
      <c r="X95" s="12"/>
      <c r="Y95" s="12"/>
      <c r="Z95" s="12"/>
      <c r="AA95" s="12"/>
      <c r="AB95" s="12"/>
    </row>
    <row r="96">
      <c r="A96" s="4" t="s">
        <v>157</v>
      </c>
      <c r="B96" s="40">
        <v>4.670020497546E12</v>
      </c>
      <c r="C96" s="123" t="s">
        <v>159</v>
      </c>
      <c r="D96" s="124" t="s">
        <v>159</v>
      </c>
      <c r="E96" s="59">
        <v>40660.0</v>
      </c>
      <c r="F96" s="125"/>
      <c r="G96" s="126" t="s">
        <v>160</v>
      </c>
      <c r="H96" s="4">
        <v>8278.0</v>
      </c>
      <c r="I96" s="4">
        <v>18775.0</v>
      </c>
      <c r="J96" s="15">
        <f t="shared" si="4"/>
        <v>13607</v>
      </c>
      <c r="K96" s="2" t="s">
        <v>161</v>
      </c>
      <c r="L96" s="82">
        <v>45536.0</v>
      </c>
      <c r="N96" s="18"/>
      <c r="O96" s="19"/>
      <c r="S96" s="12"/>
      <c r="W96" s="12"/>
      <c r="X96" s="12"/>
      <c r="Y96" s="12"/>
      <c r="Z96" s="12"/>
      <c r="AA96" s="12"/>
      <c r="AB96" s="12"/>
    </row>
    <row r="97">
      <c r="A97" s="4" t="s">
        <v>157</v>
      </c>
      <c r="B97" s="59">
        <v>4.66041742165E12</v>
      </c>
      <c r="C97" s="123" t="s">
        <v>162</v>
      </c>
      <c r="D97" s="124" t="s">
        <v>162</v>
      </c>
      <c r="E97" s="59">
        <v>35719.0</v>
      </c>
      <c r="F97" s="125"/>
      <c r="G97" s="69"/>
      <c r="H97" s="4">
        <v>7452.0</v>
      </c>
      <c r="I97" s="4">
        <v>24825.0</v>
      </c>
      <c r="J97" s="15">
        <f t="shared" si="4"/>
        <v>3442</v>
      </c>
      <c r="K97" s="2" t="s">
        <v>31</v>
      </c>
      <c r="L97" s="28"/>
      <c r="N97" s="18"/>
      <c r="O97" s="19"/>
      <c r="S97" s="12"/>
      <c r="W97" s="12"/>
      <c r="X97" s="12"/>
      <c r="Y97" s="12"/>
      <c r="Z97" s="12"/>
      <c r="AA97" s="12"/>
      <c r="AB97" s="12"/>
    </row>
    <row r="98">
      <c r="A98" s="4" t="s">
        <v>157</v>
      </c>
      <c r="B98" s="40">
        <v>4.690222978568E12</v>
      </c>
      <c r="C98" s="127" t="s">
        <v>163</v>
      </c>
      <c r="D98" s="124" t="s">
        <v>163</v>
      </c>
      <c r="E98" s="40">
        <v>4907.0</v>
      </c>
      <c r="F98" s="125"/>
      <c r="G98" s="69"/>
      <c r="H98" s="4">
        <v>2517.0</v>
      </c>
      <c r="I98" s="4">
        <v>2270.0</v>
      </c>
      <c r="J98" s="15">
        <f t="shared" si="4"/>
        <v>120</v>
      </c>
      <c r="K98" s="2">
        <v>180.0</v>
      </c>
      <c r="L98" s="28">
        <v>45543.0</v>
      </c>
      <c r="N98" s="18"/>
      <c r="O98" s="19"/>
      <c r="S98" s="12"/>
      <c r="W98" s="12"/>
      <c r="X98" s="12"/>
      <c r="Y98" s="12"/>
      <c r="Z98" s="12"/>
      <c r="AA98" s="12"/>
      <c r="AB98" s="12"/>
    </row>
    <row r="99">
      <c r="A99" s="4" t="s">
        <v>157</v>
      </c>
      <c r="B99" s="59">
        <v>4.660417421315E12</v>
      </c>
      <c r="C99" s="128" t="s">
        <v>164</v>
      </c>
      <c r="D99" s="124" t="s">
        <v>165</v>
      </c>
      <c r="E99" s="59">
        <v>83360.0</v>
      </c>
      <c r="F99" s="125"/>
      <c r="G99" s="69"/>
      <c r="H99" s="4">
        <v>43200.0</v>
      </c>
      <c r="I99" s="4">
        <v>28277.0</v>
      </c>
      <c r="J99" s="15">
        <f t="shared" si="4"/>
        <v>11883</v>
      </c>
      <c r="K99" s="2">
        <v>128.0</v>
      </c>
      <c r="L99" s="31">
        <v>45536.0</v>
      </c>
      <c r="N99" s="18"/>
      <c r="O99" s="19"/>
      <c r="S99" s="12"/>
      <c r="W99" s="12"/>
      <c r="X99" s="12"/>
      <c r="Y99" s="12"/>
      <c r="Z99" s="12"/>
      <c r="AA99" s="12"/>
      <c r="AB99" s="12"/>
    </row>
    <row r="100">
      <c r="A100" s="4" t="s">
        <v>157</v>
      </c>
      <c r="B100" s="2">
        <v>2.042302907722E12</v>
      </c>
      <c r="C100" s="12" t="s">
        <v>166</v>
      </c>
      <c r="D100" s="24" t="s">
        <v>166</v>
      </c>
      <c r="E100" s="4">
        <v>10318.0</v>
      </c>
      <c r="F100" s="24"/>
      <c r="G100" s="24"/>
      <c r="H100" s="4">
        <v>6868.0</v>
      </c>
      <c r="I100" s="4">
        <v>3450.0</v>
      </c>
      <c r="J100" s="15">
        <f t="shared" si="4"/>
        <v>0</v>
      </c>
      <c r="K100" s="32"/>
      <c r="L100" s="24"/>
      <c r="N100" s="18"/>
      <c r="O100" s="19"/>
      <c r="S100" s="12"/>
      <c r="V100" s="11"/>
      <c r="W100" s="12"/>
      <c r="X100" s="12"/>
      <c r="Y100" s="12"/>
      <c r="Z100" s="12"/>
      <c r="AA100" s="12"/>
      <c r="AB100" s="12"/>
    </row>
    <row r="101">
      <c r="A101" s="4" t="s">
        <v>157</v>
      </c>
      <c r="B101" s="59">
        <v>4.660417421292E12</v>
      </c>
      <c r="C101" s="123" t="s">
        <v>167</v>
      </c>
      <c r="D101" s="124" t="s">
        <v>167</v>
      </c>
      <c r="E101" s="4">
        <v>48453.0</v>
      </c>
      <c r="F101" s="125"/>
      <c r="G101" s="4">
        <v>0.0</v>
      </c>
      <c r="H101" s="4">
        <v>15363.0</v>
      </c>
      <c r="I101" s="4">
        <v>22578.0</v>
      </c>
      <c r="J101" s="15">
        <f t="shared" si="4"/>
        <v>10512</v>
      </c>
      <c r="K101" s="2">
        <v>128.0</v>
      </c>
      <c r="L101" s="31">
        <v>45536.0</v>
      </c>
      <c r="N101" s="18"/>
      <c r="O101" s="19"/>
      <c r="S101" s="12"/>
      <c r="V101" s="12"/>
      <c r="W101" s="12"/>
      <c r="X101" s="12"/>
      <c r="Y101" s="12"/>
      <c r="Z101" s="12"/>
      <c r="AA101" s="12"/>
      <c r="AB101" s="12"/>
    </row>
    <row r="102">
      <c r="A102" s="4" t="s">
        <v>157</v>
      </c>
      <c r="B102" s="21">
        <v>4.603320037082E12</v>
      </c>
      <c r="C102" s="123" t="s">
        <v>168</v>
      </c>
      <c r="D102" s="124" t="s">
        <v>168</v>
      </c>
      <c r="E102" s="4">
        <v>7219.0</v>
      </c>
      <c r="F102" s="125"/>
      <c r="G102" s="69"/>
      <c r="H102" s="4">
        <v>3916.0</v>
      </c>
      <c r="I102" s="4">
        <v>2554.0</v>
      </c>
      <c r="J102" s="15">
        <f t="shared" si="4"/>
        <v>749</v>
      </c>
      <c r="K102" s="2">
        <v>128.0</v>
      </c>
      <c r="L102" s="31">
        <v>45536.0</v>
      </c>
      <c r="N102" s="18"/>
      <c r="O102" s="19"/>
      <c r="S102" s="12"/>
      <c r="V102" s="12"/>
      <c r="W102" s="12"/>
      <c r="X102" s="12"/>
      <c r="Y102" s="12"/>
      <c r="Z102" s="12"/>
      <c r="AA102" s="12"/>
      <c r="AB102" s="12"/>
    </row>
    <row r="103">
      <c r="A103" s="4" t="s">
        <v>157</v>
      </c>
      <c r="B103" s="21">
        <v>4.699715545348E12</v>
      </c>
      <c r="C103" s="22" t="s">
        <v>169</v>
      </c>
      <c r="D103" s="23" t="s">
        <v>170</v>
      </c>
      <c r="E103" s="4">
        <v>69892.0</v>
      </c>
      <c r="F103" s="24"/>
      <c r="G103" s="24"/>
      <c r="H103" s="4">
        <v>32435.0</v>
      </c>
      <c r="I103" s="4">
        <v>36250.0</v>
      </c>
      <c r="J103" s="15">
        <f t="shared" si="4"/>
        <v>1207</v>
      </c>
      <c r="K103" s="2">
        <v>128.0</v>
      </c>
      <c r="L103" s="31"/>
      <c r="N103" s="18"/>
      <c r="O103" s="19"/>
      <c r="S103" s="12"/>
      <c r="V103" s="12"/>
      <c r="W103" s="12"/>
      <c r="X103" s="12"/>
      <c r="Y103" s="12"/>
      <c r="Z103" s="12"/>
      <c r="AA103" s="12"/>
      <c r="AB103" s="12"/>
    </row>
    <row r="104">
      <c r="A104" s="4" t="s">
        <v>157</v>
      </c>
      <c r="B104" s="83">
        <v>4.660417421117E12</v>
      </c>
      <c r="C104" s="22" t="s">
        <v>171</v>
      </c>
      <c r="D104" s="23" t="s">
        <v>172</v>
      </c>
      <c r="E104" s="4">
        <v>19847.0</v>
      </c>
      <c r="F104" s="24"/>
      <c r="G104" s="24"/>
      <c r="H104" s="4">
        <v>9790.0</v>
      </c>
      <c r="I104" s="4">
        <v>6410.0</v>
      </c>
      <c r="J104" s="15">
        <f t="shared" si="4"/>
        <v>3647</v>
      </c>
      <c r="K104" s="2">
        <v>114.0</v>
      </c>
      <c r="L104" s="31">
        <v>45536.0</v>
      </c>
      <c r="N104" s="18"/>
      <c r="O104" s="19"/>
      <c r="S104" s="12"/>
      <c r="V104" s="12"/>
      <c r="W104" s="12"/>
      <c r="X104" s="12"/>
      <c r="Y104" s="12"/>
      <c r="Z104" s="12"/>
      <c r="AA104" s="12"/>
      <c r="AB104" s="12"/>
    </row>
    <row r="105">
      <c r="A105" s="4" t="s">
        <v>157</v>
      </c>
      <c r="B105" s="14">
        <v>2.038301408919E12</v>
      </c>
      <c r="C105" s="3" t="s">
        <v>173</v>
      </c>
      <c r="D105" s="3" t="s">
        <v>173</v>
      </c>
      <c r="E105" s="4">
        <v>14425.0</v>
      </c>
      <c r="F105" s="24"/>
      <c r="G105" s="24"/>
      <c r="H105" s="4">
        <v>7315.0</v>
      </c>
      <c r="I105" s="4">
        <v>7030.0</v>
      </c>
      <c r="J105" s="15">
        <f t="shared" si="4"/>
        <v>80</v>
      </c>
      <c r="K105" s="2">
        <v>50.0</v>
      </c>
      <c r="L105" s="31"/>
      <c r="N105" s="18"/>
      <c r="O105" s="19"/>
      <c r="S105" s="12"/>
      <c r="V105" s="12"/>
      <c r="W105" s="12"/>
      <c r="X105" s="12"/>
      <c r="Y105" s="12"/>
      <c r="Z105" s="12"/>
      <c r="AA105" s="12"/>
      <c r="AB105" s="12"/>
    </row>
    <row r="106">
      <c r="A106" s="4" t="s">
        <v>157</v>
      </c>
      <c r="B106" s="21">
        <v>2.038611263598E12</v>
      </c>
      <c r="C106" s="3" t="s">
        <v>174</v>
      </c>
      <c r="D106" s="3" t="s">
        <v>174</v>
      </c>
      <c r="E106" s="4">
        <v>7219.0</v>
      </c>
      <c r="F106" s="4"/>
      <c r="G106" s="24"/>
      <c r="H106" s="4">
        <v>3979.0</v>
      </c>
      <c r="I106" s="4">
        <v>3240.0</v>
      </c>
      <c r="J106" s="15">
        <f t="shared" si="4"/>
        <v>0</v>
      </c>
      <c r="K106" s="2">
        <v>50.0</v>
      </c>
      <c r="L106" s="32"/>
      <c r="N106" s="18"/>
      <c r="O106" s="19"/>
      <c r="S106" s="12"/>
      <c r="V106" s="12"/>
      <c r="W106" s="12"/>
      <c r="X106" s="12"/>
      <c r="Y106" s="12"/>
      <c r="Z106" s="12"/>
      <c r="AA106" s="12"/>
      <c r="AB106" s="12"/>
    </row>
    <row r="107">
      <c r="A107" s="4" t="s">
        <v>157</v>
      </c>
      <c r="B107" s="21">
        <v>4.660417421834E12</v>
      </c>
      <c r="C107" s="22" t="s">
        <v>175</v>
      </c>
      <c r="D107" s="23" t="s">
        <v>175</v>
      </c>
      <c r="E107" s="4">
        <v>33282.0</v>
      </c>
      <c r="F107" s="4">
        <v>504.0</v>
      </c>
      <c r="G107" s="4"/>
      <c r="H107" s="4">
        <v>13925.0</v>
      </c>
      <c r="I107" s="4">
        <v>12454.0</v>
      </c>
      <c r="J107" s="15">
        <f t="shared" si="4"/>
        <v>6399</v>
      </c>
      <c r="K107" s="2" t="s">
        <v>91</v>
      </c>
      <c r="L107" s="28">
        <v>45537.0</v>
      </c>
      <c r="N107" s="18"/>
      <c r="O107" s="19"/>
      <c r="S107" s="12"/>
      <c r="V107" s="12"/>
      <c r="W107" s="12"/>
      <c r="X107" s="12"/>
      <c r="Y107" s="12"/>
      <c r="Z107" s="12"/>
      <c r="AA107" s="12"/>
      <c r="AB107" s="12"/>
    </row>
    <row r="108">
      <c r="A108" s="4" t="s">
        <v>157</v>
      </c>
      <c r="B108" s="2">
        <v>4.610030633701E12</v>
      </c>
      <c r="C108" s="129" t="s">
        <v>176</v>
      </c>
      <c r="D108" s="129" t="s">
        <v>176</v>
      </c>
      <c r="E108" s="4">
        <v>94840.0</v>
      </c>
      <c r="F108" s="24"/>
      <c r="G108" s="4"/>
      <c r="H108" s="4">
        <v>32295.0</v>
      </c>
      <c r="I108" s="4">
        <v>52484.0</v>
      </c>
      <c r="J108" s="15">
        <f t="shared" si="4"/>
        <v>10061</v>
      </c>
      <c r="K108" s="2">
        <v>112.0</v>
      </c>
      <c r="L108" s="31">
        <v>45536.0</v>
      </c>
      <c r="N108" s="18"/>
      <c r="O108" s="19"/>
      <c r="S108" s="12"/>
      <c r="V108" s="12"/>
      <c r="W108" s="12"/>
      <c r="X108" s="12"/>
      <c r="Y108" s="12"/>
      <c r="Z108" s="12"/>
      <c r="AA108" s="12"/>
      <c r="AB108" s="12"/>
    </row>
    <row r="109">
      <c r="A109" s="4" t="s">
        <v>157</v>
      </c>
      <c r="B109" s="50">
        <v>2.042827589663E12</v>
      </c>
      <c r="C109" s="38" t="s">
        <v>177</v>
      </c>
      <c r="D109" s="38" t="s">
        <v>177</v>
      </c>
      <c r="E109" s="37">
        <v>15494.0</v>
      </c>
      <c r="F109" s="38"/>
      <c r="G109" s="130"/>
      <c r="H109" s="50">
        <v>5544.0</v>
      </c>
      <c r="I109" s="50">
        <v>9950.0</v>
      </c>
      <c r="J109" s="15">
        <f t="shared" si="4"/>
        <v>0</v>
      </c>
      <c r="K109" s="39"/>
      <c r="L109" s="38"/>
      <c r="N109" s="18"/>
      <c r="O109" s="19"/>
      <c r="S109" s="12"/>
      <c r="V109" s="12"/>
      <c r="W109" s="12"/>
      <c r="X109" s="12"/>
      <c r="Y109" s="12"/>
      <c r="Z109" s="12"/>
      <c r="AA109" s="12"/>
      <c r="AB109" s="12"/>
    </row>
    <row r="110">
      <c r="A110" s="4" t="s">
        <v>157</v>
      </c>
      <c r="B110" s="40">
        <v>4.685518825374E12</v>
      </c>
      <c r="C110" s="128" t="s">
        <v>178</v>
      </c>
      <c r="D110" s="6" t="s">
        <v>178</v>
      </c>
      <c r="E110" s="4">
        <v>5763.0</v>
      </c>
      <c r="F110" s="24"/>
      <c r="G110" s="24"/>
      <c r="H110" s="4">
        <v>3083.0</v>
      </c>
      <c r="I110" s="4">
        <v>2680.0</v>
      </c>
      <c r="J110" s="15">
        <f t="shared" si="4"/>
        <v>0</v>
      </c>
      <c r="K110" s="32"/>
      <c r="L110" s="131">
        <v>45597.0</v>
      </c>
      <c r="N110" s="18"/>
      <c r="O110" s="19"/>
      <c r="S110" s="12"/>
      <c r="V110" s="12"/>
      <c r="W110" s="12"/>
      <c r="X110" s="12"/>
      <c r="Y110" s="12"/>
      <c r="Z110" s="12"/>
      <c r="AA110" s="12"/>
      <c r="AB110" s="12"/>
    </row>
    <row r="111">
      <c r="A111" s="4" t="s">
        <v>157</v>
      </c>
      <c r="B111" s="50">
        <v>4.656738598843E12</v>
      </c>
      <c r="C111" s="37" t="s">
        <v>179</v>
      </c>
      <c r="D111" s="37" t="s">
        <v>179</v>
      </c>
      <c r="E111" s="37">
        <v>9283.0</v>
      </c>
      <c r="F111" s="38"/>
      <c r="G111" s="38"/>
      <c r="H111" s="37">
        <v>3816.0</v>
      </c>
      <c r="I111" s="37">
        <v>2488.0</v>
      </c>
      <c r="J111" s="15">
        <f t="shared" si="4"/>
        <v>2979</v>
      </c>
      <c r="K111" s="37">
        <v>144.0</v>
      </c>
      <c r="L111" s="38"/>
      <c r="N111" s="18"/>
      <c r="O111" s="19"/>
      <c r="S111" s="12"/>
      <c r="V111" s="12"/>
      <c r="W111" s="12"/>
      <c r="X111" s="12"/>
      <c r="Y111" s="12"/>
      <c r="Z111" s="12"/>
      <c r="AA111" s="12"/>
      <c r="AB111" s="12"/>
    </row>
    <row r="112">
      <c r="A112" s="4" t="s">
        <v>157</v>
      </c>
      <c r="B112" s="132">
        <v>4.603320465274E12</v>
      </c>
      <c r="C112" s="127" t="s">
        <v>180</v>
      </c>
      <c r="D112" s="124" t="s">
        <v>180</v>
      </c>
      <c r="E112" s="4">
        <v>9742.0</v>
      </c>
      <c r="F112" s="24"/>
      <c r="G112" s="24"/>
      <c r="H112" s="4">
        <v>2570.0</v>
      </c>
      <c r="I112" s="4">
        <v>6780.0</v>
      </c>
      <c r="J112" s="15">
        <f t="shared" si="4"/>
        <v>392</v>
      </c>
      <c r="K112" s="2">
        <v>40.0</v>
      </c>
      <c r="L112" s="28">
        <v>45566.0</v>
      </c>
      <c r="N112" s="18"/>
      <c r="O112" s="19"/>
      <c r="S112" s="12"/>
      <c r="V112" s="12"/>
      <c r="W112" s="12"/>
      <c r="X112" s="12"/>
      <c r="Y112" s="12"/>
      <c r="Z112" s="12"/>
      <c r="AA112" s="12"/>
      <c r="AB112" s="12"/>
    </row>
    <row r="113">
      <c r="A113" s="4" t="s">
        <v>157</v>
      </c>
      <c r="B113" s="21">
        <v>4.631158730707E12</v>
      </c>
      <c r="C113" s="30" t="s">
        <v>181</v>
      </c>
      <c r="D113" s="11" t="s">
        <v>182</v>
      </c>
      <c r="E113" s="4">
        <v>12745.0</v>
      </c>
      <c r="F113" s="24"/>
      <c r="G113" s="24"/>
      <c r="H113" s="4">
        <v>4107.0</v>
      </c>
      <c r="I113" s="4">
        <v>5000.0</v>
      </c>
      <c r="J113" s="15">
        <f t="shared" si="4"/>
        <v>3638</v>
      </c>
      <c r="K113" s="2">
        <v>50.0</v>
      </c>
      <c r="L113" s="131">
        <v>45566.0</v>
      </c>
      <c r="N113" s="18"/>
      <c r="O113" s="19"/>
      <c r="S113" s="12"/>
      <c r="V113" s="12"/>
      <c r="W113" s="12"/>
      <c r="X113" s="12"/>
      <c r="Y113" s="12"/>
      <c r="Z113" s="12"/>
      <c r="AA113" s="12"/>
      <c r="AB113" s="12"/>
    </row>
    <row r="114">
      <c r="A114" s="4" t="s">
        <v>157</v>
      </c>
      <c r="B114" s="2">
        <v>4.610172186882E12</v>
      </c>
      <c r="C114" s="30" t="s">
        <v>183</v>
      </c>
      <c r="D114" s="3" t="s">
        <v>183</v>
      </c>
      <c r="E114" s="4">
        <v>28393.0</v>
      </c>
      <c r="F114" s="24"/>
      <c r="G114" s="24"/>
      <c r="H114" s="63">
        <v>8092.0</v>
      </c>
      <c r="I114" s="65">
        <v>12859.0</v>
      </c>
      <c r="J114" s="15">
        <f t="shared" si="4"/>
        <v>7442</v>
      </c>
      <c r="K114" s="2" t="s">
        <v>184</v>
      </c>
      <c r="L114" s="131">
        <v>45566.0</v>
      </c>
      <c r="N114" s="18"/>
      <c r="O114" s="19"/>
      <c r="S114" s="12"/>
      <c r="V114" s="12"/>
      <c r="W114" s="12"/>
      <c r="X114" s="12"/>
      <c r="Y114" s="12"/>
      <c r="Z114" s="12"/>
      <c r="AA114" s="12"/>
      <c r="AB114" s="12"/>
    </row>
    <row r="115">
      <c r="A115" s="4" t="s">
        <v>157</v>
      </c>
      <c r="B115" s="21">
        <v>4.660417421438E12</v>
      </c>
      <c r="C115" s="133" t="s">
        <v>185</v>
      </c>
      <c r="D115" s="133" t="s">
        <v>185</v>
      </c>
      <c r="E115" s="4">
        <v>36587.0</v>
      </c>
      <c r="F115" s="24"/>
      <c r="G115" s="24"/>
      <c r="H115" s="63">
        <v>18772.0</v>
      </c>
      <c r="I115" s="65">
        <v>6100.0</v>
      </c>
      <c r="J115" s="15">
        <f t="shared" si="4"/>
        <v>11715</v>
      </c>
      <c r="K115" s="70">
        <v>128.0</v>
      </c>
      <c r="L115" s="24"/>
      <c r="N115" s="18"/>
      <c r="O115" s="19"/>
      <c r="S115" s="12"/>
      <c r="V115" s="12"/>
      <c r="W115" s="12"/>
      <c r="X115" s="12"/>
      <c r="Y115" s="12"/>
      <c r="Z115" s="12"/>
      <c r="AA115" s="12"/>
      <c r="AB115" s="12"/>
    </row>
    <row r="116">
      <c r="A116" s="4" t="s">
        <v>157</v>
      </c>
      <c r="B116" s="134">
        <v>4.631136905233E12</v>
      </c>
      <c r="C116" s="135" t="s">
        <v>186</v>
      </c>
      <c r="D116" s="133" t="s">
        <v>187</v>
      </c>
      <c r="E116" s="4">
        <v>3123.0</v>
      </c>
      <c r="F116" s="24"/>
      <c r="G116" s="24"/>
      <c r="H116" s="63">
        <v>1660.0</v>
      </c>
      <c r="I116" s="65">
        <v>830.0</v>
      </c>
      <c r="J116" s="15">
        <f t="shared" si="4"/>
        <v>633</v>
      </c>
      <c r="K116" s="2" t="s">
        <v>188</v>
      </c>
      <c r="L116" s="4" t="s">
        <v>111</v>
      </c>
      <c r="N116" s="18"/>
      <c r="O116" s="19"/>
      <c r="S116" s="12"/>
      <c r="V116" s="12"/>
      <c r="W116" s="12"/>
      <c r="X116" s="12"/>
      <c r="Y116" s="12"/>
      <c r="Z116" s="12"/>
      <c r="AA116" s="12"/>
      <c r="AB116" s="12"/>
    </row>
    <row r="117">
      <c r="A117" s="4" t="s">
        <v>157</v>
      </c>
      <c r="B117" s="2">
        <v>4.670020498093E12</v>
      </c>
      <c r="C117" s="3" t="s">
        <v>189</v>
      </c>
      <c r="D117" s="3" t="s">
        <v>189</v>
      </c>
      <c r="E117" s="4">
        <v>10818.0</v>
      </c>
      <c r="F117" s="24"/>
      <c r="G117" s="24"/>
      <c r="H117" s="63">
        <v>3967.0</v>
      </c>
      <c r="I117" s="65">
        <v>3236.0</v>
      </c>
      <c r="J117" s="15">
        <f t="shared" si="4"/>
        <v>3615</v>
      </c>
      <c r="K117" s="2" t="s">
        <v>190</v>
      </c>
      <c r="L117" s="28">
        <v>45566.0</v>
      </c>
      <c r="N117" s="18"/>
      <c r="O117" s="19"/>
      <c r="S117" s="12"/>
      <c r="V117" s="12"/>
      <c r="W117" s="12"/>
      <c r="X117" s="12"/>
      <c r="Y117" s="12"/>
      <c r="Z117" s="12"/>
      <c r="AA117" s="12"/>
      <c r="AB117" s="12"/>
    </row>
    <row r="118">
      <c r="A118" s="4" t="s">
        <v>157</v>
      </c>
      <c r="B118" s="2">
        <v>4.610030631943E12</v>
      </c>
      <c r="C118" s="30" t="s">
        <v>191</v>
      </c>
      <c r="D118" s="3" t="s">
        <v>191</v>
      </c>
      <c r="E118" s="4">
        <v>14384.0</v>
      </c>
      <c r="F118" s="24"/>
      <c r="G118" s="65"/>
      <c r="H118" s="136">
        <v>3723.0</v>
      </c>
      <c r="I118" s="65">
        <v>7627.0</v>
      </c>
      <c r="J118" s="15">
        <f t="shared" si="4"/>
        <v>3034</v>
      </c>
      <c r="K118" s="137">
        <v>72.0</v>
      </c>
      <c r="L118" s="24"/>
      <c r="N118" s="18"/>
      <c r="O118" s="19"/>
      <c r="S118" s="12"/>
      <c r="V118" s="12"/>
      <c r="W118" s="12"/>
      <c r="X118" s="12"/>
      <c r="Y118" s="12"/>
      <c r="Z118" s="12"/>
      <c r="AA118" s="12"/>
      <c r="AB118" s="12"/>
    </row>
    <row r="119">
      <c r="A119" s="4" t="s">
        <v>157</v>
      </c>
      <c r="B119" s="137">
        <v>4.610030633862E12</v>
      </c>
      <c r="C119" s="138" t="s">
        <v>192</v>
      </c>
      <c r="D119" s="138" t="s">
        <v>192</v>
      </c>
      <c r="E119" s="139">
        <v>15187.0</v>
      </c>
      <c r="F119" s="140"/>
      <c r="G119" s="141"/>
      <c r="H119" s="142">
        <v>6281.0</v>
      </c>
      <c r="I119" s="139">
        <v>3775.0</v>
      </c>
      <c r="J119" s="143">
        <f t="shared" si="4"/>
        <v>5131</v>
      </c>
      <c r="K119" s="2">
        <v>72.0</v>
      </c>
      <c r="L119" s="140"/>
      <c r="N119" s="18"/>
      <c r="O119" s="19"/>
      <c r="S119" s="12"/>
      <c r="V119" s="12"/>
      <c r="W119" s="12"/>
      <c r="X119" s="12"/>
      <c r="Y119" s="12"/>
      <c r="Z119" s="12"/>
      <c r="AA119" s="12"/>
      <c r="AB119" s="12"/>
    </row>
    <row r="120">
      <c r="A120" s="4" t="s">
        <v>157</v>
      </c>
      <c r="B120" s="21">
        <v>4.631141996004E12</v>
      </c>
      <c r="C120" s="66" t="s">
        <v>193</v>
      </c>
      <c r="D120" s="69" t="s">
        <v>194</v>
      </c>
      <c r="E120" s="4">
        <v>25867.0</v>
      </c>
      <c r="F120" s="24"/>
      <c r="G120" s="24"/>
      <c r="H120" s="4">
        <v>9096.0</v>
      </c>
      <c r="I120" s="4">
        <v>15474.0</v>
      </c>
      <c r="J120" s="143">
        <f t="shared" si="4"/>
        <v>1297</v>
      </c>
      <c r="K120" s="70">
        <v>138.0</v>
      </c>
      <c r="L120" s="24"/>
      <c r="N120" s="18"/>
      <c r="O120" s="19"/>
      <c r="S120" s="12"/>
      <c r="V120" s="12"/>
      <c r="W120" s="12"/>
      <c r="X120" s="12"/>
      <c r="Y120" s="12"/>
      <c r="Z120" s="12"/>
      <c r="AA120" s="12"/>
      <c r="AB120" s="12"/>
    </row>
    <row r="121">
      <c r="A121" s="144" t="s">
        <v>157</v>
      </c>
      <c r="B121" s="21">
        <v>2.038611139794E12</v>
      </c>
      <c r="C121" s="30" t="s">
        <v>195</v>
      </c>
      <c r="D121" s="6" t="s">
        <v>195</v>
      </c>
      <c r="E121" s="4">
        <v>9263.0</v>
      </c>
      <c r="F121" s="24"/>
      <c r="G121" s="65"/>
      <c r="H121" s="136">
        <v>3704.0</v>
      </c>
      <c r="I121" s="65">
        <v>5559.0</v>
      </c>
      <c r="J121" s="15">
        <f t="shared" si="4"/>
        <v>0</v>
      </c>
      <c r="K121" s="70"/>
      <c r="L121" s="24"/>
      <c r="N121" s="18"/>
      <c r="O121" s="19"/>
      <c r="S121" s="12"/>
      <c r="V121" s="12"/>
      <c r="W121" s="12"/>
      <c r="X121" s="12"/>
      <c r="Y121" s="12"/>
      <c r="Z121" s="12"/>
      <c r="AA121" s="12"/>
      <c r="AB121" s="12"/>
    </row>
    <row r="122">
      <c r="A122" s="4" t="s">
        <v>157</v>
      </c>
      <c r="B122" s="63">
        <v>4.607050974747E12</v>
      </c>
      <c r="C122" s="128" t="s">
        <v>196</v>
      </c>
      <c r="D122" s="6" t="s">
        <v>196</v>
      </c>
      <c r="E122" s="4">
        <v>46946.0</v>
      </c>
      <c r="F122" s="24"/>
      <c r="G122" s="24"/>
      <c r="H122" s="65">
        <v>14796.0</v>
      </c>
      <c r="I122" s="65">
        <v>31306.0</v>
      </c>
      <c r="J122" s="15">
        <f t="shared" si="4"/>
        <v>844</v>
      </c>
      <c r="K122" s="70">
        <v>144.0</v>
      </c>
      <c r="L122" s="24"/>
      <c r="N122" s="18"/>
      <c r="O122" s="19"/>
      <c r="S122" s="12"/>
      <c r="V122" s="12"/>
      <c r="W122" s="12"/>
      <c r="X122" s="12"/>
      <c r="Y122" s="12"/>
      <c r="Z122" s="12"/>
      <c r="AA122" s="12"/>
      <c r="AB122" s="12"/>
    </row>
    <row r="123">
      <c r="A123" s="4" t="s">
        <v>157</v>
      </c>
      <c r="B123" s="108">
        <v>4.656887467946E12</v>
      </c>
      <c r="C123" s="37" t="s">
        <v>197</v>
      </c>
      <c r="D123" s="37" t="s">
        <v>197</v>
      </c>
      <c r="E123" s="37">
        <v>3072.0</v>
      </c>
      <c r="F123" s="38"/>
      <c r="G123" s="38"/>
      <c r="H123" s="37">
        <v>1856.0</v>
      </c>
      <c r="I123" s="37">
        <v>1216.0</v>
      </c>
      <c r="J123" s="15">
        <f t="shared" si="4"/>
        <v>0</v>
      </c>
      <c r="K123" s="39"/>
      <c r="L123" s="38"/>
      <c r="N123" s="18"/>
      <c r="O123" s="19"/>
      <c r="S123" s="12"/>
      <c r="V123" s="12"/>
      <c r="W123" s="12"/>
      <c r="X123" s="12"/>
      <c r="Y123" s="12"/>
      <c r="Z123" s="12"/>
      <c r="AA123" s="12"/>
      <c r="AB123" s="12"/>
    </row>
    <row r="124">
      <c r="A124" s="4" t="s">
        <v>157</v>
      </c>
      <c r="B124" s="2">
        <v>4.670020498017E12</v>
      </c>
      <c r="C124" s="48" t="s">
        <v>198</v>
      </c>
      <c r="D124" s="3" t="s">
        <v>198</v>
      </c>
      <c r="E124" s="4">
        <v>10089.0</v>
      </c>
      <c r="F124" s="24"/>
      <c r="G124" s="65"/>
      <c r="H124" s="136">
        <v>4378.0</v>
      </c>
      <c r="I124" s="65">
        <v>5644.0</v>
      </c>
      <c r="J124" s="15">
        <f t="shared" si="4"/>
        <v>67</v>
      </c>
      <c r="K124" s="70" t="s">
        <v>114</v>
      </c>
      <c r="L124" s="24"/>
      <c r="N124" s="18"/>
      <c r="O124" s="19"/>
      <c r="S124" s="12"/>
      <c r="V124" s="12"/>
      <c r="W124" s="12"/>
      <c r="X124" s="12"/>
      <c r="Y124" s="12"/>
      <c r="Z124" s="12"/>
      <c r="AA124" s="12"/>
      <c r="AB124" s="12"/>
    </row>
    <row r="125">
      <c r="A125" s="4" t="s">
        <v>157</v>
      </c>
      <c r="B125" s="2">
        <v>4.645565747487E12</v>
      </c>
      <c r="C125" s="145" t="s">
        <v>199</v>
      </c>
      <c r="D125" s="146" t="s">
        <v>199</v>
      </c>
      <c r="E125" s="37">
        <v>5004.0</v>
      </c>
      <c r="F125" s="38"/>
      <c r="G125" s="38"/>
      <c r="H125" s="37">
        <v>2056.0</v>
      </c>
      <c r="I125" s="37">
        <v>2692.0</v>
      </c>
      <c r="J125" s="15">
        <f t="shared" si="4"/>
        <v>256</v>
      </c>
      <c r="K125" s="70" t="s">
        <v>114</v>
      </c>
      <c r="L125" s="38"/>
      <c r="N125" s="18"/>
      <c r="O125" s="19"/>
      <c r="S125" s="12"/>
      <c r="V125" s="12"/>
      <c r="W125" s="12"/>
      <c r="X125" s="12"/>
      <c r="Y125" s="12"/>
      <c r="Z125" s="12"/>
      <c r="AA125" s="12"/>
      <c r="AB125" s="12"/>
    </row>
    <row r="126">
      <c r="A126" s="4" t="s">
        <v>157</v>
      </c>
      <c r="B126" s="40">
        <v>4.61003063195E12</v>
      </c>
      <c r="C126" s="30" t="s">
        <v>200</v>
      </c>
      <c r="D126" s="3" t="s">
        <v>200</v>
      </c>
      <c r="E126" s="4">
        <v>9631.0</v>
      </c>
      <c r="F126" s="24"/>
      <c r="G126" s="65"/>
      <c r="H126" s="136">
        <v>4575.0</v>
      </c>
      <c r="I126" s="65">
        <v>2592.0</v>
      </c>
      <c r="J126" s="15">
        <f t="shared" si="4"/>
        <v>2464</v>
      </c>
      <c r="K126" s="70">
        <v>72.0</v>
      </c>
      <c r="L126" s="24"/>
      <c r="N126" s="18"/>
      <c r="O126" s="19"/>
      <c r="S126" s="12"/>
      <c r="V126" s="12"/>
      <c r="W126" s="12"/>
      <c r="X126" s="12"/>
      <c r="Y126" s="12"/>
      <c r="Z126" s="12"/>
      <c r="AA126" s="12"/>
      <c r="AB126" s="12"/>
    </row>
    <row r="127">
      <c r="A127" s="4" t="s">
        <v>157</v>
      </c>
      <c r="B127" s="40">
        <v>4.610030631967E12</v>
      </c>
      <c r="C127" s="48" t="s">
        <v>201</v>
      </c>
      <c r="D127" s="3" t="s">
        <v>201</v>
      </c>
      <c r="E127" s="63">
        <v>4889.0</v>
      </c>
      <c r="F127" s="63"/>
      <c r="G127" s="65"/>
      <c r="H127" s="136">
        <v>3233.0</v>
      </c>
      <c r="I127" s="65">
        <v>1656.0</v>
      </c>
      <c r="J127" s="15">
        <f t="shared" si="4"/>
        <v>0</v>
      </c>
      <c r="K127" s="136">
        <v>72.0</v>
      </c>
      <c r="L127" s="24"/>
      <c r="N127" s="18"/>
      <c r="O127" s="19"/>
      <c r="S127" s="12"/>
      <c r="V127" s="12"/>
      <c r="W127" s="12"/>
      <c r="X127" s="12"/>
      <c r="Y127" s="12"/>
      <c r="Z127" s="12"/>
      <c r="AA127" s="12"/>
      <c r="AB127" s="12"/>
    </row>
    <row r="128">
      <c r="A128" s="4" t="s">
        <v>157</v>
      </c>
      <c r="B128" s="21">
        <v>4.657786831418E12</v>
      </c>
      <c r="C128" s="147" t="s">
        <v>202</v>
      </c>
      <c r="D128" s="133" t="s">
        <v>202</v>
      </c>
      <c r="E128" s="4">
        <v>8859.0</v>
      </c>
      <c r="F128" s="63"/>
      <c r="G128" s="65"/>
      <c r="H128" s="136">
        <v>3558.0</v>
      </c>
      <c r="I128" s="65">
        <v>2496.0</v>
      </c>
      <c r="J128" s="15">
        <f t="shared" si="4"/>
        <v>2805</v>
      </c>
      <c r="K128" s="136">
        <v>137.0</v>
      </c>
      <c r="L128" s="24"/>
      <c r="N128" s="18"/>
      <c r="O128" s="19"/>
      <c r="S128" s="12"/>
      <c r="V128" s="12"/>
      <c r="W128" s="12"/>
      <c r="X128" s="12"/>
      <c r="Y128" s="12"/>
      <c r="Z128" s="12"/>
      <c r="AA128" s="12"/>
      <c r="AB128" s="12"/>
    </row>
    <row r="129">
      <c r="A129" s="4" t="s">
        <v>157</v>
      </c>
      <c r="B129" s="2">
        <v>4.640257810869E12</v>
      </c>
      <c r="C129" s="148" t="s">
        <v>203</v>
      </c>
      <c r="D129" s="148" t="s">
        <v>203</v>
      </c>
      <c r="E129" s="63">
        <v>13008.0</v>
      </c>
      <c r="F129" s="63">
        <v>3.0</v>
      </c>
      <c r="G129" s="65" t="s">
        <v>204</v>
      </c>
      <c r="H129" s="136">
        <v>4238.0</v>
      </c>
      <c r="I129" s="65">
        <v>5197.0</v>
      </c>
      <c r="J129" s="15">
        <f t="shared" si="4"/>
        <v>3570</v>
      </c>
      <c r="K129" s="136">
        <v>144.0</v>
      </c>
      <c r="L129" s="24"/>
      <c r="N129" s="18"/>
      <c r="O129" s="19"/>
      <c r="S129" s="12"/>
      <c r="V129" s="12"/>
      <c r="W129" s="12"/>
      <c r="X129" s="12"/>
      <c r="Y129" s="12"/>
      <c r="Z129" s="12"/>
      <c r="AA129" s="12"/>
      <c r="AB129" s="12"/>
    </row>
    <row r="130">
      <c r="A130" s="4" t="s">
        <v>157</v>
      </c>
      <c r="B130" s="21">
        <v>4.610030631431E12</v>
      </c>
      <c r="C130" s="149" t="s">
        <v>205</v>
      </c>
      <c r="D130" s="69" t="s">
        <v>205</v>
      </c>
      <c r="E130" s="4">
        <v>181361.0</v>
      </c>
      <c r="F130" s="63"/>
      <c r="G130" s="4"/>
      <c r="H130" s="4">
        <v>85089.0</v>
      </c>
      <c r="I130" s="65">
        <v>81303.0</v>
      </c>
      <c r="J130" s="15">
        <f t="shared" si="4"/>
        <v>14969</v>
      </c>
      <c r="K130" s="70">
        <v>270.0</v>
      </c>
      <c r="L130" s="24"/>
      <c r="N130" s="18"/>
      <c r="O130" s="19"/>
      <c r="S130" s="12"/>
      <c r="V130" s="12"/>
      <c r="W130" s="12"/>
      <c r="X130" s="12"/>
      <c r="Y130" s="12"/>
      <c r="Z130" s="12"/>
      <c r="AA130" s="12"/>
      <c r="AB130" s="12"/>
    </row>
    <row r="131">
      <c r="A131" s="4" t="s">
        <v>157</v>
      </c>
      <c r="B131" s="105">
        <v>4.675893578767E12</v>
      </c>
      <c r="C131" s="102" t="s">
        <v>206</v>
      </c>
      <c r="D131" s="102" t="s">
        <v>206</v>
      </c>
      <c r="E131" s="37">
        <v>1406.0</v>
      </c>
      <c r="F131" s="38"/>
      <c r="G131" s="38"/>
      <c r="H131" s="37">
        <v>606.0</v>
      </c>
      <c r="I131" s="37">
        <v>800.0</v>
      </c>
      <c r="J131" s="15">
        <f t="shared" si="4"/>
        <v>0</v>
      </c>
      <c r="K131" s="38"/>
      <c r="L131" s="38"/>
      <c r="N131" s="18"/>
      <c r="O131" s="19"/>
      <c r="S131" s="12"/>
      <c r="V131" s="12"/>
      <c r="W131" s="12"/>
      <c r="X131" s="12"/>
      <c r="Y131" s="12"/>
      <c r="Z131" s="12"/>
      <c r="AA131" s="12"/>
      <c r="AB131" s="12"/>
    </row>
    <row r="132">
      <c r="A132" s="4" t="s">
        <v>157</v>
      </c>
      <c r="B132" s="105">
        <v>4.627649874784E12</v>
      </c>
      <c r="C132" s="102" t="s">
        <v>207</v>
      </c>
      <c r="D132" s="102" t="s">
        <v>207</v>
      </c>
      <c r="E132" s="37">
        <v>14990.0</v>
      </c>
      <c r="F132" s="38"/>
      <c r="G132" s="38"/>
      <c r="H132" s="37">
        <v>6378.0</v>
      </c>
      <c r="I132" s="37">
        <v>8612.0</v>
      </c>
      <c r="J132" s="15">
        <f t="shared" si="4"/>
        <v>0</v>
      </c>
      <c r="K132" s="38"/>
      <c r="L132" s="38"/>
      <c r="N132" s="18"/>
      <c r="O132" s="19"/>
      <c r="S132" s="12"/>
      <c r="V132" s="12"/>
      <c r="W132" s="12"/>
      <c r="X132" s="12"/>
      <c r="Y132" s="12"/>
      <c r="Z132" s="12"/>
      <c r="AA132" s="12"/>
      <c r="AB132" s="12"/>
    </row>
    <row r="133">
      <c r="A133" s="4" t="s">
        <v>157</v>
      </c>
      <c r="B133" s="134">
        <v>4.627193453404E12</v>
      </c>
      <c r="C133" s="150" t="s">
        <v>208</v>
      </c>
      <c r="D133" s="69" t="s">
        <v>208</v>
      </c>
      <c r="E133" s="4">
        <v>5121.0</v>
      </c>
      <c r="F133" s="24"/>
      <c r="G133" s="24"/>
      <c r="H133" s="4">
        <v>1412.0</v>
      </c>
      <c r="I133" s="4">
        <v>2372.0</v>
      </c>
      <c r="J133" s="15">
        <f t="shared" si="4"/>
        <v>1337</v>
      </c>
      <c r="K133" s="70">
        <v>72.0</v>
      </c>
      <c r="L133" s="24"/>
      <c r="N133" s="18"/>
      <c r="O133" s="19"/>
      <c r="S133" s="12"/>
      <c r="V133" s="12"/>
      <c r="W133" s="12"/>
      <c r="X133" s="12"/>
      <c r="Y133" s="12"/>
      <c r="Z133" s="12"/>
      <c r="AA133" s="12"/>
      <c r="AB133" s="12"/>
    </row>
    <row r="134">
      <c r="A134" s="4" t="s">
        <v>157</v>
      </c>
      <c r="B134" s="2">
        <v>4.610030631714E12</v>
      </c>
      <c r="C134" s="150" t="s">
        <v>209</v>
      </c>
      <c r="D134" s="69" t="s">
        <v>209</v>
      </c>
      <c r="E134" s="4">
        <v>7851.0</v>
      </c>
      <c r="F134" s="24"/>
      <c r="G134" s="24"/>
      <c r="H134" s="4">
        <v>2242.0</v>
      </c>
      <c r="I134" s="65">
        <v>3568.0</v>
      </c>
      <c r="J134" s="15">
        <f t="shared" si="4"/>
        <v>2041</v>
      </c>
      <c r="K134" s="70">
        <v>72.0</v>
      </c>
      <c r="L134" s="24"/>
      <c r="N134" s="18"/>
      <c r="O134" s="19"/>
      <c r="S134" s="12"/>
      <c r="V134" s="12"/>
      <c r="W134" s="12"/>
      <c r="X134" s="12"/>
      <c r="Y134" s="12"/>
      <c r="Z134" s="12"/>
      <c r="AA134" s="12"/>
      <c r="AB134" s="12"/>
    </row>
    <row r="135">
      <c r="A135" s="4" t="s">
        <v>157</v>
      </c>
      <c r="B135" s="21">
        <v>4.631136905059E12</v>
      </c>
      <c r="C135" s="151" t="s">
        <v>210</v>
      </c>
      <c r="D135" s="152" t="s">
        <v>211</v>
      </c>
      <c r="E135" s="4">
        <v>20271.0</v>
      </c>
      <c r="F135" s="24"/>
      <c r="G135" s="24"/>
      <c r="H135" s="4">
        <v>9650.0</v>
      </c>
      <c r="I135" s="65">
        <v>10029.0</v>
      </c>
      <c r="J135" s="15">
        <f t="shared" si="4"/>
        <v>592</v>
      </c>
      <c r="K135" s="70">
        <v>80.0</v>
      </c>
      <c r="L135" s="24"/>
      <c r="N135" s="18"/>
      <c r="O135" s="19"/>
      <c r="S135" s="12"/>
      <c r="V135" s="12"/>
      <c r="W135" s="12"/>
      <c r="X135" s="12"/>
      <c r="Y135" s="12"/>
      <c r="Z135" s="12"/>
      <c r="AA135" s="12"/>
      <c r="AB135" s="12"/>
    </row>
    <row r="136">
      <c r="A136" s="4" t="s">
        <v>157</v>
      </c>
      <c r="B136" s="14">
        <v>2.038301488324E12</v>
      </c>
      <c r="C136" s="93" t="s">
        <v>212</v>
      </c>
      <c r="D136" s="4" t="s">
        <v>212</v>
      </c>
      <c r="E136" s="4">
        <v>7174.0</v>
      </c>
      <c r="F136" s="24"/>
      <c r="G136" s="24"/>
      <c r="H136" s="4">
        <v>4594.0</v>
      </c>
      <c r="I136" s="4">
        <v>2580.0</v>
      </c>
      <c r="J136" s="15">
        <f t="shared" si="4"/>
        <v>0</v>
      </c>
      <c r="K136" s="32"/>
      <c r="L136" s="24"/>
      <c r="N136" s="18"/>
      <c r="O136" s="19"/>
      <c r="S136" s="12"/>
      <c r="V136" s="12"/>
      <c r="W136" s="12"/>
      <c r="X136" s="12"/>
      <c r="Y136" s="12"/>
      <c r="Z136" s="12"/>
      <c r="AA136" s="12"/>
      <c r="AB136" s="12"/>
    </row>
    <row r="137">
      <c r="A137" s="4" t="s">
        <v>157</v>
      </c>
      <c r="B137" s="21">
        <v>4.631143681571E12</v>
      </c>
      <c r="C137" s="153" t="s">
        <v>213</v>
      </c>
      <c r="D137" s="69" t="s">
        <v>214</v>
      </c>
      <c r="E137" s="4">
        <v>21247.0</v>
      </c>
      <c r="F137" s="24"/>
      <c r="G137" s="24"/>
      <c r="H137" s="4">
        <v>9373.0</v>
      </c>
      <c r="I137" s="4">
        <v>11790.0</v>
      </c>
      <c r="J137" s="15">
        <f t="shared" si="4"/>
        <v>84</v>
      </c>
      <c r="K137" s="70">
        <v>80.0</v>
      </c>
      <c r="L137" s="24"/>
      <c r="N137" s="18"/>
      <c r="O137" s="19"/>
      <c r="S137" s="12"/>
      <c r="V137" s="12"/>
      <c r="W137" s="12"/>
      <c r="X137" s="12"/>
      <c r="Y137" s="12"/>
      <c r="Z137" s="12"/>
      <c r="AA137" s="12"/>
      <c r="AB137" s="12"/>
    </row>
    <row r="138">
      <c r="A138" s="4" t="s">
        <v>157</v>
      </c>
      <c r="B138" s="40">
        <v>2.038301429006E12</v>
      </c>
      <c r="C138" s="69" t="s">
        <v>215</v>
      </c>
      <c r="D138" s="69" t="s">
        <v>215</v>
      </c>
      <c r="E138" s="4">
        <v>1120.0</v>
      </c>
      <c r="F138" s="24"/>
      <c r="G138" s="24"/>
      <c r="H138" s="4">
        <v>470.0</v>
      </c>
      <c r="I138" s="4">
        <v>650.0</v>
      </c>
      <c r="J138" s="15">
        <f t="shared" si="4"/>
        <v>0</v>
      </c>
      <c r="K138" s="154"/>
      <c r="L138" s="24"/>
      <c r="M138" s="11"/>
      <c r="N138" s="18"/>
      <c r="O138" s="19"/>
      <c r="S138" s="12"/>
      <c r="V138" s="12"/>
      <c r="W138" s="12"/>
      <c r="X138" s="12"/>
      <c r="Y138" s="12"/>
      <c r="Z138" s="12"/>
      <c r="AA138" s="12"/>
      <c r="AB138" s="12"/>
    </row>
    <row r="139">
      <c r="A139" s="4" t="s">
        <v>157</v>
      </c>
      <c r="B139" s="40">
        <v>2.038301433485E12</v>
      </c>
      <c r="C139" s="69" t="s">
        <v>216</v>
      </c>
      <c r="D139" s="69" t="s">
        <v>216</v>
      </c>
      <c r="E139" s="4">
        <v>6011.0</v>
      </c>
      <c r="F139" s="24"/>
      <c r="G139" s="24"/>
      <c r="H139" s="4">
        <v>2761.0</v>
      </c>
      <c r="I139" s="4">
        <v>3250.0</v>
      </c>
      <c r="J139" s="15">
        <f t="shared" si="4"/>
        <v>0</v>
      </c>
      <c r="K139" s="154"/>
      <c r="L139" s="24"/>
      <c r="M139" s="11"/>
      <c r="N139" s="18"/>
      <c r="O139" s="19"/>
      <c r="S139" s="12"/>
      <c r="V139" s="12"/>
      <c r="W139" s="12"/>
      <c r="X139" s="12"/>
      <c r="Y139" s="12"/>
      <c r="Z139" s="12"/>
      <c r="AA139" s="12"/>
      <c r="AB139" s="12"/>
    </row>
    <row r="140">
      <c r="A140" s="4" t="s">
        <v>157</v>
      </c>
      <c r="B140" s="21">
        <v>4.627144543055E12</v>
      </c>
      <c r="C140" s="155" t="s">
        <v>217</v>
      </c>
      <c r="D140" s="69" t="s">
        <v>217</v>
      </c>
      <c r="E140" s="4">
        <v>19645.0</v>
      </c>
      <c r="F140" s="24"/>
      <c r="G140" s="24"/>
      <c r="H140" s="4">
        <v>11579.0</v>
      </c>
      <c r="I140" s="4">
        <v>7572.0</v>
      </c>
      <c r="J140" s="15">
        <f t="shared" si="4"/>
        <v>494</v>
      </c>
      <c r="K140" s="70" t="s">
        <v>218</v>
      </c>
      <c r="L140" s="24"/>
      <c r="M140" s="11"/>
      <c r="N140" s="18"/>
      <c r="O140" s="19"/>
      <c r="S140" s="12"/>
      <c r="V140" s="12"/>
      <c r="W140" s="12"/>
      <c r="X140" s="12"/>
      <c r="Y140" s="12"/>
      <c r="Z140" s="12"/>
      <c r="AA140" s="12"/>
      <c r="AB140" s="12"/>
    </row>
    <row r="141">
      <c r="A141" s="4" t="s">
        <v>157</v>
      </c>
      <c r="B141" s="2">
        <v>4.610030631721E12</v>
      </c>
      <c r="C141" s="48" t="s">
        <v>219</v>
      </c>
      <c r="D141" s="3" t="s">
        <v>219</v>
      </c>
      <c r="E141" s="4">
        <v>4831.0</v>
      </c>
      <c r="F141" s="24"/>
      <c r="G141" s="24"/>
      <c r="H141" s="4">
        <v>3031.0</v>
      </c>
      <c r="I141" s="4">
        <v>1800.0</v>
      </c>
      <c r="J141" s="15">
        <f t="shared" si="4"/>
        <v>0</v>
      </c>
      <c r="K141" s="70">
        <v>72.0</v>
      </c>
      <c r="L141" s="43">
        <v>46327.0</v>
      </c>
      <c r="N141" s="18"/>
      <c r="O141" s="19"/>
      <c r="S141" s="12"/>
      <c r="V141" s="12"/>
      <c r="W141" s="12"/>
      <c r="X141" s="12"/>
      <c r="Y141" s="12"/>
      <c r="Z141" s="12"/>
      <c r="AA141" s="12"/>
      <c r="AB141" s="12"/>
    </row>
    <row r="142">
      <c r="A142" s="4" t="s">
        <v>157</v>
      </c>
      <c r="B142" s="2">
        <v>4.670020496679E12</v>
      </c>
      <c r="C142" s="150" t="s">
        <v>220</v>
      </c>
      <c r="D142" s="125" t="s">
        <v>220</v>
      </c>
      <c r="E142" s="4">
        <v>14674.0</v>
      </c>
      <c r="F142" s="24"/>
      <c r="G142" s="24"/>
      <c r="H142" s="4">
        <v>9675.0</v>
      </c>
      <c r="I142" s="4">
        <v>3068.0</v>
      </c>
      <c r="J142" s="15">
        <f t="shared" si="4"/>
        <v>1931</v>
      </c>
      <c r="K142" s="2">
        <v>24.0</v>
      </c>
      <c r="L142" s="38"/>
      <c r="N142" s="18"/>
      <c r="O142" s="19"/>
      <c r="S142" s="12"/>
      <c r="V142" s="12"/>
      <c r="W142" s="12"/>
      <c r="X142" s="12"/>
      <c r="Y142" s="12"/>
      <c r="Z142" s="12"/>
      <c r="AA142" s="12"/>
      <c r="AB142" s="12"/>
    </row>
    <row r="143">
      <c r="A143" s="4" t="s">
        <v>157</v>
      </c>
      <c r="B143" s="21">
        <v>4.61003063265E12</v>
      </c>
      <c r="C143" s="93" t="s">
        <v>221</v>
      </c>
      <c r="D143" s="4" t="s">
        <v>221</v>
      </c>
      <c r="E143" s="4">
        <v>27647.0</v>
      </c>
      <c r="F143" s="24"/>
      <c r="G143" s="4" t="s">
        <v>222</v>
      </c>
      <c r="H143" s="4">
        <v>12790.0</v>
      </c>
      <c r="I143" s="4">
        <v>9864.0</v>
      </c>
      <c r="J143" s="15">
        <f t="shared" si="4"/>
        <v>4993</v>
      </c>
      <c r="K143" s="2">
        <v>120.0</v>
      </c>
      <c r="L143" s="24"/>
      <c r="M143" s="11"/>
      <c r="N143" s="18"/>
      <c r="O143" s="19"/>
      <c r="S143" s="12"/>
      <c r="V143" s="12"/>
      <c r="W143" s="12"/>
      <c r="X143" s="12"/>
      <c r="Y143" s="12"/>
      <c r="Z143" s="12"/>
      <c r="AA143" s="12"/>
      <c r="AB143" s="12"/>
    </row>
    <row r="144">
      <c r="A144" s="4" t="s">
        <v>157</v>
      </c>
      <c r="B144" s="2">
        <v>4.670020497034E12</v>
      </c>
      <c r="C144" s="156" t="s">
        <v>223</v>
      </c>
      <c r="D144" s="4" t="s">
        <v>223</v>
      </c>
      <c r="E144" s="4">
        <v>23094.0</v>
      </c>
      <c r="F144" s="24"/>
      <c r="G144" s="24"/>
      <c r="H144" s="4">
        <v>9039.0</v>
      </c>
      <c r="I144" s="65">
        <v>14005.0</v>
      </c>
      <c r="J144" s="15">
        <f t="shared" si="4"/>
        <v>50</v>
      </c>
      <c r="K144" s="2" t="s">
        <v>224</v>
      </c>
      <c r="L144" s="24"/>
      <c r="M144" s="11"/>
      <c r="N144" s="18"/>
      <c r="O144" s="19"/>
      <c r="Q144" s="18"/>
      <c r="R144" s="19"/>
      <c r="S144" s="18"/>
      <c r="T144" s="19"/>
      <c r="V144" s="12"/>
      <c r="W144" s="12"/>
      <c r="X144" s="12"/>
      <c r="Y144" s="12"/>
      <c r="Z144" s="12"/>
      <c r="AA144" s="12"/>
      <c r="AB144" s="12"/>
    </row>
    <row r="145">
      <c r="A145" s="55" t="s">
        <v>157</v>
      </c>
      <c r="B145" s="50">
        <v>4.603312714069E12</v>
      </c>
      <c r="C145" s="99" t="s">
        <v>225</v>
      </c>
      <c r="D145" s="37" t="s">
        <v>225</v>
      </c>
      <c r="E145" s="37">
        <v>15682.0</v>
      </c>
      <c r="F145" s="38"/>
      <c r="G145" s="38"/>
      <c r="H145" s="37">
        <v>2376.0</v>
      </c>
      <c r="I145" s="37">
        <v>13304.0</v>
      </c>
      <c r="J145" s="15">
        <f t="shared" si="4"/>
        <v>2</v>
      </c>
      <c r="K145" s="2" t="s">
        <v>224</v>
      </c>
      <c r="L145" s="38"/>
      <c r="N145" s="18"/>
      <c r="O145" s="19"/>
      <c r="Q145" s="18"/>
      <c r="R145" s="19"/>
      <c r="S145" s="18"/>
      <c r="T145" s="19"/>
      <c r="V145" s="12"/>
      <c r="W145" s="12"/>
      <c r="X145" s="12"/>
      <c r="Y145" s="12"/>
      <c r="Z145" s="12"/>
      <c r="AA145" s="12"/>
      <c r="AB145" s="12"/>
    </row>
    <row r="146">
      <c r="A146" s="4" t="s">
        <v>157</v>
      </c>
      <c r="B146" s="157">
        <v>4.610030632742E12</v>
      </c>
      <c r="C146" s="93" t="s">
        <v>226</v>
      </c>
      <c r="D146" s="4" t="s">
        <v>226</v>
      </c>
      <c r="E146" s="4">
        <v>13949.0</v>
      </c>
      <c r="F146" s="24"/>
      <c r="G146" s="24"/>
      <c r="H146" s="4">
        <v>7882.0</v>
      </c>
      <c r="I146" s="4">
        <v>3203.0</v>
      </c>
      <c r="J146" s="15">
        <f t="shared" si="4"/>
        <v>2864</v>
      </c>
      <c r="K146" s="70">
        <v>144.0</v>
      </c>
      <c r="L146" s="63"/>
      <c r="N146" s="18"/>
      <c r="O146" s="19"/>
      <c r="Q146" s="18"/>
      <c r="R146" s="19"/>
      <c r="S146" s="18"/>
      <c r="T146" s="19"/>
      <c r="V146" s="12"/>
      <c r="W146" s="12"/>
      <c r="X146" s="12"/>
      <c r="Y146" s="12"/>
      <c r="Z146" s="12"/>
      <c r="AA146" s="12"/>
      <c r="AB146" s="12"/>
    </row>
    <row r="147">
      <c r="A147" s="4" t="s">
        <v>157</v>
      </c>
      <c r="B147" s="2">
        <v>4.610030632698E12</v>
      </c>
      <c r="C147" s="93" t="s">
        <v>227</v>
      </c>
      <c r="D147" s="4" t="s">
        <v>227</v>
      </c>
      <c r="E147" s="4">
        <v>6439.0</v>
      </c>
      <c r="F147" s="24"/>
      <c r="G147" s="24"/>
      <c r="H147" s="4">
        <v>1382.0</v>
      </c>
      <c r="I147" s="65">
        <v>1610.0</v>
      </c>
      <c r="J147" s="15">
        <f t="shared" si="4"/>
        <v>3447</v>
      </c>
      <c r="K147" s="70">
        <v>168.0</v>
      </c>
      <c r="L147" s="63"/>
      <c r="M147" s="11"/>
      <c r="N147" s="18"/>
      <c r="O147" s="19"/>
      <c r="Q147" s="18"/>
      <c r="R147" s="19"/>
      <c r="S147" s="18"/>
      <c r="T147" s="19"/>
      <c r="V147" s="12"/>
      <c r="W147" s="12"/>
      <c r="X147" s="12"/>
      <c r="Y147" s="12"/>
      <c r="Z147" s="12"/>
      <c r="AA147" s="12"/>
      <c r="AB147" s="12"/>
    </row>
    <row r="148">
      <c r="A148" s="4" t="s">
        <v>157</v>
      </c>
      <c r="B148" s="2">
        <v>4.610030633572E12</v>
      </c>
      <c r="C148" s="93" t="s">
        <v>228</v>
      </c>
      <c r="D148" s="4" t="s">
        <v>228</v>
      </c>
      <c r="E148" s="4">
        <v>50648.0</v>
      </c>
      <c r="F148" s="24"/>
      <c r="G148" s="24"/>
      <c r="H148" s="4">
        <v>21745.0</v>
      </c>
      <c r="I148" s="65">
        <v>23734.0</v>
      </c>
      <c r="J148" s="15">
        <f t="shared" si="4"/>
        <v>5169</v>
      </c>
      <c r="K148" s="70">
        <v>144.0</v>
      </c>
      <c r="L148" s="63"/>
      <c r="N148" s="18"/>
      <c r="O148" s="19"/>
      <c r="Q148" s="18"/>
      <c r="R148" s="19"/>
      <c r="S148" s="18"/>
      <c r="T148" s="19"/>
      <c r="V148" s="12"/>
      <c r="W148" s="12"/>
      <c r="X148" s="12"/>
      <c r="Y148" s="12"/>
      <c r="Z148" s="12"/>
      <c r="AA148" s="12"/>
      <c r="AB148" s="12"/>
    </row>
    <row r="149">
      <c r="A149" s="4" t="s">
        <v>157</v>
      </c>
      <c r="B149" s="108">
        <v>4.687489995674E12</v>
      </c>
      <c r="C149" s="38" t="s">
        <v>229</v>
      </c>
      <c r="D149" s="38" t="s">
        <v>229</v>
      </c>
      <c r="E149" s="37">
        <v>1380.0</v>
      </c>
      <c r="F149" s="38"/>
      <c r="G149" s="38"/>
      <c r="H149" s="37">
        <v>680.0</v>
      </c>
      <c r="I149" s="37">
        <v>700.0</v>
      </c>
      <c r="J149" s="15">
        <f t="shared" si="4"/>
        <v>0</v>
      </c>
      <c r="K149" s="38"/>
      <c r="L149" s="38"/>
      <c r="M149" s="11"/>
      <c r="N149" s="18"/>
      <c r="O149" s="19"/>
      <c r="Q149" s="18"/>
      <c r="R149" s="19"/>
      <c r="S149" s="18"/>
      <c r="T149" s="19"/>
      <c r="V149" s="12"/>
      <c r="W149" s="12"/>
      <c r="X149" s="12"/>
      <c r="Y149" s="12"/>
      <c r="Z149" s="12"/>
      <c r="AA149" s="12"/>
      <c r="AB149" s="12"/>
    </row>
    <row r="150">
      <c r="A150" s="4" t="s">
        <v>157</v>
      </c>
      <c r="B150" s="2">
        <v>4.610030632674E12</v>
      </c>
      <c r="C150" s="66" t="s">
        <v>230</v>
      </c>
      <c r="D150" s="69" t="s">
        <v>230</v>
      </c>
      <c r="E150" s="4">
        <v>69611.0</v>
      </c>
      <c r="F150" s="24"/>
      <c r="G150" s="24"/>
      <c r="H150" s="4">
        <v>37954.0</v>
      </c>
      <c r="I150" s="65">
        <v>11792.0</v>
      </c>
      <c r="J150" s="15">
        <f t="shared" si="4"/>
        <v>19865</v>
      </c>
      <c r="K150" s="70">
        <v>126.0</v>
      </c>
      <c r="L150" s="63"/>
      <c r="M150" s="11"/>
      <c r="N150" s="18"/>
      <c r="O150" s="19"/>
      <c r="Q150" s="18"/>
      <c r="R150" s="19"/>
      <c r="S150" s="18"/>
      <c r="T150" s="19"/>
      <c r="V150" s="12"/>
      <c r="W150" s="12"/>
      <c r="X150" s="12"/>
      <c r="Y150" s="12"/>
      <c r="Z150" s="12"/>
      <c r="AA150" s="12"/>
      <c r="AB150" s="12"/>
    </row>
    <row r="151">
      <c r="A151" s="4" t="s">
        <v>157</v>
      </c>
      <c r="B151" s="108">
        <v>4.634454567374E12</v>
      </c>
      <c r="C151" s="38" t="s">
        <v>231</v>
      </c>
      <c r="D151" s="38" t="s">
        <v>231</v>
      </c>
      <c r="E151" s="37">
        <v>5646.0</v>
      </c>
      <c r="F151" s="38"/>
      <c r="G151" s="38"/>
      <c r="H151" s="37">
        <v>4726.0</v>
      </c>
      <c r="I151" s="37">
        <v>920.0</v>
      </c>
      <c r="J151" s="15">
        <f t="shared" si="4"/>
        <v>0</v>
      </c>
      <c r="K151" s="38"/>
      <c r="L151" s="38"/>
      <c r="M151" s="11"/>
      <c r="N151" s="18"/>
      <c r="O151" s="19"/>
      <c r="Q151" s="18"/>
      <c r="R151" s="19"/>
      <c r="S151" s="18"/>
      <c r="T151" s="19"/>
      <c r="V151" s="12"/>
      <c r="W151" s="12"/>
      <c r="X151" s="12"/>
      <c r="Y151" s="12"/>
      <c r="Z151" s="12"/>
      <c r="AA151" s="12"/>
      <c r="AB151" s="12"/>
    </row>
    <row r="152">
      <c r="A152" s="4" t="s">
        <v>157</v>
      </c>
      <c r="B152" s="40">
        <v>4.631159171028E12</v>
      </c>
      <c r="C152" s="66" t="s">
        <v>232</v>
      </c>
      <c r="D152" s="69" t="s">
        <v>233</v>
      </c>
      <c r="E152" s="4">
        <v>72860.0</v>
      </c>
      <c r="F152" s="24"/>
      <c r="G152" s="24"/>
      <c r="H152" s="4">
        <v>35852.0</v>
      </c>
      <c r="I152" s="65">
        <v>34000.0</v>
      </c>
      <c r="J152" s="15">
        <f t="shared" si="4"/>
        <v>3008</v>
      </c>
      <c r="K152" s="70">
        <v>50.0</v>
      </c>
      <c r="L152" s="63"/>
      <c r="M152" s="11"/>
      <c r="N152" s="18"/>
      <c r="O152" s="19"/>
      <c r="Q152" s="18"/>
      <c r="R152" s="19"/>
      <c r="S152" s="18"/>
      <c r="T152" s="19"/>
      <c r="V152" s="12"/>
      <c r="W152" s="12"/>
      <c r="X152" s="12"/>
      <c r="Y152" s="12"/>
      <c r="Z152" s="12"/>
      <c r="AA152" s="12"/>
      <c r="AB152" s="12"/>
    </row>
    <row r="153">
      <c r="A153" s="4" t="s">
        <v>157</v>
      </c>
      <c r="B153" s="40">
        <v>2.038301460351E12</v>
      </c>
      <c r="C153" s="117" t="s">
        <v>234</v>
      </c>
      <c r="D153" s="24" t="s">
        <v>234</v>
      </c>
      <c r="E153" s="4">
        <v>7160.0</v>
      </c>
      <c r="F153" s="24"/>
      <c r="G153" s="24"/>
      <c r="H153" s="4">
        <v>3450.0</v>
      </c>
      <c r="I153" s="65">
        <v>3710.0</v>
      </c>
      <c r="J153" s="15">
        <f t="shared" si="4"/>
        <v>0</v>
      </c>
      <c r="K153" s="2">
        <v>50.0</v>
      </c>
      <c r="L153" s="24"/>
      <c r="N153" s="18"/>
      <c r="O153" s="19"/>
      <c r="Q153" s="18"/>
      <c r="R153" s="19"/>
      <c r="S153" s="18"/>
      <c r="T153" s="19"/>
      <c r="V153" s="12"/>
      <c r="W153" s="12"/>
      <c r="X153" s="12"/>
      <c r="Y153" s="12"/>
      <c r="Z153" s="12"/>
      <c r="AA153" s="12"/>
      <c r="AB153" s="12"/>
    </row>
    <row r="154">
      <c r="A154" s="4" t="s">
        <v>157</v>
      </c>
      <c r="B154" s="40">
        <v>2.038301462911E12</v>
      </c>
      <c r="C154" s="117" t="s">
        <v>235</v>
      </c>
      <c r="D154" s="24" t="s">
        <v>235</v>
      </c>
      <c r="E154" s="4">
        <v>15394.0</v>
      </c>
      <c r="F154" s="24"/>
      <c r="G154" s="24"/>
      <c r="H154" s="4">
        <v>8034.0</v>
      </c>
      <c r="I154" s="65">
        <v>7360.0</v>
      </c>
      <c r="J154" s="15">
        <f t="shared" si="4"/>
        <v>0</v>
      </c>
      <c r="K154" s="2">
        <v>50.0</v>
      </c>
      <c r="L154" s="24"/>
      <c r="M154" s="11"/>
      <c r="N154" s="18"/>
      <c r="O154" s="19"/>
      <c r="Q154" s="18"/>
      <c r="R154" s="19"/>
      <c r="S154" s="18"/>
      <c r="T154" s="19"/>
      <c r="V154" s="12"/>
      <c r="W154" s="12"/>
      <c r="X154" s="12"/>
      <c r="Y154" s="12"/>
      <c r="Z154" s="12"/>
      <c r="AA154" s="12"/>
      <c r="AB154" s="12"/>
    </row>
    <row r="155">
      <c r="A155" s="4" t="s">
        <v>157</v>
      </c>
      <c r="B155" s="21">
        <v>4.631136905189E12</v>
      </c>
      <c r="C155" s="57" t="s">
        <v>236</v>
      </c>
      <c r="D155" s="57" t="s">
        <v>236</v>
      </c>
      <c r="E155" s="93">
        <v>105140.0</v>
      </c>
      <c r="F155" s="117"/>
      <c r="G155" s="117"/>
      <c r="H155" s="93">
        <v>35706.0</v>
      </c>
      <c r="I155" s="64">
        <v>57776.0</v>
      </c>
      <c r="J155" s="118">
        <f t="shared" si="4"/>
        <v>11658</v>
      </c>
      <c r="K155" s="70" t="s">
        <v>237</v>
      </c>
      <c r="L155" s="24"/>
      <c r="M155" s="11"/>
      <c r="N155" s="18"/>
      <c r="O155" s="19"/>
      <c r="Q155" s="18"/>
      <c r="R155" s="19"/>
      <c r="S155" s="18"/>
      <c r="T155" s="19"/>
      <c r="V155" s="12"/>
      <c r="W155" s="12"/>
      <c r="X155" s="12"/>
      <c r="Y155" s="12"/>
      <c r="Z155" s="12"/>
      <c r="AA155" s="12"/>
      <c r="AB155" s="12"/>
    </row>
    <row r="156">
      <c r="A156" s="4" t="s">
        <v>157</v>
      </c>
      <c r="B156" s="50">
        <v>4.683765887831E12</v>
      </c>
      <c r="C156" s="38" t="s">
        <v>238</v>
      </c>
      <c r="D156" s="38" t="s">
        <v>238</v>
      </c>
      <c r="E156" s="37">
        <v>5220.0</v>
      </c>
      <c r="F156" s="38"/>
      <c r="G156" s="38"/>
      <c r="H156" s="37">
        <v>1520.0</v>
      </c>
      <c r="I156" s="37">
        <v>3700.0</v>
      </c>
      <c r="J156" s="118">
        <f t="shared" si="4"/>
        <v>0</v>
      </c>
      <c r="K156" s="38"/>
      <c r="L156" s="38"/>
      <c r="M156" s="11"/>
      <c r="N156" s="18"/>
      <c r="O156" s="19"/>
      <c r="Q156" s="18"/>
      <c r="R156" s="19"/>
      <c r="S156" s="18"/>
      <c r="T156" s="19"/>
      <c r="V156" s="12"/>
      <c r="W156" s="12"/>
      <c r="X156" s="12"/>
      <c r="Y156" s="12"/>
      <c r="Z156" s="12"/>
      <c r="AA156" s="12"/>
      <c r="AB156" s="12"/>
    </row>
    <row r="157">
      <c r="A157" s="4" t="s">
        <v>157</v>
      </c>
      <c r="B157" s="2">
        <v>4.610030632667E12</v>
      </c>
      <c r="C157" s="30" t="s">
        <v>239</v>
      </c>
      <c r="D157" s="3" t="s">
        <v>239</v>
      </c>
      <c r="E157" s="4">
        <v>38516.0</v>
      </c>
      <c r="F157" s="24"/>
      <c r="G157" s="24"/>
      <c r="H157" s="4">
        <v>17675.0</v>
      </c>
      <c r="I157" s="4">
        <v>18852.0</v>
      </c>
      <c r="J157" s="15">
        <f t="shared" si="4"/>
        <v>1989</v>
      </c>
      <c r="K157" s="70">
        <v>126.0</v>
      </c>
      <c r="L157" s="24"/>
      <c r="M157" s="11"/>
      <c r="N157" s="18"/>
      <c r="O157" s="19"/>
      <c r="S157" s="12"/>
      <c r="V157" s="12"/>
      <c r="W157" s="12"/>
      <c r="X157" s="12"/>
      <c r="Y157" s="12"/>
      <c r="Z157" s="12"/>
      <c r="AA157" s="12"/>
      <c r="AB157" s="12"/>
    </row>
    <row r="158">
      <c r="A158" s="4" t="s">
        <v>157</v>
      </c>
      <c r="B158" s="21">
        <v>4.610030631462E12</v>
      </c>
      <c r="C158" s="60" t="s">
        <v>240</v>
      </c>
      <c r="D158" s="60" t="s">
        <v>240</v>
      </c>
      <c r="E158" s="4">
        <v>20229.0</v>
      </c>
      <c r="F158" s="24"/>
      <c r="G158" s="24"/>
      <c r="H158" s="4">
        <v>6848.0</v>
      </c>
      <c r="I158" s="65">
        <v>10678.0</v>
      </c>
      <c r="J158" s="15">
        <f t="shared" si="4"/>
        <v>2703</v>
      </c>
      <c r="K158" s="70">
        <v>126.0</v>
      </c>
      <c r="L158" s="24"/>
      <c r="M158" s="11"/>
      <c r="N158" s="18"/>
      <c r="O158" s="19"/>
      <c r="S158" s="53"/>
      <c r="V158" s="53"/>
      <c r="W158" s="53"/>
      <c r="X158" s="53"/>
      <c r="Y158" s="53"/>
      <c r="Z158" s="53"/>
      <c r="AA158" s="53"/>
      <c r="AB158" s="53"/>
    </row>
    <row r="159">
      <c r="A159" s="4" t="s">
        <v>157</v>
      </c>
      <c r="B159" s="2">
        <v>4.629945399213E12</v>
      </c>
      <c r="C159" s="66" t="s">
        <v>241</v>
      </c>
      <c r="D159" s="69" t="s">
        <v>241</v>
      </c>
      <c r="E159" s="4">
        <v>54358.0</v>
      </c>
      <c r="F159" s="24"/>
      <c r="G159" s="4"/>
      <c r="H159" s="4">
        <v>22100.0</v>
      </c>
      <c r="I159" s="4">
        <v>24666.0</v>
      </c>
      <c r="J159" s="15">
        <f t="shared" si="4"/>
        <v>7592</v>
      </c>
      <c r="K159" s="2">
        <v>144.0</v>
      </c>
      <c r="L159" s="24"/>
      <c r="M159" s="11"/>
      <c r="N159" s="18"/>
      <c r="O159" s="19"/>
      <c r="S159" s="12"/>
      <c r="V159" s="12"/>
      <c r="W159" s="12"/>
      <c r="X159" s="12"/>
      <c r="Y159" s="12"/>
      <c r="Z159" s="12"/>
      <c r="AA159" s="12"/>
      <c r="AB159" s="12"/>
    </row>
    <row r="160">
      <c r="A160" s="4" t="s">
        <v>157</v>
      </c>
      <c r="B160" s="2">
        <v>4.603320465267E12</v>
      </c>
      <c r="C160" s="30" t="s">
        <v>242</v>
      </c>
      <c r="D160" s="3" t="s">
        <v>242</v>
      </c>
      <c r="E160" s="4">
        <v>8735.0</v>
      </c>
      <c r="F160" s="24"/>
      <c r="G160" s="24"/>
      <c r="H160" s="4">
        <v>3374.0</v>
      </c>
      <c r="I160" s="65">
        <v>2300.0</v>
      </c>
      <c r="J160" s="15">
        <f t="shared" si="4"/>
        <v>3061</v>
      </c>
      <c r="K160" s="70">
        <v>20.0</v>
      </c>
      <c r="L160" s="24"/>
      <c r="M160" s="11"/>
      <c r="N160" s="18"/>
      <c r="O160" s="19"/>
      <c r="S160" s="12"/>
      <c r="V160" s="12"/>
      <c r="W160" s="12"/>
      <c r="X160" s="12"/>
      <c r="Y160" s="12"/>
      <c r="Z160" s="12"/>
      <c r="AA160" s="12"/>
      <c r="AB160" s="12"/>
    </row>
    <row r="161">
      <c r="A161" s="4" t="s">
        <v>157</v>
      </c>
      <c r="B161" s="21">
        <v>4.631158757957E12</v>
      </c>
      <c r="C161" s="3" t="s">
        <v>243</v>
      </c>
      <c r="D161" s="3" t="s">
        <v>243</v>
      </c>
      <c r="E161" s="4">
        <v>12987.0</v>
      </c>
      <c r="F161" s="24"/>
      <c r="G161" s="24"/>
      <c r="H161" s="4">
        <v>5444.0</v>
      </c>
      <c r="I161" s="65">
        <v>4871.0</v>
      </c>
      <c r="J161" s="15">
        <f t="shared" si="4"/>
        <v>2672</v>
      </c>
      <c r="K161" s="70">
        <v>81.0</v>
      </c>
      <c r="L161" s="24"/>
      <c r="M161" s="11"/>
      <c r="N161" s="18"/>
      <c r="O161" s="19"/>
      <c r="S161" s="12"/>
      <c r="V161" s="12"/>
      <c r="W161" s="12"/>
      <c r="X161" s="12"/>
      <c r="Y161" s="12"/>
      <c r="Z161" s="12"/>
      <c r="AA161" s="12"/>
      <c r="AB161" s="12"/>
    </row>
    <row r="162">
      <c r="A162" s="4" t="s">
        <v>157</v>
      </c>
      <c r="B162" s="21">
        <v>4.660417421087E12</v>
      </c>
      <c r="C162" s="30" t="s">
        <v>244</v>
      </c>
      <c r="D162" s="3" t="s">
        <v>244</v>
      </c>
      <c r="E162" s="4">
        <v>10303.0</v>
      </c>
      <c r="F162" s="24"/>
      <c r="G162" s="24"/>
      <c r="H162" s="4">
        <v>4183.0</v>
      </c>
      <c r="I162" s="65">
        <v>4443.0</v>
      </c>
      <c r="J162" s="15">
        <f t="shared" si="4"/>
        <v>1677</v>
      </c>
      <c r="K162" s="70"/>
      <c r="L162" s="24"/>
      <c r="M162" s="11"/>
      <c r="N162" s="18"/>
      <c r="O162" s="19"/>
      <c r="S162" s="12"/>
      <c r="V162" s="12"/>
      <c r="W162" s="12"/>
      <c r="X162" s="12"/>
      <c r="Y162" s="12"/>
      <c r="Z162" s="12"/>
      <c r="AA162" s="12"/>
      <c r="AB162" s="12"/>
    </row>
    <row r="163">
      <c r="A163" s="4" t="s">
        <v>157</v>
      </c>
      <c r="B163" s="21">
        <v>4.660417421216E12</v>
      </c>
      <c r="C163" s="68" t="s">
        <v>245</v>
      </c>
      <c r="D163" s="66" t="s">
        <v>245</v>
      </c>
      <c r="E163" s="93">
        <v>19974.0</v>
      </c>
      <c r="F163" s="117"/>
      <c r="G163" s="117"/>
      <c r="H163" s="93">
        <v>9630.0</v>
      </c>
      <c r="I163" s="64">
        <v>9410.0</v>
      </c>
      <c r="J163" s="118">
        <f t="shared" si="4"/>
        <v>934</v>
      </c>
      <c r="K163" s="70">
        <v>128.0</v>
      </c>
      <c r="L163" s="24"/>
      <c r="N163" s="18"/>
      <c r="O163" s="19"/>
      <c r="S163" s="12"/>
      <c r="V163" s="12"/>
      <c r="W163" s="12"/>
      <c r="X163" s="12"/>
      <c r="Y163" s="12"/>
      <c r="Z163" s="12"/>
      <c r="AA163" s="12"/>
      <c r="AB163" s="12"/>
    </row>
    <row r="164">
      <c r="A164" s="4" t="s">
        <v>157</v>
      </c>
      <c r="B164" s="83">
        <v>4.627144543031E12</v>
      </c>
      <c r="C164" s="158" t="s">
        <v>246</v>
      </c>
      <c r="D164" s="158" t="s">
        <v>246</v>
      </c>
      <c r="E164" s="4">
        <v>9179.0</v>
      </c>
      <c r="F164" s="24"/>
      <c r="G164" s="24"/>
      <c r="H164" s="4">
        <v>2054.0</v>
      </c>
      <c r="I164" s="65">
        <v>2990.0</v>
      </c>
      <c r="J164" s="118">
        <f t="shared" si="4"/>
        <v>4135</v>
      </c>
      <c r="K164" s="159"/>
      <c r="L164" s="24"/>
      <c r="N164" s="18"/>
      <c r="O164" s="19"/>
      <c r="S164" s="12"/>
      <c r="V164" s="12"/>
      <c r="W164" s="12"/>
      <c r="X164" s="12"/>
      <c r="Y164" s="12"/>
      <c r="Z164" s="12"/>
      <c r="AA164" s="12"/>
      <c r="AB164" s="12"/>
    </row>
    <row r="165">
      <c r="A165" s="4" t="s">
        <v>157</v>
      </c>
      <c r="B165" s="21">
        <v>4.660417421407E12</v>
      </c>
      <c r="C165" s="91" t="s">
        <v>247</v>
      </c>
      <c r="D165" s="158" t="s">
        <v>247</v>
      </c>
      <c r="E165" s="4">
        <v>3976.0</v>
      </c>
      <c r="F165" s="24"/>
      <c r="G165" s="24"/>
      <c r="H165" s="4">
        <v>2175.0</v>
      </c>
      <c r="I165" s="65">
        <v>1300.0</v>
      </c>
      <c r="J165" s="15">
        <f t="shared" si="4"/>
        <v>501</v>
      </c>
      <c r="K165" s="159"/>
      <c r="L165" s="24"/>
      <c r="M165" s="11"/>
      <c r="N165" s="18"/>
      <c r="O165" s="19"/>
      <c r="P165" s="12"/>
      <c r="S165" s="12"/>
      <c r="V165" s="12"/>
      <c r="W165" s="12"/>
      <c r="X165" s="12"/>
      <c r="Y165" s="12"/>
      <c r="Z165" s="12"/>
      <c r="AA165" s="12"/>
      <c r="AB165" s="12"/>
    </row>
    <row r="166">
      <c r="A166" s="4" t="s">
        <v>157</v>
      </c>
      <c r="B166" s="40">
        <v>2.038611205284E12</v>
      </c>
      <c r="C166" s="69" t="s">
        <v>248</v>
      </c>
      <c r="D166" s="69" t="s">
        <v>248</v>
      </c>
      <c r="E166" s="4">
        <v>1180.0</v>
      </c>
      <c r="F166" s="24"/>
      <c r="G166" s="24"/>
      <c r="H166" s="4">
        <v>450.0</v>
      </c>
      <c r="I166" s="65">
        <v>730.0</v>
      </c>
      <c r="J166" s="15">
        <f t="shared" si="4"/>
        <v>0</v>
      </c>
      <c r="K166" s="32"/>
      <c r="L166" s="24"/>
      <c r="M166" s="11"/>
      <c r="N166" s="18"/>
      <c r="O166" s="19"/>
      <c r="P166" s="12"/>
      <c r="S166" s="12"/>
      <c r="V166" s="12"/>
      <c r="W166" s="12"/>
      <c r="X166" s="12"/>
      <c r="Y166" s="12"/>
      <c r="Z166" s="12"/>
      <c r="AA166" s="12"/>
      <c r="AB166" s="12"/>
    </row>
    <row r="167">
      <c r="A167" s="4" t="s">
        <v>157</v>
      </c>
      <c r="B167" s="21">
        <v>4.631146952975E12</v>
      </c>
      <c r="C167" s="160" t="s">
        <v>249</v>
      </c>
      <c r="D167" s="69" t="s">
        <v>250</v>
      </c>
      <c r="E167" s="4">
        <v>2378.0</v>
      </c>
      <c r="F167" s="24"/>
      <c r="G167" s="24"/>
      <c r="H167" s="4">
        <v>1998.0</v>
      </c>
      <c r="I167" s="65">
        <v>380.0</v>
      </c>
      <c r="J167" s="15">
        <f t="shared" si="4"/>
        <v>0</v>
      </c>
      <c r="K167" s="154"/>
      <c r="L167" s="24"/>
      <c r="M167" s="11"/>
      <c r="N167" s="18"/>
      <c r="O167" s="19"/>
      <c r="P167" s="12"/>
      <c r="S167" s="12"/>
      <c r="V167" s="12"/>
      <c r="W167" s="12"/>
      <c r="X167" s="12"/>
      <c r="Y167" s="12"/>
      <c r="Z167" s="12"/>
      <c r="AA167" s="12"/>
      <c r="AB167" s="12"/>
    </row>
    <row r="168">
      <c r="A168" s="4" t="s">
        <v>157</v>
      </c>
      <c r="B168" s="21">
        <v>4.631144673049E12</v>
      </c>
      <c r="C168" s="151" t="s">
        <v>251</v>
      </c>
      <c r="D168" s="69" t="s">
        <v>251</v>
      </c>
      <c r="E168" s="4">
        <v>5507.0</v>
      </c>
      <c r="F168" s="24"/>
      <c r="G168" s="24"/>
      <c r="H168" s="4">
        <v>2664.0</v>
      </c>
      <c r="I168" s="4">
        <v>2744.0</v>
      </c>
      <c r="J168" s="15">
        <f t="shared" si="4"/>
        <v>99</v>
      </c>
      <c r="K168" s="70">
        <v>100.0</v>
      </c>
      <c r="L168" s="24"/>
      <c r="M168" s="11"/>
      <c r="N168" s="18"/>
      <c r="O168" s="19"/>
      <c r="P168" s="12"/>
      <c r="S168" s="12"/>
      <c r="V168" s="12"/>
      <c r="W168" s="12"/>
      <c r="X168" s="12"/>
      <c r="Y168" s="12"/>
      <c r="Z168" s="12"/>
      <c r="AA168" s="12"/>
      <c r="AB168" s="12"/>
    </row>
    <row r="169">
      <c r="A169" s="4" t="s">
        <v>157</v>
      </c>
      <c r="B169" s="21">
        <v>4.660417421582E12</v>
      </c>
      <c r="C169" s="66" t="s">
        <v>252</v>
      </c>
      <c r="D169" s="69" t="s">
        <v>252</v>
      </c>
      <c r="E169" s="4">
        <v>305718.0</v>
      </c>
      <c r="F169" s="24"/>
      <c r="G169" s="4"/>
      <c r="H169" s="4">
        <v>42512.0</v>
      </c>
      <c r="I169" s="4">
        <v>230471.0</v>
      </c>
      <c r="J169" s="15">
        <f t="shared" si="4"/>
        <v>32735</v>
      </c>
      <c r="K169" s="2" t="s">
        <v>253</v>
      </c>
      <c r="L169" s="24"/>
      <c r="M169" s="11"/>
      <c r="N169" s="18"/>
      <c r="O169" s="19"/>
      <c r="P169" s="12"/>
      <c r="S169" s="12"/>
      <c r="V169" s="12"/>
      <c r="W169" s="12"/>
      <c r="X169" s="12"/>
      <c r="Y169" s="12"/>
      <c r="Z169" s="12"/>
      <c r="AA169" s="12"/>
      <c r="AB169" s="12"/>
    </row>
    <row r="170">
      <c r="A170" s="4" t="s">
        <v>157</v>
      </c>
      <c r="B170" s="21">
        <v>4.63115187855E12</v>
      </c>
      <c r="C170" s="150" t="s">
        <v>254</v>
      </c>
      <c r="D170" s="69" t="s">
        <v>255</v>
      </c>
      <c r="E170" s="4">
        <v>24014.0</v>
      </c>
      <c r="F170" s="24"/>
      <c r="G170" s="24"/>
      <c r="H170" s="4">
        <v>8366.0</v>
      </c>
      <c r="I170" s="4">
        <v>13464.0</v>
      </c>
      <c r="J170" s="15">
        <f t="shared" si="4"/>
        <v>2184</v>
      </c>
      <c r="K170" s="2">
        <v>352.0</v>
      </c>
      <c r="L170" s="24"/>
      <c r="M170" s="11"/>
      <c r="N170" s="18"/>
      <c r="O170" s="19"/>
      <c r="P170" s="12"/>
      <c r="Q170" s="12"/>
      <c r="R170" s="12"/>
      <c r="S170" s="12"/>
      <c r="V170" s="12"/>
      <c r="W170" s="12"/>
      <c r="X170" s="12"/>
      <c r="Y170" s="12"/>
      <c r="Z170" s="12"/>
      <c r="AA170" s="12"/>
      <c r="AB170" s="12"/>
    </row>
    <row r="171">
      <c r="A171" s="4" t="s">
        <v>157</v>
      </c>
      <c r="B171" s="21">
        <v>2.042608328689E12</v>
      </c>
      <c r="C171" s="152" t="s">
        <v>256</v>
      </c>
      <c r="D171" s="126" t="s">
        <v>256</v>
      </c>
      <c r="E171" s="4">
        <v>3017.0</v>
      </c>
      <c r="F171" s="24"/>
      <c r="G171" s="24"/>
      <c r="H171" s="4">
        <v>1317.0</v>
      </c>
      <c r="I171" s="4">
        <v>1700.0</v>
      </c>
      <c r="J171" s="15">
        <f t="shared" si="4"/>
        <v>0</v>
      </c>
      <c r="K171" s="2"/>
      <c r="L171" s="24"/>
      <c r="M171" s="11"/>
      <c r="N171" s="18"/>
      <c r="O171" s="19"/>
      <c r="P171" s="12"/>
      <c r="Q171" s="12"/>
      <c r="R171" s="12"/>
      <c r="S171" s="12"/>
      <c r="V171" s="12"/>
      <c r="W171" s="12"/>
      <c r="X171" s="12"/>
      <c r="Y171" s="12"/>
      <c r="Z171" s="12"/>
      <c r="AA171" s="12"/>
      <c r="AB171" s="12"/>
    </row>
    <row r="172">
      <c r="A172" s="4" t="s">
        <v>157</v>
      </c>
      <c r="B172" s="161">
        <v>4.607025203162E12</v>
      </c>
      <c r="C172" s="160" t="s">
        <v>257</v>
      </c>
      <c r="D172" s="66" t="s">
        <v>257</v>
      </c>
      <c r="E172" s="93">
        <v>2016.0</v>
      </c>
      <c r="F172" s="117"/>
      <c r="G172" s="117"/>
      <c r="H172" s="93">
        <v>1806.0</v>
      </c>
      <c r="I172" s="93">
        <v>210.0</v>
      </c>
      <c r="J172" s="118">
        <f t="shared" si="4"/>
        <v>0</v>
      </c>
      <c r="K172" s="70">
        <v>42.0</v>
      </c>
      <c r="L172" s="24"/>
      <c r="M172" s="11"/>
      <c r="N172" s="18"/>
      <c r="O172" s="19"/>
      <c r="P172" s="12"/>
      <c r="Q172" s="12"/>
      <c r="R172" s="12"/>
      <c r="S172" s="12"/>
      <c r="V172" s="12"/>
      <c r="W172" s="12"/>
      <c r="X172" s="12"/>
      <c r="Y172" s="12"/>
      <c r="Z172" s="12"/>
      <c r="AA172" s="12"/>
      <c r="AB172" s="12"/>
    </row>
    <row r="173">
      <c r="A173" s="4" t="s">
        <v>157</v>
      </c>
      <c r="B173" s="21">
        <v>4.640012268409E12</v>
      </c>
      <c r="C173" s="66" t="s">
        <v>258</v>
      </c>
      <c r="D173" s="69" t="s">
        <v>259</v>
      </c>
      <c r="E173" s="4">
        <v>13071.0</v>
      </c>
      <c r="F173" s="24"/>
      <c r="G173" s="24"/>
      <c r="H173" s="4">
        <v>2305.0</v>
      </c>
      <c r="I173" s="4">
        <v>7680.0</v>
      </c>
      <c r="J173" s="15">
        <f t="shared" si="4"/>
        <v>3086</v>
      </c>
      <c r="K173" s="70">
        <v>120.0</v>
      </c>
      <c r="L173" s="24"/>
      <c r="N173" s="18"/>
      <c r="O173" s="19"/>
      <c r="P173" s="12"/>
      <c r="Q173" s="12"/>
      <c r="R173" s="12"/>
      <c r="S173" s="12"/>
      <c r="V173" s="12"/>
      <c r="W173" s="12"/>
      <c r="X173" s="12"/>
      <c r="Y173" s="12"/>
      <c r="Z173" s="12"/>
      <c r="AA173" s="12"/>
      <c r="AB173" s="12"/>
    </row>
    <row r="174">
      <c r="A174" s="4" t="s">
        <v>157</v>
      </c>
      <c r="B174" s="50">
        <v>2.042608334598E12</v>
      </c>
      <c r="C174" s="37" t="s">
        <v>260</v>
      </c>
      <c r="D174" s="37" t="s">
        <v>260</v>
      </c>
      <c r="E174" s="4">
        <v>780.0</v>
      </c>
      <c r="F174" s="24"/>
      <c r="G174" s="24"/>
      <c r="H174" s="4"/>
      <c r="I174" s="4">
        <v>780.0</v>
      </c>
      <c r="J174" s="15">
        <f t="shared" si="4"/>
        <v>0</v>
      </c>
      <c r="K174" s="70"/>
      <c r="L174" s="24"/>
      <c r="M174" s="11"/>
      <c r="N174" s="18"/>
      <c r="O174" s="19"/>
      <c r="P174" s="12"/>
      <c r="Q174" s="12"/>
      <c r="R174" s="12"/>
      <c r="S174" s="12"/>
      <c r="V174" s="12"/>
      <c r="W174" s="12"/>
      <c r="X174" s="12"/>
      <c r="Y174" s="12"/>
      <c r="Z174" s="12"/>
      <c r="AA174" s="12"/>
      <c r="AB174" s="12"/>
    </row>
    <row r="175">
      <c r="A175" s="4" t="s">
        <v>157</v>
      </c>
      <c r="B175" s="21">
        <v>4.600867365678E12</v>
      </c>
      <c r="C175" s="66" t="s">
        <v>261</v>
      </c>
      <c r="D175" s="69" t="s">
        <v>261</v>
      </c>
      <c r="E175" s="4">
        <v>25109.0</v>
      </c>
      <c r="F175" s="24"/>
      <c r="G175" s="24"/>
      <c r="H175" s="4">
        <v>4228.0</v>
      </c>
      <c r="I175" s="4">
        <v>9976.0</v>
      </c>
      <c r="J175" s="15">
        <f t="shared" si="4"/>
        <v>10905</v>
      </c>
      <c r="K175" s="70">
        <v>348.0</v>
      </c>
      <c r="L175" s="24"/>
      <c r="M175" s="11"/>
      <c r="N175" s="18"/>
      <c r="O175" s="19"/>
      <c r="P175" s="12"/>
      <c r="Q175" s="12"/>
      <c r="R175" s="12"/>
      <c r="S175" s="12"/>
      <c r="V175" s="12"/>
      <c r="W175" s="12"/>
      <c r="X175" s="12"/>
      <c r="Y175" s="12"/>
      <c r="Z175" s="12"/>
      <c r="AA175" s="12"/>
      <c r="AB175" s="12"/>
    </row>
    <row r="176">
      <c r="A176" s="4" t="s">
        <v>157</v>
      </c>
      <c r="B176" s="162">
        <v>4.63114467307E12</v>
      </c>
      <c r="C176" s="163" t="s">
        <v>262</v>
      </c>
      <c r="D176" s="164" t="s">
        <v>262</v>
      </c>
      <c r="E176" s="139">
        <v>15319.0</v>
      </c>
      <c r="F176" s="140"/>
      <c r="G176" s="140"/>
      <c r="H176" s="139">
        <v>10153.0</v>
      </c>
      <c r="I176" s="139">
        <v>2000.0</v>
      </c>
      <c r="J176" s="143">
        <f t="shared" si="4"/>
        <v>3166</v>
      </c>
      <c r="K176" s="165">
        <v>100.0</v>
      </c>
      <c r="L176" s="140"/>
      <c r="M176" s="11"/>
      <c r="N176" s="18"/>
      <c r="O176" s="19"/>
      <c r="P176" s="12"/>
      <c r="Q176" s="12"/>
      <c r="R176" s="12"/>
      <c r="S176" s="12"/>
      <c r="V176" s="12"/>
      <c r="W176" s="12"/>
      <c r="X176" s="12"/>
      <c r="Y176" s="12"/>
      <c r="Z176" s="12"/>
      <c r="AA176" s="12"/>
      <c r="AB176" s="12"/>
    </row>
    <row r="177">
      <c r="A177" s="144" t="s">
        <v>157</v>
      </c>
      <c r="B177" s="21">
        <v>4.609555389125E12</v>
      </c>
      <c r="C177" s="69" t="s">
        <v>263</v>
      </c>
      <c r="D177" s="69" t="s">
        <v>263</v>
      </c>
      <c r="E177" s="4">
        <v>16499.0</v>
      </c>
      <c r="F177" s="24"/>
      <c r="G177" s="24"/>
      <c r="H177" s="4">
        <v>6340.0</v>
      </c>
      <c r="I177" s="4">
        <v>4796.0</v>
      </c>
      <c r="J177" s="15">
        <f t="shared" si="4"/>
        <v>5363</v>
      </c>
      <c r="K177" s="70">
        <v>494.0</v>
      </c>
      <c r="L177" s="24"/>
      <c r="M177" s="11"/>
      <c r="N177" s="18"/>
      <c r="O177" s="19"/>
      <c r="P177" s="12"/>
      <c r="Q177" s="12"/>
      <c r="R177" s="12"/>
      <c r="S177" s="12"/>
      <c r="V177" s="12"/>
      <c r="W177" s="12"/>
      <c r="X177" s="12"/>
      <c r="Y177" s="12"/>
      <c r="Z177" s="12"/>
      <c r="AA177" s="12"/>
      <c r="AB177" s="12"/>
    </row>
    <row r="178">
      <c r="A178" s="4" t="s">
        <v>157</v>
      </c>
      <c r="B178" s="2">
        <v>4.698878338125E12</v>
      </c>
      <c r="C178" s="4" t="s">
        <v>264</v>
      </c>
      <c r="D178" s="4" t="s">
        <v>264</v>
      </c>
      <c r="E178" s="4">
        <v>4995.0</v>
      </c>
      <c r="F178" s="4">
        <v>28.0</v>
      </c>
      <c r="G178" s="24"/>
      <c r="H178" s="4">
        <v>2774.0</v>
      </c>
      <c r="I178" s="4">
        <v>1520.0</v>
      </c>
      <c r="J178" s="15">
        <f t="shared" si="4"/>
        <v>673</v>
      </c>
      <c r="K178" s="2">
        <v>60.0</v>
      </c>
      <c r="L178" s="24"/>
      <c r="M178" s="49"/>
      <c r="N178" s="18"/>
      <c r="O178" s="19"/>
      <c r="P178" s="12"/>
      <c r="Q178" s="12"/>
      <c r="R178" s="12"/>
      <c r="S178" s="12"/>
      <c r="V178" s="12"/>
      <c r="W178" s="12"/>
      <c r="X178" s="12"/>
      <c r="Y178" s="12"/>
      <c r="Z178" s="12"/>
      <c r="AA178" s="12"/>
      <c r="AB178" s="12"/>
    </row>
    <row r="179">
      <c r="A179" s="4" t="s">
        <v>157</v>
      </c>
      <c r="B179" s="105">
        <v>4.646784974555E12</v>
      </c>
      <c r="C179" s="166" t="s">
        <v>265</v>
      </c>
      <c r="D179" s="166" t="s">
        <v>265</v>
      </c>
      <c r="E179" s="4">
        <v>1131.0</v>
      </c>
      <c r="F179" s="24"/>
      <c r="G179" s="24"/>
      <c r="H179" s="4">
        <v>581.0</v>
      </c>
      <c r="I179" s="4">
        <v>550.0</v>
      </c>
      <c r="J179" s="15">
        <f t="shared" si="4"/>
        <v>0</v>
      </c>
      <c r="K179" s="32"/>
      <c r="L179" s="24"/>
      <c r="M179" s="11"/>
      <c r="N179" s="18"/>
      <c r="O179" s="19"/>
      <c r="P179" s="53"/>
      <c r="Q179" s="53"/>
      <c r="R179" s="53"/>
      <c r="S179" s="53"/>
      <c r="V179" s="53"/>
      <c r="W179" s="53"/>
      <c r="X179" s="53"/>
      <c r="Y179" s="53"/>
      <c r="Z179" s="53"/>
      <c r="AA179" s="53"/>
      <c r="AB179" s="53"/>
    </row>
    <row r="180">
      <c r="A180" s="4" t="s">
        <v>157</v>
      </c>
      <c r="B180" s="21">
        <v>4.670142965244E12</v>
      </c>
      <c r="C180" s="158" t="s">
        <v>266</v>
      </c>
      <c r="D180" s="158" t="s">
        <v>266</v>
      </c>
      <c r="E180" s="4">
        <v>8687.0</v>
      </c>
      <c r="F180" s="24"/>
      <c r="G180" s="24"/>
      <c r="H180" s="4">
        <v>4924.0</v>
      </c>
      <c r="I180" s="4">
        <v>2218.0</v>
      </c>
      <c r="J180" s="15">
        <f t="shared" si="4"/>
        <v>1545</v>
      </c>
      <c r="K180" s="2">
        <v>112.0</v>
      </c>
      <c r="L180" s="24"/>
      <c r="N180" s="18"/>
      <c r="O180" s="19"/>
      <c r="P180" s="12"/>
      <c r="Q180" s="12"/>
      <c r="R180" s="12"/>
      <c r="S180" s="12"/>
      <c r="V180" s="12"/>
      <c r="W180" s="12"/>
      <c r="X180" s="12"/>
      <c r="Y180" s="12"/>
      <c r="Z180" s="12"/>
      <c r="AA180" s="12"/>
      <c r="AB180" s="12"/>
    </row>
    <row r="181">
      <c r="A181" s="4" t="s">
        <v>157</v>
      </c>
      <c r="B181" s="2">
        <v>4.630084864616E12</v>
      </c>
      <c r="C181" s="93" t="s">
        <v>267</v>
      </c>
      <c r="D181" s="4" t="s">
        <v>267</v>
      </c>
      <c r="E181" s="4">
        <v>2126.0</v>
      </c>
      <c r="F181" s="24"/>
      <c r="G181" s="24"/>
      <c r="H181" s="4">
        <v>140.0</v>
      </c>
      <c r="I181" s="4">
        <v>1986.0</v>
      </c>
      <c r="J181" s="15">
        <f t="shared" si="4"/>
        <v>0</v>
      </c>
      <c r="K181" s="2">
        <v>12.0</v>
      </c>
      <c r="L181" s="24"/>
      <c r="M181" s="11"/>
      <c r="N181" s="18"/>
      <c r="O181" s="19"/>
      <c r="P181" s="12"/>
      <c r="Q181" s="12"/>
      <c r="R181" s="12"/>
      <c r="S181" s="12"/>
      <c r="V181" s="12"/>
      <c r="W181" s="12"/>
      <c r="X181" s="12"/>
      <c r="Y181" s="12"/>
      <c r="Z181" s="12"/>
      <c r="AA181" s="12"/>
      <c r="AB181" s="12"/>
    </row>
    <row r="182">
      <c r="A182" s="4" t="s">
        <v>157</v>
      </c>
      <c r="B182" s="105">
        <v>4.656784976558E12</v>
      </c>
      <c r="C182" s="166" t="s">
        <v>268</v>
      </c>
      <c r="D182" s="166" t="s">
        <v>268</v>
      </c>
      <c r="E182" s="37">
        <v>575.0</v>
      </c>
      <c r="F182" s="38"/>
      <c r="G182" s="38"/>
      <c r="H182" s="4">
        <v>575.0</v>
      </c>
      <c r="I182" s="24"/>
      <c r="J182" s="15">
        <f t="shared" si="4"/>
        <v>0</v>
      </c>
      <c r="K182" s="32"/>
      <c r="L182" s="24"/>
      <c r="M182" s="11"/>
      <c r="N182" s="18"/>
      <c r="O182" s="19"/>
      <c r="P182" s="12"/>
      <c r="Q182" s="12"/>
      <c r="R182" s="12"/>
      <c r="S182" s="12"/>
      <c r="V182" s="12"/>
      <c r="W182" s="12"/>
      <c r="X182" s="12"/>
      <c r="Y182" s="12"/>
      <c r="Z182" s="12"/>
      <c r="AA182" s="12"/>
      <c r="AB182" s="12"/>
    </row>
    <row r="183">
      <c r="A183" s="4" t="s">
        <v>157</v>
      </c>
      <c r="B183" s="50">
        <v>4.631136905127E12</v>
      </c>
      <c r="C183" s="106" t="s">
        <v>269</v>
      </c>
      <c r="D183" s="167" t="s">
        <v>270</v>
      </c>
      <c r="E183" s="37">
        <v>2033.0</v>
      </c>
      <c r="F183" s="38"/>
      <c r="G183" s="38"/>
      <c r="H183" s="4">
        <v>520.0</v>
      </c>
      <c r="I183" s="4">
        <v>820.0</v>
      </c>
      <c r="J183" s="15">
        <f t="shared" si="4"/>
        <v>693</v>
      </c>
      <c r="K183" s="159"/>
      <c r="L183" s="4" t="s">
        <v>111</v>
      </c>
      <c r="N183" s="18"/>
      <c r="O183" s="19"/>
      <c r="P183" s="12"/>
      <c r="Q183" s="12"/>
      <c r="R183" s="12"/>
      <c r="S183" s="12"/>
      <c r="V183" s="12"/>
      <c r="W183" s="12"/>
      <c r="X183" s="12"/>
      <c r="Y183" s="12"/>
      <c r="Z183" s="12"/>
      <c r="AA183" s="12"/>
      <c r="AB183" s="12"/>
    </row>
    <row r="184">
      <c r="A184" s="4" t="s">
        <v>157</v>
      </c>
      <c r="B184" s="50">
        <v>4.63113799355E12</v>
      </c>
      <c r="C184" s="106" t="s">
        <v>271</v>
      </c>
      <c r="D184" s="167" t="s">
        <v>272</v>
      </c>
      <c r="E184" s="37">
        <v>2036.0</v>
      </c>
      <c r="F184" s="38"/>
      <c r="G184" s="38"/>
      <c r="H184" s="4">
        <v>500.0</v>
      </c>
      <c r="I184" s="4">
        <v>350.0</v>
      </c>
      <c r="J184" s="15">
        <f t="shared" si="4"/>
        <v>1186</v>
      </c>
      <c r="K184" s="159"/>
      <c r="L184" s="4" t="s">
        <v>111</v>
      </c>
      <c r="M184" s="11"/>
      <c r="N184" s="18"/>
      <c r="O184" s="19"/>
      <c r="P184" s="12"/>
      <c r="Q184" s="12"/>
      <c r="R184" s="12"/>
      <c r="S184" s="12"/>
      <c r="V184" s="12"/>
      <c r="W184" s="12"/>
      <c r="X184" s="12"/>
      <c r="Y184" s="12"/>
      <c r="Z184" s="12"/>
      <c r="AA184" s="12"/>
      <c r="AB184" s="12"/>
    </row>
    <row r="185">
      <c r="A185" s="4" t="s">
        <v>157</v>
      </c>
      <c r="B185" s="50">
        <v>4.693006790233E12</v>
      </c>
      <c r="C185" s="109" t="s">
        <v>273</v>
      </c>
      <c r="D185" s="167" t="s">
        <v>273</v>
      </c>
      <c r="E185" s="37">
        <v>30231.0</v>
      </c>
      <c r="F185" s="38"/>
      <c r="G185" s="38"/>
      <c r="H185" s="4">
        <v>10794.0</v>
      </c>
      <c r="I185" s="4">
        <v>13032.0</v>
      </c>
      <c r="J185" s="15">
        <f t="shared" si="4"/>
        <v>6405</v>
      </c>
      <c r="K185" s="70">
        <v>128.0</v>
      </c>
      <c r="L185" s="24"/>
      <c r="N185" s="18"/>
      <c r="O185" s="19"/>
      <c r="P185" s="12"/>
      <c r="Q185" s="12"/>
      <c r="R185" s="12"/>
      <c r="S185" s="12"/>
      <c r="V185" s="12"/>
      <c r="W185" s="12"/>
      <c r="X185" s="12"/>
      <c r="Y185" s="12"/>
      <c r="Z185" s="12"/>
      <c r="AA185" s="12"/>
      <c r="AB185" s="12"/>
    </row>
    <row r="186">
      <c r="A186" s="4" t="s">
        <v>157</v>
      </c>
      <c r="B186" s="105">
        <v>4.645563784842E12</v>
      </c>
      <c r="C186" s="38" t="s">
        <v>274</v>
      </c>
      <c r="D186" s="38" t="s">
        <v>274</v>
      </c>
      <c r="E186" s="37">
        <v>1260.0</v>
      </c>
      <c r="F186" s="38"/>
      <c r="G186" s="38"/>
      <c r="H186" s="37">
        <v>560.0</v>
      </c>
      <c r="I186" s="37">
        <v>700.0</v>
      </c>
      <c r="J186" s="15">
        <f t="shared" si="4"/>
        <v>0</v>
      </c>
      <c r="K186" s="38"/>
      <c r="L186" s="38"/>
      <c r="M186" s="11"/>
      <c r="N186" s="18"/>
      <c r="O186" s="19"/>
      <c r="P186" s="12"/>
      <c r="Q186" s="12"/>
      <c r="R186" s="12"/>
      <c r="S186" s="12"/>
      <c r="V186" s="12"/>
      <c r="W186" s="12"/>
      <c r="X186" s="12"/>
      <c r="Y186" s="12"/>
      <c r="Z186" s="12"/>
      <c r="AA186" s="12"/>
      <c r="AB186" s="12"/>
    </row>
    <row r="187">
      <c r="A187" s="4" t="s">
        <v>157</v>
      </c>
      <c r="B187" s="50">
        <v>4.690766790237E12</v>
      </c>
      <c r="C187" s="109" t="s">
        <v>275</v>
      </c>
      <c r="D187" s="167" t="s">
        <v>275</v>
      </c>
      <c r="E187" s="37">
        <v>29011.0</v>
      </c>
      <c r="F187" s="38"/>
      <c r="G187" s="38"/>
      <c r="H187" s="4">
        <v>6617.0</v>
      </c>
      <c r="I187" s="4">
        <v>17548.0</v>
      </c>
      <c r="J187" s="15">
        <f t="shared" si="4"/>
        <v>4846</v>
      </c>
      <c r="K187" s="70">
        <v>128.0</v>
      </c>
      <c r="L187" s="24"/>
      <c r="M187" s="11"/>
      <c r="N187" s="18"/>
      <c r="O187" s="19"/>
      <c r="P187" s="12"/>
      <c r="Q187" s="12"/>
      <c r="R187" s="12"/>
      <c r="S187" s="12"/>
      <c r="V187" s="12"/>
      <c r="W187" s="12"/>
      <c r="X187" s="12"/>
      <c r="Y187" s="12"/>
      <c r="Z187" s="12"/>
      <c r="AA187" s="12"/>
      <c r="AB187" s="12"/>
    </row>
    <row r="188">
      <c r="A188" s="4" t="s">
        <v>157</v>
      </c>
      <c r="B188" s="50">
        <v>4.631148520912E12</v>
      </c>
      <c r="C188" s="106" t="s">
        <v>276</v>
      </c>
      <c r="D188" s="167" t="s">
        <v>277</v>
      </c>
      <c r="E188" s="37">
        <v>516.0</v>
      </c>
      <c r="F188" s="38"/>
      <c r="G188" s="38"/>
      <c r="H188" s="4">
        <v>160.0</v>
      </c>
      <c r="I188" s="4">
        <v>150.0</v>
      </c>
      <c r="J188" s="15">
        <f t="shared" si="4"/>
        <v>206</v>
      </c>
      <c r="K188" s="159"/>
      <c r="L188" s="24"/>
      <c r="M188" s="11"/>
      <c r="N188" s="18"/>
      <c r="O188" s="19"/>
      <c r="P188" s="12"/>
      <c r="Q188" s="12"/>
      <c r="R188" s="12"/>
      <c r="S188" s="12"/>
      <c r="V188" s="12"/>
      <c r="W188" s="12"/>
      <c r="X188" s="12"/>
      <c r="Y188" s="12"/>
      <c r="Z188" s="12"/>
      <c r="AA188" s="12"/>
      <c r="AB188" s="12"/>
    </row>
    <row r="189">
      <c r="A189" s="4" t="s">
        <v>157</v>
      </c>
      <c r="B189" s="50">
        <v>4.631136905165E12</v>
      </c>
      <c r="C189" s="109" t="s">
        <v>278</v>
      </c>
      <c r="D189" s="167" t="s">
        <v>279</v>
      </c>
      <c r="E189" s="37">
        <v>2500.0</v>
      </c>
      <c r="F189" s="38"/>
      <c r="G189" s="38"/>
      <c r="H189" s="4">
        <v>750.0</v>
      </c>
      <c r="I189" s="4">
        <v>1150.0</v>
      </c>
      <c r="J189" s="15">
        <f t="shared" si="4"/>
        <v>600</v>
      </c>
      <c r="K189" s="159"/>
      <c r="L189" s="24"/>
      <c r="M189" s="11"/>
      <c r="N189" s="18"/>
      <c r="O189" s="19"/>
      <c r="P189" s="12"/>
      <c r="Q189" s="12"/>
      <c r="R189" s="12"/>
      <c r="S189" s="12"/>
      <c r="V189" s="12"/>
      <c r="W189" s="12"/>
      <c r="X189" s="12"/>
      <c r="Y189" s="12"/>
      <c r="Z189" s="12"/>
      <c r="AA189" s="12"/>
      <c r="AB189" s="12"/>
    </row>
    <row r="190">
      <c r="A190" s="4" t="s">
        <v>157</v>
      </c>
      <c r="B190" s="50">
        <v>4.631137125906E12</v>
      </c>
      <c r="C190" s="106" t="s">
        <v>280</v>
      </c>
      <c r="D190" s="167" t="s">
        <v>281</v>
      </c>
      <c r="E190" s="37">
        <v>1730.0</v>
      </c>
      <c r="F190" s="38"/>
      <c r="G190" s="38"/>
      <c r="H190" s="4">
        <v>310.0</v>
      </c>
      <c r="I190" s="4">
        <v>450.0</v>
      </c>
      <c r="J190" s="15">
        <f t="shared" si="4"/>
        <v>970</v>
      </c>
      <c r="K190" s="159"/>
      <c r="L190" s="4" t="s">
        <v>111</v>
      </c>
      <c r="M190" s="11"/>
      <c r="N190" s="18"/>
      <c r="O190" s="19"/>
      <c r="P190" s="12"/>
      <c r="Q190" s="12"/>
      <c r="R190" s="12"/>
      <c r="S190" s="12"/>
      <c r="V190" s="12"/>
      <c r="W190" s="12"/>
      <c r="X190" s="12"/>
      <c r="Y190" s="12"/>
      <c r="Z190" s="12"/>
      <c r="AA190" s="12"/>
      <c r="AB190" s="12"/>
    </row>
    <row r="191">
      <c r="A191" s="4" t="s">
        <v>157</v>
      </c>
      <c r="B191" s="50">
        <v>4.610030633237E12</v>
      </c>
      <c r="C191" s="168" t="s">
        <v>282</v>
      </c>
      <c r="D191" s="167" t="s">
        <v>282</v>
      </c>
      <c r="E191" s="37">
        <v>57978.0</v>
      </c>
      <c r="F191" s="38"/>
      <c r="G191" s="38"/>
      <c r="H191" s="4">
        <v>34018.0</v>
      </c>
      <c r="I191" s="4">
        <v>17208.0</v>
      </c>
      <c r="J191" s="15">
        <f t="shared" si="4"/>
        <v>6752</v>
      </c>
      <c r="K191" s="159"/>
      <c r="L191" s="24"/>
      <c r="M191" s="169"/>
      <c r="N191" s="18"/>
      <c r="O191" s="19"/>
      <c r="P191" s="12"/>
      <c r="Q191" s="12"/>
      <c r="R191" s="12"/>
      <c r="S191" s="12"/>
      <c r="V191" s="12"/>
      <c r="W191" s="12"/>
      <c r="X191" s="12"/>
      <c r="Y191" s="12"/>
      <c r="Z191" s="12"/>
      <c r="AA191" s="12"/>
      <c r="AB191" s="12"/>
    </row>
    <row r="192">
      <c r="A192" s="4" t="s">
        <v>157</v>
      </c>
      <c r="B192" s="50">
        <v>2.042608266288E12</v>
      </c>
      <c r="C192" s="37" t="s">
        <v>283</v>
      </c>
      <c r="D192" s="37" t="s">
        <v>283</v>
      </c>
      <c r="E192" s="37">
        <v>10882.0</v>
      </c>
      <c r="F192" s="38"/>
      <c r="G192" s="38"/>
      <c r="H192" s="4">
        <v>6622.0</v>
      </c>
      <c r="I192" s="4">
        <v>4260.0</v>
      </c>
      <c r="J192" s="15">
        <f t="shared" si="4"/>
        <v>0</v>
      </c>
      <c r="K192" s="159"/>
      <c r="L192" s="24"/>
      <c r="M192" s="169"/>
      <c r="N192" s="18"/>
      <c r="O192" s="19"/>
      <c r="P192" s="12"/>
      <c r="Q192" s="12"/>
      <c r="R192" s="12"/>
      <c r="S192" s="12"/>
      <c r="V192" s="12"/>
      <c r="W192" s="12"/>
      <c r="X192" s="12"/>
      <c r="Y192" s="12"/>
      <c r="Z192" s="12"/>
      <c r="AA192" s="12"/>
      <c r="AB192" s="12"/>
    </row>
    <row r="193">
      <c r="A193" s="4" t="s">
        <v>157</v>
      </c>
      <c r="B193" s="50">
        <v>4.631144673087E12</v>
      </c>
      <c r="C193" s="86" t="s">
        <v>284</v>
      </c>
      <c r="D193" s="37" t="s">
        <v>284</v>
      </c>
      <c r="E193" s="37">
        <v>16727.0</v>
      </c>
      <c r="F193" s="38"/>
      <c r="G193" s="38"/>
      <c r="H193" s="4">
        <v>3641.0</v>
      </c>
      <c r="I193" s="4">
        <v>3150.0</v>
      </c>
      <c r="J193" s="15">
        <f t="shared" si="4"/>
        <v>9936</v>
      </c>
      <c r="K193" s="159"/>
      <c r="L193" s="24"/>
      <c r="M193" s="169"/>
      <c r="N193" s="18"/>
      <c r="O193" s="19"/>
      <c r="P193" s="12"/>
      <c r="Q193" s="12"/>
      <c r="R193" s="12"/>
      <c r="S193" s="12"/>
      <c r="V193" s="12"/>
      <c r="W193" s="12"/>
      <c r="X193" s="12"/>
      <c r="Y193" s="12"/>
      <c r="Z193" s="12"/>
      <c r="AA193" s="12"/>
      <c r="AB193" s="12"/>
    </row>
    <row r="194">
      <c r="A194" s="4" t="s">
        <v>157</v>
      </c>
      <c r="B194" s="50">
        <v>4.610030632629E12</v>
      </c>
      <c r="C194" s="86" t="s">
        <v>285</v>
      </c>
      <c r="D194" s="37" t="s">
        <v>285</v>
      </c>
      <c r="E194" s="37">
        <v>4069.0</v>
      </c>
      <c r="F194" s="38"/>
      <c r="G194" s="38"/>
      <c r="H194" s="4">
        <v>870.0</v>
      </c>
      <c r="I194" s="4">
        <v>700.0</v>
      </c>
      <c r="J194" s="15">
        <f t="shared" si="4"/>
        <v>2499</v>
      </c>
      <c r="K194" s="159"/>
      <c r="L194" s="24"/>
      <c r="M194" s="169"/>
      <c r="N194" s="18"/>
      <c r="O194" s="19"/>
      <c r="P194" s="12"/>
      <c r="Q194" s="12"/>
      <c r="R194" s="12"/>
      <c r="S194" s="12"/>
      <c r="V194" s="12"/>
      <c r="W194" s="12"/>
      <c r="X194" s="12"/>
      <c r="Y194" s="12"/>
      <c r="Z194" s="12"/>
      <c r="AA194" s="12"/>
      <c r="AB194" s="12"/>
    </row>
    <row r="195">
      <c r="A195" s="4" t="s">
        <v>157</v>
      </c>
      <c r="B195" s="50">
        <v>4.631143285991E12</v>
      </c>
      <c r="C195" s="86" t="s">
        <v>286</v>
      </c>
      <c r="D195" s="37" t="s">
        <v>286</v>
      </c>
      <c r="E195" s="37">
        <v>24686.0</v>
      </c>
      <c r="F195" s="38"/>
      <c r="G195" s="38"/>
      <c r="H195" s="4">
        <v>11737.0</v>
      </c>
      <c r="I195" s="4">
        <v>8090.0</v>
      </c>
      <c r="J195" s="15">
        <f t="shared" si="4"/>
        <v>4859</v>
      </c>
      <c r="K195" s="159"/>
      <c r="L195" s="24"/>
      <c r="M195" s="169"/>
      <c r="N195" s="18"/>
      <c r="O195" s="19"/>
      <c r="P195" s="12"/>
      <c r="Q195" s="12"/>
      <c r="R195" s="12"/>
      <c r="S195" s="12"/>
      <c r="V195" s="12"/>
      <c r="W195" s="12"/>
      <c r="X195" s="12"/>
      <c r="Y195" s="12"/>
      <c r="Z195" s="12"/>
      <c r="AA195" s="12"/>
      <c r="AB195" s="12"/>
    </row>
    <row r="196">
      <c r="A196" s="4" t="s">
        <v>157</v>
      </c>
      <c r="B196" s="50">
        <v>4.631144115839E12</v>
      </c>
      <c r="C196" s="86" t="s">
        <v>287</v>
      </c>
      <c r="D196" s="37" t="s">
        <v>287</v>
      </c>
      <c r="E196" s="37">
        <v>5454.0</v>
      </c>
      <c r="F196" s="38"/>
      <c r="G196" s="38"/>
      <c r="H196" s="4">
        <v>3258.0</v>
      </c>
      <c r="I196" s="4">
        <v>1900.0</v>
      </c>
      <c r="J196" s="15">
        <f t="shared" si="4"/>
        <v>296</v>
      </c>
      <c r="K196" s="159"/>
      <c r="L196" s="24"/>
      <c r="M196" s="169"/>
      <c r="N196" s="18"/>
      <c r="O196" s="19"/>
      <c r="P196" s="12"/>
      <c r="Q196" s="12"/>
      <c r="R196" s="12"/>
      <c r="S196" s="12"/>
      <c r="V196" s="12"/>
      <c r="W196" s="12"/>
      <c r="X196" s="12"/>
      <c r="Y196" s="12"/>
      <c r="Z196" s="12"/>
      <c r="AA196" s="12"/>
      <c r="AB196" s="12"/>
    </row>
    <row r="197">
      <c r="A197" s="4" t="s">
        <v>157</v>
      </c>
      <c r="B197" s="14">
        <v>2.038301341797E12</v>
      </c>
      <c r="C197" s="38" t="s">
        <v>288</v>
      </c>
      <c r="D197" s="37" t="s">
        <v>289</v>
      </c>
      <c r="E197" s="37">
        <v>2240.0</v>
      </c>
      <c r="F197" s="38"/>
      <c r="G197" s="38"/>
      <c r="H197" s="4">
        <v>1450.0</v>
      </c>
      <c r="I197" s="4">
        <v>790.0</v>
      </c>
      <c r="J197" s="15">
        <f t="shared" si="4"/>
        <v>0</v>
      </c>
      <c r="K197" s="159"/>
      <c r="L197" s="24"/>
      <c r="M197" s="169"/>
      <c r="N197" s="18"/>
      <c r="O197" s="19"/>
      <c r="P197" s="12"/>
      <c r="Q197" s="12"/>
      <c r="R197" s="12"/>
      <c r="S197" s="12"/>
      <c r="V197" s="12"/>
      <c r="W197" s="12"/>
      <c r="X197" s="12"/>
      <c r="Y197" s="12"/>
      <c r="Z197" s="12"/>
      <c r="AA197" s="12"/>
      <c r="AB197" s="12"/>
    </row>
    <row r="198">
      <c r="A198" s="4" t="s">
        <v>157</v>
      </c>
      <c r="B198" s="50">
        <v>4.610030632605E12</v>
      </c>
      <c r="C198" s="86" t="s">
        <v>290</v>
      </c>
      <c r="D198" s="37" t="s">
        <v>290</v>
      </c>
      <c r="E198" s="37">
        <v>9365.0</v>
      </c>
      <c r="F198" s="38"/>
      <c r="G198" s="38"/>
      <c r="H198" s="4">
        <v>2743.0</v>
      </c>
      <c r="I198" s="4">
        <v>3400.0</v>
      </c>
      <c r="J198" s="15">
        <f t="shared" si="4"/>
        <v>3222</v>
      </c>
      <c r="K198" s="159"/>
      <c r="L198" s="24"/>
      <c r="M198" s="169"/>
      <c r="N198" s="18"/>
      <c r="O198" s="19"/>
      <c r="P198" s="12"/>
      <c r="Q198" s="12"/>
      <c r="R198" s="12"/>
      <c r="S198" s="12"/>
      <c r="V198" s="12"/>
      <c r="W198" s="12"/>
      <c r="X198" s="12"/>
      <c r="Y198" s="12"/>
      <c r="Z198" s="12"/>
      <c r="AA198" s="12"/>
      <c r="AB198" s="12"/>
    </row>
    <row r="199">
      <c r="A199" s="4" t="s">
        <v>157</v>
      </c>
      <c r="B199" s="50">
        <v>4.631143262213E12</v>
      </c>
      <c r="C199" s="86" t="s">
        <v>291</v>
      </c>
      <c r="D199" s="37" t="s">
        <v>291</v>
      </c>
      <c r="E199" s="37">
        <v>7281.0</v>
      </c>
      <c r="F199" s="38"/>
      <c r="G199" s="38"/>
      <c r="H199" s="4">
        <v>3089.0</v>
      </c>
      <c r="I199" s="4">
        <v>2590.0</v>
      </c>
      <c r="J199" s="15">
        <f t="shared" si="4"/>
        <v>1602</v>
      </c>
      <c r="K199" s="159"/>
      <c r="L199" s="24"/>
      <c r="M199" s="169"/>
      <c r="N199" s="18"/>
      <c r="O199" s="19"/>
      <c r="P199" s="12"/>
      <c r="Q199" s="12"/>
      <c r="R199" s="12"/>
      <c r="S199" s="12"/>
      <c r="V199" s="12"/>
      <c r="W199" s="12"/>
      <c r="X199" s="12"/>
      <c r="Y199" s="12"/>
      <c r="Z199" s="12"/>
      <c r="AA199" s="12"/>
      <c r="AB199" s="12"/>
    </row>
    <row r="200">
      <c r="A200" s="4" t="s">
        <v>157</v>
      </c>
      <c r="B200" s="50">
        <v>4.610030632612E12</v>
      </c>
      <c r="C200" s="86" t="s">
        <v>292</v>
      </c>
      <c r="D200" s="37" t="s">
        <v>292</v>
      </c>
      <c r="E200" s="37">
        <v>22460.0</v>
      </c>
      <c r="F200" s="38"/>
      <c r="G200" s="37"/>
      <c r="H200" s="4">
        <v>8063.0</v>
      </c>
      <c r="I200" s="4">
        <v>5770.0</v>
      </c>
      <c r="J200" s="15">
        <f t="shared" si="4"/>
        <v>8627</v>
      </c>
      <c r="K200" s="159"/>
      <c r="L200" s="24"/>
      <c r="M200" s="169"/>
      <c r="N200" s="18"/>
      <c r="O200" s="19"/>
      <c r="P200" s="12"/>
      <c r="Q200" s="12"/>
      <c r="R200" s="12"/>
      <c r="S200" s="12"/>
      <c r="V200" s="12"/>
      <c r="W200" s="12"/>
      <c r="X200" s="12"/>
      <c r="Y200" s="12"/>
      <c r="Z200" s="12"/>
      <c r="AA200" s="12"/>
      <c r="AB200" s="12"/>
    </row>
    <row r="201">
      <c r="A201" s="4" t="s">
        <v>157</v>
      </c>
      <c r="B201" s="50">
        <v>4.610030632728E12</v>
      </c>
      <c r="C201" s="51" t="s">
        <v>293</v>
      </c>
      <c r="D201" s="37" t="s">
        <v>293</v>
      </c>
      <c r="E201" s="37">
        <v>2462.0</v>
      </c>
      <c r="F201" s="38"/>
      <c r="G201" s="38"/>
      <c r="H201" s="4">
        <v>2134.0</v>
      </c>
      <c r="I201" s="4">
        <v>300.0</v>
      </c>
      <c r="J201" s="15">
        <f t="shared" si="4"/>
        <v>28</v>
      </c>
      <c r="K201" s="159"/>
      <c r="L201" s="24"/>
      <c r="M201" s="169"/>
      <c r="N201" s="27"/>
      <c r="O201" s="108"/>
      <c r="P201" s="12"/>
      <c r="Q201" s="12"/>
      <c r="R201" s="12"/>
      <c r="S201" s="12"/>
      <c r="V201" s="12"/>
      <c r="W201" s="12"/>
      <c r="X201" s="12"/>
      <c r="Y201" s="12"/>
      <c r="Z201" s="12"/>
      <c r="AA201" s="12"/>
      <c r="AB201" s="12"/>
    </row>
    <row r="202">
      <c r="A202" s="4" t="s">
        <v>157</v>
      </c>
      <c r="B202" s="50">
        <v>4.610030633633E12</v>
      </c>
      <c r="C202" s="86" t="s">
        <v>294</v>
      </c>
      <c r="D202" s="37" t="s">
        <v>294</v>
      </c>
      <c r="E202" s="37">
        <v>5667.0</v>
      </c>
      <c r="F202" s="38"/>
      <c r="G202" s="38"/>
      <c r="H202" s="4">
        <v>3132.0</v>
      </c>
      <c r="I202" s="4">
        <v>1824.0</v>
      </c>
      <c r="J202" s="15">
        <f t="shared" si="4"/>
        <v>711</v>
      </c>
      <c r="K202" s="70">
        <v>80.0</v>
      </c>
      <c r="L202" s="24"/>
      <c r="M202" s="169"/>
      <c r="N202" s="18"/>
      <c r="O202" s="19"/>
      <c r="P202" s="12"/>
      <c r="Q202" s="12"/>
      <c r="R202" s="12"/>
      <c r="S202" s="12"/>
      <c r="V202" s="12"/>
      <c r="W202" s="12"/>
      <c r="X202" s="12"/>
      <c r="Y202" s="12"/>
      <c r="Z202" s="12"/>
      <c r="AA202" s="12"/>
      <c r="AB202" s="12"/>
    </row>
    <row r="203">
      <c r="A203" s="4" t="s">
        <v>157</v>
      </c>
      <c r="B203" s="50">
        <v>4.603320465274E12</v>
      </c>
      <c r="C203" s="86" t="s">
        <v>295</v>
      </c>
      <c r="D203" s="37" t="s">
        <v>295</v>
      </c>
      <c r="E203" s="37">
        <v>14795.0</v>
      </c>
      <c r="F203" s="38"/>
      <c r="G203" s="38"/>
      <c r="H203" s="4">
        <v>5342.0</v>
      </c>
      <c r="I203" s="4">
        <v>7104.0</v>
      </c>
      <c r="J203" s="15">
        <f t="shared" si="4"/>
        <v>2349</v>
      </c>
      <c r="K203" s="70" t="s">
        <v>296</v>
      </c>
      <c r="L203" s="24"/>
      <c r="M203" s="169"/>
      <c r="N203" s="18"/>
      <c r="O203" s="19"/>
      <c r="P203" s="12"/>
      <c r="Q203" s="12"/>
      <c r="R203" s="12"/>
      <c r="S203" s="12"/>
      <c r="V203" s="12"/>
      <c r="W203" s="12"/>
      <c r="X203" s="12"/>
      <c r="Y203" s="12"/>
      <c r="Z203" s="12"/>
      <c r="AA203" s="12"/>
      <c r="AB203" s="12"/>
    </row>
    <row r="204">
      <c r="A204" s="93" t="s">
        <v>157</v>
      </c>
      <c r="B204" s="113">
        <v>4.631159649336E12</v>
      </c>
      <c r="C204" s="99" t="s">
        <v>297</v>
      </c>
      <c r="D204" s="86" t="s">
        <v>297</v>
      </c>
      <c r="E204" s="86">
        <v>1400.0</v>
      </c>
      <c r="F204" s="86"/>
      <c r="G204" s="86"/>
      <c r="H204" s="93">
        <v>1050.0</v>
      </c>
      <c r="I204" s="93">
        <v>350.0</v>
      </c>
      <c r="J204" s="118">
        <f t="shared" si="4"/>
        <v>0</v>
      </c>
      <c r="K204" s="154"/>
      <c r="L204" s="117"/>
      <c r="M204" s="169"/>
      <c r="N204" s="18"/>
      <c r="O204" s="19"/>
      <c r="P204" s="12"/>
      <c r="Q204" s="12"/>
      <c r="R204" s="12"/>
      <c r="S204" s="12"/>
      <c r="V204" s="12"/>
      <c r="W204" s="12"/>
      <c r="X204" s="12"/>
      <c r="Y204" s="12"/>
      <c r="Z204" s="12"/>
      <c r="AA204" s="12"/>
      <c r="AB204" s="12"/>
    </row>
    <row r="205">
      <c r="A205" s="93" t="s">
        <v>157</v>
      </c>
      <c r="B205" s="113">
        <v>4.631155494015E12</v>
      </c>
      <c r="C205" s="86" t="s">
        <v>298</v>
      </c>
      <c r="D205" s="86" t="s">
        <v>299</v>
      </c>
      <c r="E205" s="86">
        <v>1000.0</v>
      </c>
      <c r="F205" s="170"/>
      <c r="G205" s="170"/>
      <c r="H205" s="93">
        <v>410.0</v>
      </c>
      <c r="I205" s="93">
        <v>200.0</v>
      </c>
      <c r="J205" s="118">
        <f t="shared" si="4"/>
        <v>390</v>
      </c>
      <c r="K205" s="159"/>
      <c r="L205" s="117"/>
      <c r="M205" s="169"/>
      <c r="N205" s="18"/>
      <c r="O205" s="19"/>
      <c r="P205" s="12"/>
      <c r="Q205" s="12"/>
      <c r="R205" s="12"/>
      <c r="S205" s="12"/>
      <c r="V205" s="12"/>
      <c r="W205" s="12"/>
      <c r="X205" s="12"/>
      <c r="Y205" s="12"/>
      <c r="Z205" s="12"/>
      <c r="AA205" s="12"/>
      <c r="AB205" s="12"/>
    </row>
    <row r="206">
      <c r="A206" s="4" t="s">
        <v>157</v>
      </c>
      <c r="B206" s="50">
        <v>4.631159687796E12</v>
      </c>
      <c r="C206" s="86" t="s">
        <v>300</v>
      </c>
      <c r="D206" s="37" t="s">
        <v>300</v>
      </c>
      <c r="E206" s="37">
        <v>3500.0</v>
      </c>
      <c r="F206" s="38"/>
      <c r="G206" s="38"/>
      <c r="H206" s="4">
        <v>2370.0</v>
      </c>
      <c r="I206" s="4">
        <v>470.0</v>
      </c>
      <c r="J206" s="15">
        <f t="shared" si="4"/>
        <v>660</v>
      </c>
      <c r="K206" s="159"/>
      <c r="L206" s="24"/>
      <c r="M206" s="169"/>
      <c r="N206" s="18"/>
      <c r="O206" s="19"/>
      <c r="P206" s="12"/>
      <c r="Q206" s="12"/>
      <c r="R206" s="12"/>
      <c r="S206" s="12"/>
      <c r="V206" s="12"/>
      <c r="W206" s="12"/>
      <c r="X206" s="12"/>
      <c r="Y206" s="12"/>
      <c r="Z206" s="12"/>
      <c r="AA206" s="12"/>
      <c r="AB206" s="12"/>
    </row>
    <row r="207">
      <c r="A207" s="93" t="s">
        <v>157</v>
      </c>
      <c r="B207" s="50">
        <v>4.610030633909E12</v>
      </c>
      <c r="C207" s="109" t="s">
        <v>301</v>
      </c>
      <c r="D207" s="102" t="s">
        <v>301</v>
      </c>
      <c r="E207" s="37">
        <v>8104.0</v>
      </c>
      <c r="F207" s="38"/>
      <c r="G207" s="38"/>
      <c r="H207" s="4">
        <v>3985.0</v>
      </c>
      <c r="I207" s="4">
        <v>2258.0</v>
      </c>
      <c r="J207" s="15">
        <f t="shared" si="4"/>
        <v>1861</v>
      </c>
      <c r="K207" s="2">
        <v>144.0</v>
      </c>
      <c r="L207" s="24"/>
      <c r="M207" s="169"/>
      <c r="N207" s="18"/>
      <c r="O207" s="19"/>
      <c r="P207" s="12"/>
      <c r="Q207" s="12"/>
      <c r="R207" s="12"/>
      <c r="S207" s="12"/>
      <c r="V207" s="12"/>
      <c r="W207" s="12"/>
      <c r="X207" s="12"/>
      <c r="Y207" s="12"/>
      <c r="Z207" s="12"/>
      <c r="AA207" s="12"/>
      <c r="AB207" s="12"/>
    </row>
    <row r="208">
      <c r="A208" s="4" t="s">
        <v>157</v>
      </c>
      <c r="B208" s="50">
        <v>4.61003063393E12</v>
      </c>
      <c r="C208" s="109" t="s">
        <v>302</v>
      </c>
      <c r="D208" s="102" t="s">
        <v>302</v>
      </c>
      <c r="E208" s="37">
        <v>6657.0</v>
      </c>
      <c r="F208" s="38"/>
      <c r="G208" s="38"/>
      <c r="H208" s="4">
        <v>1880.0</v>
      </c>
      <c r="I208" s="4">
        <v>1600.0</v>
      </c>
      <c r="J208" s="15">
        <f t="shared" si="4"/>
        <v>3177</v>
      </c>
      <c r="K208" s="32"/>
      <c r="L208" s="24"/>
      <c r="M208" s="169"/>
      <c r="N208" s="18"/>
      <c r="O208" s="19"/>
      <c r="P208" s="12"/>
      <c r="Q208" s="12"/>
      <c r="R208" s="12"/>
      <c r="S208" s="12"/>
      <c r="V208" s="12"/>
      <c r="W208" s="12"/>
      <c r="X208" s="12"/>
      <c r="Y208" s="12"/>
      <c r="Z208" s="12"/>
      <c r="AA208" s="12"/>
      <c r="AB208" s="12"/>
    </row>
    <row r="209">
      <c r="A209" s="4" t="s">
        <v>157</v>
      </c>
      <c r="B209" s="21">
        <v>4.631155368231E12</v>
      </c>
      <c r="C209" s="86" t="s">
        <v>303</v>
      </c>
      <c r="D209" s="37" t="s">
        <v>303</v>
      </c>
      <c r="E209" s="37">
        <v>4060.0</v>
      </c>
      <c r="F209" s="38"/>
      <c r="G209" s="38"/>
      <c r="H209" s="4">
        <v>1762.0</v>
      </c>
      <c r="I209" s="4">
        <v>300.0</v>
      </c>
      <c r="J209" s="15">
        <f t="shared" si="4"/>
        <v>1998</v>
      </c>
      <c r="K209" s="32"/>
      <c r="L209" s="24"/>
      <c r="M209" s="169"/>
      <c r="N209" s="18"/>
      <c r="O209" s="19"/>
      <c r="P209" s="12"/>
      <c r="Q209" s="12"/>
      <c r="R209" s="12"/>
      <c r="S209" s="12"/>
      <c r="V209" s="12"/>
      <c r="W209" s="12"/>
      <c r="X209" s="12"/>
      <c r="Y209" s="12"/>
      <c r="Z209" s="12"/>
      <c r="AA209" s="12"/>
      <c r="AB209" s="12"/>
    </row>
    <row r="210">
      <c r="A210" s="4" t="s">
        <v>157</v>
      </c>
      <c r="B210" s="21">
        <v>4.631153669934E12</v>
      </c>
      <c r="C210" s="86" t="s">
        <v>304</v>
      </c>
      <c r="D210" s="37" t="s">
        <v>304</v>
      </c>
      <c r="E210" s="37">
        <v>3702.0</v>
      </c>
      <c r="F210" s="38"/>
      <c r="G210" s="38"/>
      <c r="H210" s="4">
        <v>845.0</v>
      </c>
      <c r="I210" s="4">
        <v>1700.0</v>
      </c>
      <c r="J210" s="15">
        <f t="shared" si="4"/>
        <v>1157</v>
      </c>
      <c r="K210" s="32"/>
      <c r="L210" s="24"/>
      <c r="M210" s="169"/>
      <c r="N210" s="18"/>
      <c r="O210" s="19"/>
      <c r="P210" s="12"/>
      <c r="Q210" s="12"/>
      <c r="R210" s="12"/>
      <c r="S210" s="12"/>
      <c r="V210" s="12"/>
      <c r="W210" s="12"/>
      <c r="X210" s="12"/>
      <c r="Y210" s="12"/>
      <c r="Z210" s="12"/>
      <c r="AA210" s="12"/>
      <c r="AB210" s="12"/>
    </row>
    <row r="211">
      <c r="A211" s="4" t="s">
        <v>157</v>
      </c>
      <c r="B211" s="21">
        <v>4.631153669927E12</v>
      </c>
      <c r="C211" s="86" t="s">
        <v>305</v>
      </c>
      <c r="D211" s="37" t="s">
        <v>305</v>
      </c>
      <c r="E211" s="37">
        <v>2011.0</v>
      </c>
      <c r="F211" s="38"/>
      <c r="G211" s="38"/>
      <c r="H211" s="37">
        <v>470.0</v>
      </c>
      <c r="I211" s="4">
        <v>846.0</v>
      </c>
      <c r="J211" s="15">
        <f t="shared" si="4"/>
        <v>695</v>
      </c>
      <c r="K211" s="32"/>
      <c r="L211" s="24"/>
      <c r="M211" s="169"/>
      <c r="N211" s="18"/>
      <c r="O211" s="19"/>
      <c r="P211" s="12"/>
      <c r="Q211" s="12"/>
      <c r="R211" s="12"/>
      <c r="S211" s="12"/>
      <c r="V211" s="12"/>
      <c r="W211" s="12"/>
      <c r="X211" s="12"/>
      <c r="Y211" s="12"/>
      <c r="Z211" s="12"/>
      <c r="AA211" s="12"/>
      <c r="AB211" s="12"/>
    </row>
    <row r="212">
      <c r="A212" s="4" t="s">
        <v>157</v>
      </c>
      <c r="B212" s="105">
        <v>4.631144673063E12</v>
      </c>
      <c r="C212" s="171" t="s">
        <v>306</v>
      </c>
      <c r="D212" s="172" t="s">
        <v>306</v>
      </c>
      <c r="E212" s="167">
        <v>11560.0</v>
      </c>
      <c r="F212" s="38"/>
      <c r="G212" s="38"/>
      <c r="H212" s="37">
        <v>6119.0</v>
      </c>
      <c r="I212" s="4">
        <v>4300.0</v>
      </c>
      <c r="J212" s="15">
        <f t="shared" si="4"/>
        <v>1141</v>
      </c>
      <c r="K212" s="32"/>
      <c r="L212" s="24"/>
      <c r="N212" s="18"/>
      <c r="O212" s="19"/>
      <c r="P212" s="12"/>
      <c r="Q212" s="12"/>
      <c r="R212" s="12"/>
      <c r="S212" s="12"/>
      <c r="V212" s="12"/>
      <c r="W212" s="12"/>
      <c r="X212" s="12"/>
      <c r="Y212" s="12"/>
      <c r="Z212" s="12"/>
      <c r="AA212" s="12"/>
      <c r="AB212" s="12"/>
    </row>
    <row r="213">
      <c r="A213" s="4" t="s">
        <v>157</v>
      </c>
      <c r="B213" s="105">
        <v>2.038611186927E12</v>
      </c>
      <c r="C213" s="109" t="s">
        <v>307</v>
      </c>
      <c r="D213" s="102" t="s">
        <v>307</v>
      </c>
      <c r="E213" s="167">
        <v>2699.0</v>
      </c>
      <c r="F213" s="38"/>
      <c r="G213" s="38"/>
      <c r="H213" s="37">
        <v>1529.0</v>
      </c>
      <c r="I213" s="37">
        <v>1170.0</v>
      </c>
      <c r="J213" s="15">
        <f t="shared" si="4"/>
        <v>0</v>
      </c>
      <c r="K213" s="39"/>
      <c r="L213" s="38"/>
      <c r="M213" s="169"/>
      <c r="N213" s="18"/>
      <c r="O213" s="19"/>
      <c r="P213" s="12"/>
      <c r="Q213" s="12"/>
      <c r="R213" s="12"/>
      <c r="S213" s="12"/>
      <c r="V213" s="12"/>
      <c r="W213" s="12"/>
      <c r="X213" s="12"/>
      <c r="Y213" s="12"/>
      <c r="Z213" s="12"/>
      <c r="AA213" s="12"/>
      <c r="AB213" s="12"/>
    </row>
    <row r="214">
      <c r="A214" s="4" t="s">
        <v>157</v>
      </c>
      <c r="B214" s="105">
        <v>4.631146328114E12</v>
      </c>
      <c r="C214" s="109" t="s">
        <v>308</v>
      </c>
      <c r="D214" s="102" t="s">
        <v>309</v>
      </c>
      <c r="E214" s="167">
        <v>35450.0</v>
      </c>
      <c r="F214" s="38"/>
      <c r="G214" s="38"/>
      <c r="H214" s="37">
        <v>21412.0</v>
      </c>
      <c r="I214" s="37">
        <v>8232.0</v>
      </c>
      <c r="J214" s="15">
        <f t="shared" si="4"/>
        <v>5806</v>
      </c>
      <c r="K214" s="50">
        <v>60.0</v>
      </c>
      <c r="L214" s="38"/>
      <c r="M214" s="169"/>
      <c r="N214" s="18"/>
      <c r="O214" s="19"/>
      <c r="P214" s="12"/>
      <c r="Q214" s="12"/>
      <c r="R214" s="12"/>
      <c r="S214" s="12"/>
      <c r="V214" s="12"/>
      <c r="W214" s="12"/>
      <c r="X214" s="12"/>
      <c r="Y214" s="12"/>
      <c r="Z214" s="12"/>
      <c r="AA214" s="12"/>
      <c r="AB214" s="12"/>
    </row>
    <row r="215">
      <c r="A215" s="4" t="s">
        <v>157</v>
      </c>
      <c r="B215" s="108">
        <v>4.632456164782E12</v>
      </c>
      <c r="C215" s="38" t="s">
        <v>310</v>
      </c>
      <c r="D215" s="38" t="s">
        <v>310</v>
      </c>
      <c r="E215" s="37">
        <v>920.0</v>
      </c>
      <c r="F215" s="38"/>
      <c r="G215" s="38"/>
      <c r="H215" s="37">
        <v>620.0</v>
      </c>
      <c r="I215" s="37">
        <v>300.0</v>
      </c>
      <c r="J215" s="15">
        <f t="shared" si="4"/>
        <v>0</v>
      </c>
      <c r="K215" s="38"/>
      <c r="L215" s="38"/>
      <c r="M215" s="169"/>
      <c r="N215" s="18"/>
      <c r="O215" s="19"/>
      <c r="P215" s="173"/>
      <c r="Q215" s="12"/>
      <c r="R215" s="12"/>
      <c r="S215" s="12"/>
      <c r="V215" s="12"/>
      <c r="W215" s="12"/>
      <c r="X215" s="12"/>
      <c r="Y215" s="12"/>
      <c r="Z215" s="12"/>
      <c r="AA215" s="12"/>
      <c r="AB215" s="12"/>
    </row>
    <row r="216">
      <c r="A216" s="4" t="s">
        <v>157</v>
      </c>
      <c r="B216" s="2">
        <v>4.627099782752E12</v>
      </c>
      <c r="C216" s="86" t="s">
        <v>311</v>
      </c>
      <c r="D216" s="37" t="s">
        <v>311</v>
      </c>
      <c r="E216" s="37">
        <v>2040.0</v>
      </c>
      <c r="F216" s="38"/>
      <c r="G216" s="38"/>
      <c r="H216" s="37">
        <v>1181.0</v>
      </c>
      <c r="I216" s="37">
        <v>650.0</v>
      </c>
      <c r="J216" s="15">
        <f t="shared" si="4"/>
        <v>209</v>
      </c>
      <c r="K216" s="39"/>
      <c r="L216" s="37" t="s">
        <v>312</v>
      </c>
      <c r="M216" s="169"/>
      <c r="N216" s="18"/>
      <c r="O216" s="19"/>
      <c r="P216" s="173"/>
      <c r="Q216" s="12"/>
      <c r="R216" s="12"/>
      <c r="S216" s="12"/>
      <c r="V216" s="12"/>
      <c r="W216" s="12"/>
      <c r="X216" s="12"/>
      <c r="Y216" s="12"/>
      <c r="Z216" s="12"/>
      <c r="AA216" s="12"/>
      <c r="AB216" s="12"/>
    </row>
    <row r="217">
      <c r="A217" s="4" t="s">
        <v>157</v>
      </c>
      <c r="B217" s="21">
        <v>4.63115359339E12</v>
      </c>
      <c r="C217" s="86" t="s">
        <v>313</v>
      </c>
      <c r="D217" s="37" t="s">
        <v>313</v>
      </c>
      <c r="E217" s="37">
        <v>3565.0</v>
      </c>
      <c r="F217" s="38"/>
      <c r="G217" s="38"/>
      <c r="H217" s="37">
        <v>1115.0</v>
      </c>
      <c r="I217" s="37">
        <v>1720.0</v>
      </c>
      <c r="J217" s="15">
        <f t="shared" si="4"/>
        <v>730</v>
      </c>
      <c r="K217" s="39"/>
      <c r="L217" s="38"/>
      <c r="M217" s="169"/>
      <c r="N217" s="18"/>
      <c r="O217" s="19"/>
      <c r="P217" s="173"/>
      <c r="Q217" s="12"/>
      <c r="R217" s="12"/>
      <c r="S217" s="12"/>
      <c r="V217" s="12"/>
      <c r="W217" s="12"/>
      <c r="X217" s="12"/>
      <c r="Y217" s="12"/>
      <c r="Z217" s="12"/>
      <c r="AA217" s="12"/>
      <c r="AB217" s="12"/>
    </row>
    <row r="218">
      <c r="A218" s="4" t="s">
        <v>157</v>
      </c>
      <c r="B218" s="105">
        <v>4.631157255768E12</v>
      </c>
      <c r="C218" s="171" t="s">
        <v>314</v>
      </c>
      <c r="D218" s="172" t="s">
        <v>315</v>
      </c>
      <c r="E218" s="167">
        <v>1290.0</v>
      </c>
      <c r="F218" s="170"/>
      <c r="G218" s="170"/>
      <c r="H218" s="86">
        <v>850.0</v>
      </c>
      <c r="I218" s="86">
        <v>310.0</v>
      </c>
      <c r="J218" s="15">
        <f t="shared" si="4"/>
        <v>130</v>
      </c>
      <c r="K218" s="174"/>
      <c r="L218" s="170"/>
      <c r="N218" s="18"/>
      <c r="O218" s="19"/>
      <c r="P218" s="173"/>
      <c r="Q218" s="12"/>
      <c r="R218" s="12"/>
      <c r="S218" s="12"/>
      <c r="V218" s="12"/>
      <c r="W218" s="12"/>
      <c r="X218" s="12"/>
      <c r="Y218" s="12"/>
      <c r="Z218" s="12"/>
      <c r="AA218" s="12"/>
      <c r="AB218" s="12"/>
    </row>
    <row r="219">
      <c r="A219" s="4" t="s">
        <v>157</v>
      </c>
      <c r="B219" s="83">
        <v>4.631136905394E12</v>
      </c>
      <c r="C219" s="171" t="s">
        <v>316</v>
      </c>
      <c r="D219" s="172" t="s">
        <v>317</v>
      </c>
      <c r="E219" s="167">
        <v>1840.0</v>
      </c>
      <c r="F219" s="38"/>
      <c r="G219" s="38"/>
      <c r="H219" s="37">
        <v>790.0</v>
      </c>
      <c r="I219" s="37">
        <v>400.0</v>
      </c>
      <c r="J219" s="15">
        <f t="shared" si="4"/>
        <v>650</v>
      </c>
      <c r="K219" s="39"/>
      <c r="L219" s="38"/>
      <c r="M219" s="169"/>
      <c r="N219" s="18"/>
      <c r="O219" s="19"/>
      <c r="P219" s="12"/>
      <c r="Q219" s="12"/>
      <c r="R219" s="12"/>
      <c r="S219" s="12"/>
      <c r="V219" s="12"/>
      <c r="W219" s="12"/>
      <c r="X219" s="12"/>
      <c r="Y219" s="12"/>
      <c r="Z219" s="12"/>
      <c r="AA219" s="12"/>
      <c r="AB219" s="12"/>
    </row>
    <row r="220">
      <c r="A220" s="4" t="s">
        <v>157</v>
      </c>
      <c r="B220" s="105">
        <v>4.631144673056E12</v>
      </c>
      <c r="C220" s="109" t="s">
        <v>318</v>
      </c>
      <c r="D220" s="102" t="s">
        <v>318</v>
      </c>
      <c r="E220" s="167">
        <v>82929.0</v>
      </c>
      <c r="F220" s="38"/>
      <c r="G220" s="38"/>
      <c r="H220" s="37">
        <v>38707.0</v>
      </c>
      <c r="I220" s="37">
        <v>39032.0</v>
      </c>
      <c r="J220" s="15">
        <f t="shared" si="4"/>
        <v>5190</v>
      </c>
      <c r="K220" s="39"/>
      <c r="L220" s="38"/>
      <c r="M220" s="169"/>
      <c r="N220" s="18"/>
      <c r="O220" s="19"/>
      <c r="P220" s="12"/>
      <c r="Q220" s="12"/>
      <c r="R220" s="12"/>
      <c r="S220" s="12"/>
      <c r="V220" s="12"/>
      <c r="W220" s="12"/>
      <c r="X220" s="12"/>
      <c r="Y220" s="12"/>
      <c r="Z220" s="12"/>
      <c r="AA220" s="12"/>
      <c r="AB220" s="12"/>
    </row>
    <row r="221">
      <c r="A221" s="4" t="s">
        <v>157</v>
      </c>
      <c r="B221" s="105">
        <v>2.038301521588E12</v>
      </c>
      <c r="C221" s="109" t="s">
        <v>319</v>
      </c>
      <c r="D221" s="102" t="s">
        <v>319</v>
      </c>
      <c r="E221" s="167">
        <v>6429.0</v>
      </c>
      <c r="F221" s="38"/>
      <c r="G221" s="38"/>
      <c r="H221" s="37">
        <v>2429.0</v>
      </c>
      <c r="I221" s="37">
        <v>4000.0</v>
      </c>
      <c r="J221" s="15">
        <f t="shared" si="4"/>
        <v>0</v>
      </c>
      <c r="K221" s="39"/>
      <c r="L221" s="38"/>
      <c r="M221" s="169"/>
      <c r="N221" s="18"/>
      <c r="O221" s="132"/>
      <c r="P221" s="12"/>
      <c r="Q221" s="12"/>
      <c r="R221" s="12"/>
      <c r="S221" s="12"/>
      <c r="V221" s="12"/>
      <c r="W221" s="12"/>
      <c r="X221" s="12"/>
      <c r="Y221" s="12"/>
      <c r="Z221" s="12"/>
      <c r="AA221" s="12"/>
      <c r="AB221" s="12"/>
    </row>
    <row r="222">
      <c r="A222" s="4" t="s">
        <v>157</v>
      </c>
      <c r="B222" s="105">
        <v>2.038301524237E12</v>
      </c>
      <c r="C222" s="109" t="s">
        <v>320</v>
      </c>
      <c r="D222" s="102" t="s">
        <v>320</v>
      </c>
      <c r="E222" s="167">
        <v>15731.0</v>
      </c>
      <c r="F222" s="38"/>
      <c r="G222" s="38"/>
      <c r="H222" s="37">
        <v>8187.0</v>
      </c>
      <c r="I222" s="37">
        <v>7544.0</v>
      </c>
      <c r="J222" s="15">
        <f t="shared" si="4"/>
        <v>0</v>
      </c>
      <c r="K222" s="39"/>
      <c r="L222" s="38"/>
      <c r="M222" s="169"/>
      <c r="N222" s="18"/>
      <c r="O222" s="132"/>
      <c r="P222" s="12"/>
      <c r="Q222" s="12"/>
      <c r="R222" s="12"/>
      <c r="S222" s="12"/>
      <c r="V222" s="12"/>
      <c r="W222" s="12"/>
      <c r="X222" s="12"/>
      <c r="Y222" s="12"/>
      <c r="Z222" s="12"/>
      <c r="AA222" s="12"/>
      <c r="AB222" s="12"/>
    </row>
    <row r="223">
      <c r="A223" s="4" t="s">
        <v>157</v>
      </c>
      <c r="B223" s="105">
        <v>4.627144543048E12</v>
      </c>
      <c r="C223" s="109" t="s">
        <v>321</v>
      </c>
      <c r="D223" s="102" t="s">
        <v>321</v>
      </c>
      <c r="E223" s="167">
        <v>1137.0</v>
      </c>
      <c r="F223" s="38"/>
      <c r="G223" s="38"/>
      <c r="H223" s="37">
        <v>966.0</v>
      </c>
      <c r="I223" s="37">
        <v>120.0</v>
      </c>
      <c r="J223" s="15">
        <f t="shared" si="4"/>
        <v>51</v>
      </c>
      <c r="K223" s="39"/>
      <c r="L223" s="38"/>
      <c r="M223" s="169"/>
      <c r="N223" s="18"/>
      <c r="O223" s="132"/>
      <c r="P223" s="12"/>
      <c r="Q223" s="12"/>
      <c r="R223" s="12"/>
      <c r="S223" s="12"/>
      <c r="V223" s="12"/>
      <c r="W223" s="12"/>
      <c r="X223" s="12"/>
      <c r="Y223" s="12"/>
      <c r="Z223" s="12"/>
      <c r="AA223" s="12"/>
      <c r="AB223" s="12"/>
    </row>
    <row r="224">
      <c r="A224" s="4" t="s">
        <v>157</v>
      </c>
      <c r="B224" s="105">
        <v>2.000912963002E12</v>
      </c>
      <c r="C224" s="175" t="s">
        <v>322</v>
      </c>
      <c r="D224" s="172" t="s">
        <v>323</v>
      </c>
      <c r="E224" s="167">
        <v>640.0</v>
      </c>
      <c r="F224" s="38"/>
      <c r="G224" s="38"/>
      <c r="H224" s="37">
        <v>260.0</v>
      </c>
      <c r="I224" s="37">
        <v>80.0</v>
      </c>
      <c r="J224" s="15">
        <f t="shared" si="4"/>
        <v>300</v>
      </c>
      <c r="K224" s="39"/>
      <c r="L224" s="37" t="s">
        <v>324</v>
      </c>
      <c r="M224" s="169"/>
      <c r="N224" s="18"/>
      <c r="O224" s="132"/>
      <c r="P224" s="12"/>
      <c r="Q224" s="12"/>
      <c r="R224" s="12"/>
      <c r="S224" s="12"/>
      <c r="V224" s="12"/>
      <c r="W224" s="12"/>
      <c r="X224" s="12"/>
      <c r="Y224" s="12"/>
      <c r="Z224" s="12"/>
      <c r="AA224" s="12"/>
      <c r="AB224" s="12"/>
    </row>
    <row r="225">
      <c r="A225" s="4" t="s">
        <v>157</v>
      </c>
      <c r="B225" s="176">
        <v>4.670020498208E12</v>
      </c>
      <c r="C225" s="177" t="s">
        <v>325</v>
      </c>
      <c r="D225" s="102" t="s">
        <v>325</v>
      </c>
      <c r="E225" s="167">
        <v>58159.0</v>
      </c>
      <c r="F225" s="38"/>
      <c r="G225" s="37"/>
      <c r="H225" s="37">
        <v>12499.0</v>
      </c>
      <c r="I225" s="37">
        <v>45423.0</v>
      </c>
      <c r="J225" s="15">
        <f t="shared" si="4"/>
        <v>237</v>
      </c>
      <c r="K225" s="50">
        <v>144.0</v>
      </c>
      <c r="L225" s="38"/>
      <c r="M225" s="169"/>
      <c r="N225" s="18"/>
      <c r="O225" s="132"/>
      <c r="P225" s="12"/>
      <c r="Q225" s="12"/>
      <c r="R225" s="12"/>
      <c r="S225" s="12"/>
      <c r="V225" s="12"/>
      <c r="W225" s="12"/>
      <c r="X225" s="12"/>
      <c r="Y225" s="12"/>
      <c r="Z225" s="12"/>
      <c r="AA225" s="12"/>
      <c r="AB225" s="12"/>
    </row>
    <row r="226">
      <c r="A226" s="4" t="s">
        <v>157</v>
      </c>
      <c r="B226" s="105">
        <v>4.627193453732E12</v>
      </c>
      <c r="C226" s="102" t="s">
        <v>326</v>
      </c>
      <c r="D226" s="102" t="s">
        <v>326</v>
      </c>
      <c r="E226" s="167">
        <v>3077.0</v>
      </c>
      <c r="F226" s="38"/>
      <c r="G226" s="38"/>
      <c r="H226" s="37">
        <v>1163.0</v>
      </c>
      <c r="I226" s="37">
        <v>1104.0</v>
      </c>
      <c r="J226" s="15">
        <f t="shared" si="4"/>
        <v>810</v>
      </c>
      <c r="K226" s="50">
        <v>12.0</v>
      </c>
      <c r="L226" s="178">
        <v>46174.0</v>
      </c>
      <c r="N226" s="18"/>
      <c r="O226" s="132"/>
      <c r="P226" s="12"/>
      <c r="Q226" s="12"/>
      <c r="R226" s="12"/>
      <c r="S226" s="12"/>
      <c r="V226" s="12"/>
      <c r="W226" s="12"/>
      <c r="X226" s="12"/>
      <c r="Y226" s="12"/>
      <c r="Z226" s="12"/>
      <c r="AA226" s="12"/>
      <c r="AB226" s="12"/>
    </row>
    <row r="227">
      <c r="A227" s="4" t="s">
        <v>157</v>
      </c>
      <c r="B227" s="50">
        <v>4.670020498437E12</v>
      </c>
      <c r="C227" s="86" t="s">
        <v>327</v>
      </c>
      <c r="D227" s="37" t="s">
        <v>327</v>
      </c>
      <c r="E227" s="37">
        <v>31191.0</v>
      </c>
      <c r="F227" s="38"/>
      <c r="G227" s="38"/>
      <c r="H227" s="37">
        <v>3559.0</v>
      </c>
      <c r="I227" s="37">
        <v>24180.0</v>
      </c>
      <c r="J227" s="15">
        <f t="shared" si="4"/>
        <v>3452</v>
      </c>
      <c r="K227" s="50" t="s">
        <v>328</v>
      </c>
      <c r="L227" s="38"/>
      <c r="N227" s="18"/>
      <c r="O227" s="132"/>
      <c r="P227" s="12"/>
      <c r="Q227" s="12"/>
      <c r="R227" s="12"/>
      <c r="S227" s="12"/>
      <c r="V227" s="12"/>
      <c r="W227" s="12"/>
      <c r="X227" s="12"/>
      <c r="Y227" s="12"/>
      <c r="Z227" s="12"/>
      <c r="AA227" s="12"/>
      <c r="AB227" s="12"/>
    </row>
    <row r="228">
      <c r="A228" s="4" t="s">
        <v>157</v>
      </c>
      <c r="B228" s="50">
        <v>4.67014296494E12</v>
      </c>
      <c r="C228" s="86" t="s">
        <v>329</v>
      </c>
      <c r="D228" s="37" t="s">
        <v>329</v>
      </c>
      <c r="E228" s="37">
        <v>17073.0</v>
      </c>
      <c r="F228" s="38"/>
      <c r="G228" s="38"/>
      <c r="H228" s="37">
        <v>7964.0</v>
      </c>
      <c r="I228" s="37">
        <v>4980.0</v>
      </c>
      <c r="J228" s="15">
        <f t="shared" si="4"/>
        <v>4129</v>
      </c>
      <c r="K228" s="50">
        <v>72.0</v>
      </c>
      <c r="L228" s="100">
        <v>46788.0</v>
      </c>
      <c r="N228" s="18"/>
      <c r="O228" s="132"/>
      <c r="P228" s="12"/>
      <c r="Q228" s="12"/>
      <c r="R228" s="12"/>
      <c r="S228" s="12"/>
      <c r="V228" s="12"/>
      <c r="W228" s="12"/>
      <c r="X228" s="12"/>
      <c r="Y228" s="12"/>
      <c r="Z228" s="12"/>
      <c r="AA228" s="12"/>
      <c r="AB228" s="12"/>
    </row>
    <row r="229">
      <c r="A229" s="4" t="s">
        <v>157</v>
      </c>
      <c r="B229" s="21">
        <v>4.631146952982E12</v>
      </c>
      <c r="C229" s="37" t="s">
        <v>330</v>
      </c>
      <c r="D229" s="23" t="s">
        <v>331</v>
      </c>
      <c r="E229" s="37">
        <v>2946.0</v>
      </c>
      <c r="F229" s="38"/>
      <c r="G229" s="130"/>
      <c r="H229" s="50">
        <v>1895.0</v>
      </c>
      <c r="I229" s="50">
        <v>850.0</v>
      </c>
      <c r="J229" s="15">
        <f t="shared" si="4"/>
        <v>201</v>
      </c>
      <c r="K229" s="39"/>
      <c r="L229" s="38"/>
      <c r="M229" s="169"/>
      <c r="N229" s="18"/>
      <c r="O229" s="132"/>
      <c r="P229" s="12"/>
      <c r="Q229" s="12"/>
      <c r="R229" s="12"/>
      <c r="S229" s="12"/>
      <c r="V229" s="12"/>
      <c r="W229" s="12"/>
      <c r="X229" s="12"/>
      <c r="Y229" s="12"/>
      <c r="Z229" s="12"/>
      <c r="AA229" s="12"/>
      <c r="AB229" s="12"/>
    </row>
    <row r="230">
      <c r="A230" s="4" t="s">
        <v>157</v>
      </c>
      <c r="B230" s="50">
        <v>4.676574657436E12</v>
      </c>
      <c r="C230" s="37" t="s">
        <v>332</v>
      </c>
      <c r="D230" s="37" t="s">
        <v>332</v>
      </c>
      <c r="E230" s="37">
        <v>8500.0</v>
      </c>
      <c r="F230" s="38"/>
      <c r="G230" s="38"/>
      <c r="H230" s="37">
        <v>2592.0</v>
      </c>
      <c r="I230" s="37">
        <v>1878.0</v>
      </c>
      <c r="J230" s="15">
        <f t="shared" si="4"/>
        <v>4030</v>
      </c>
      <c r="K230" s="39"/>
      <c r="L230" s="38"/>
      <c r="M230" s="169"/>
      <c r="N230" s="18"/>
      <c r="O230" s="132"/>
      <c r="P230" s="12"/>
      <c r="Q230" s="12"/>
      <c r="R230" s="12"/>
      <c r="S230" s="12"/>
      <c r="V230" s="12"/>
      <c r="W230" s="12"/>
      <c r="X230" s="12"/>
      <c r="Y230" s="12"/>
      <c r="Z230" s="12"/>
      <c r="AA230" s="12"/>
      <c r="AB230" s="12"/>
    </row>
    <row r="231">
      <c r="A231" s="4" t="s">
        <v>157</v>
      </c>
      <c r="B231" s="96">
        <v>4.670020496761E12</v>
      </c>
      <c r="C231" s="179" t="s">
        <v>333</v>
      </c>
      <c r="D231" s="97" t="s">
        <v>333</v>
      </c>
      <c r="E231" s="37">
        <v>6123.0</v>
      </c>
      <c r="F231" s="38"/>
      <c r="G231" s="38"/>
      <c r="H231" s="37">
        <v>2460.0</v>
      </c>
      <c r="I231" s="37">
        <v>3360.0</v>
      </c>
      <c r="J231" s="15">
        <f t="shared" si="4"/>
        <v>303</v>
      </c>
      <c r="K231" s="50">
        <v>128.0</v>
      </c>
      <c r="L231" s="38"/>
      <c r="N231" s="18"/>
      <c r="O231" s="132"/>
      <c r="P231" s="180"/>
      <c r="Q231" s="12"/>
      <c r="R231" s="12"/>
      <c r="S231" s="12"/>
      <c r="V231" s="12"/>
      <c r="W231" s="12"/>
      <c r="X231" s="12"/>
      <c r="Y231" s="12"/>
      <c r="Z231" s="12"/>
      <c r="AA231" s="12"/>
      <c r="AB231" s="12"/>
    </row>
    <row r="232">
      <c r="A232" s="4" t="s">
        <v>157</v>
      </c>
      <c r="B232" s="50">
        <v>4.670020498741E12</v>
      </c>
      <c r="C232" s="99" t="s">
        <v>334</v>
      </c>
      <c r="D232" s="37" t="s">
        <v>334</v>
      </c>
      <c r="E232" s="37">
        <v>25227.0</v>
      </c>
      <c r="F232" s="38"/>
      <c r="G232" s="38"/>
      <c r="H232" s="37">
        <v>7321.0</v>
      </c>
      <c r="I232" s="37">
        <v>17904.0</v>
      </c>
      <c r="J232" s="15">
        <f t="shared" si="4"/>
        <v>2</v>
      </c>
      <c r="K232" s="50" t="s">
        <v>91</v>
      </c>
      <c r="L232" s="38"/>
      <c r="N232" s="18"/>
      <c r="O232" s="132"/>
      <c r="P232" s="12"/>
      <c r="Q232" s="12"/>
      <c r="R232" s="12"/>
      <c r="S232" s="12"/>
      <c r="V232" s="12"/>
      <c r="W232" s="12"/>
      <c r="X232" s="12"/>
      <c r="Y232" s="12"/>
      <c r="Z232" s="12"/>
      <c r="AA232" s="12"/>
      <c r="AB232" s="12"/>
    </row>
    <row r="233">
      <c r="A233" s="4" t="s">
        <v>157</v>
      </c>
      <c r="B233" s="50">
        <v>4.603320465366E12</v>
      </c>
      <c r="C233" s="51" t="s">
        <v>335</v>
      </c>
      <c r="D233" s="37" t="s">
        <v>335</v>
      </c>
      <c r="E233" s="37">
        <v>17097.0</v>
      </c>
      <c r="F233" s="38"/>
      <c r="G233" s="38"/>
      <c r="H233" s="37">
        <v>5993.0</v>
      </c>
      <c r="I233" s="37">
        <v>9559.0</v>
      </c>
      <c r="J233" s="15">
        <f t="shared" si="4"/>
        <v>1545</v>
      </c>
      <c r="K233" s="50" t="s">
        <v>336</v>
      </c>
      <c r="L233" s="38"/>
      <c r="N233" s="18"/>
      <c r="O233" s="132"/>
      <c r="P233" s="12"/>
      <c r="Q233" s="12"/>
      <c r="R233" s="12"/>
      <c r="S233" s="12"/>
      <c r="V233" s="12"/>
      <c r="W233" s="12"/>
      <c r="X233" s="12"/>
      <c r="Y233" s="12"/>
      <c r="Z233" s="12"/>
      <c r="AA233" s="12"/>
      <c r="AB233" s="12"/>
    </row>
    <row r="234">
      <c r="A234" s="4" t="s">
        <v>157</v>
      </c>
      <c r="B234" s="2">
        <v>4.670020499816E12</v>
      </c>
      <c r="C234" s="86" t="s">
        <v>337</v>
      </c>
      <c r="D234" s="37" t="s">
        <v>337</v>
      </c>
      <c r="E234" s="37">
        <v>26712.0</v>
      </c>
      <c r="F234" s="38"/>
      <c r="G234" s="38"/>
      <c r="H234" s="37">
        <v>6579.0</v>
      </c>
      <c r="I234" s="37">
        <v>14368.0</v>
      </c>
      <c r="J234" s="15">
        <f t="shared" si="4"/>
        <v>5765</v>
      </c>
      <c r="K234" s="50" t="s">
        <v>338</v>
      </c>
      <c r="L234" s="38"/>
      <c r="N234" s="18"/>
      <c r="O234" s="132"/>
      <c r="P234" s="12"/>
      <c r="Q234" s="12"/>
      <c r="R234" s="12"/>
      <c r="S234" s="12"/>
      <c r="V234" s="12"/>
      <c r="W234" s="12"/>
      <c r="X234" s="12"/>
      <c r="Y234" s="12"/>
      <c r="Z234" s="12"/>
      <c r="AA234" s="12"/>
      <c r="AB234" s="12"/>
    </row>
    <row r="235">
      <c r="A235" s="4" t="s">
        <v>157</v>
      </c>
      <c r="B235" s="96">
        <v>4.627193453961E12</v>
      </c>
      <c r="C235" s="181" t="s">
        <v>339</v>
      </c>
      <c r="D235" s="97" t="s">
        <v>339</v>
      </c>
      <c r="E235" s="98">
        <v>19284.0</v>
      </c>
      <c r="F235" s="24"/>
      <c r="G235" s="24"/>
      <c r="H235" s="4">
        <v>7521.0</v>
      </c>
      <c r="I235" s="4">
        <v>8164.0</v>
      </c>
      <c r="J235" s="15">
        <f t="shared" si="4"/>
        <v>3599</v>
      </c>
      <c r="K235" s="2">
        <v>72.0</v>
      </c>
      <c r="L235" s="24"/>
      <c r="N235" s="18"/>
      <c r="O235" s="132"/>
      <c r="P235" s="12"/>
      <c r="Q235" s="12"/>
      <c r="R235" s="12"/>
      <c r="S235" s="12"/>
      <c r="V235" s="12"/>
      <c r="W235" s="12"/>
      <c r="X235" s="12"/>
      <c r="Y235" s="12"/>
      <c r="Z235" s="12"/>
      <c r="AA235" s="12"/>
      <c r="AB235" s="12"/>
    </row>
    <row r="236">
      <c r="A236" s="4" t="s">
        <v>157</v>
      </c>
      <c r="B236" s="50">
        <v>4.660417421452E12</v>
      </c>
      <c r="C236" s="86" t="s">
        <v>340</v>
      </c>
      <c r="D236" s="37" t="s">
        <v>340</v>
      </c>
      <c r="E236" s="37">
        <v>19445.0</v>
      </c>
      <c r="F236" s="38"/>
      <c r="G236" s="38"/>
      <c r="H236" s="37">
        <v>9189.0</v>
      </c>
      <c r="I236" s="37">
        <v>5612.0</v>
      </c>
      <c r="J236" s="15">
        <f t="shared" si="4"/>
        <v>4644</v>
      </c>
      <c r="K236" s="50">
        <v>144.0</v>
      </c>
      <c r="L236" s="38"/>
      <c r="N236" s="18"/>
      <c r="O236" s="132"/>
      <c r="P236" s="12"/>
      <c r="Q236" s="12"/>
      <c r="R236" s="12"/>
      <c r="S236" s="12"/>
      <c r="V236" s="12"/>
      <c r="W236" s="12"/>
      <c r="X236" s="12"/>
      <c r="Y236" s="12"/>
      <c r="Z236" s="12"/>
      <c r="AA236" s="12"/>
      <c r="AB236" s="12"/>
    </row>
    <row r="237">
      <c r="A237" s="4" t="s">
        <v>157</v>
      </c>
      <c r="B237" s="50">
        <v>4.670020498482E12</v>
      </c>
      <c r="C237" s="99" t="s">
        <v>341</v>
      </c>
      <c r="D237" s="37" t="s">
        <v>341</v>
      </c>
      <c r="E237" s="37">
        <v>8977.0</v>
      </c>
      <c r="F237" s="38"/>
      <c r="G237" s="37" t="s">
        <v>342</v>
      </c>
      <c r="H237" s="37">
        <v>2295.0</v>
      </c>
      <c r="I237" s="37">
        <v>6679.0</v>
      </c>
      <c r="J237" s="15">
        <f t="shared" si="4"/>
        <v>3</v>
      </c>
      <c r="K237" s="50" t="s">
        <v>343</v>
      </c>
      <c r="L237" s="38"/>
      <c r="N237" s="18"/>
      <c r="O237" s="132"/>
      <c r="P237" s="12"/>
      <c r="Q237" s="12"/>
      <c r="R237" s="12"/>
      <c r="S237" s="12"/>
      <c r="V237" s="12"/>
      <c r="W237" s="12"/>
      <c r="X237" s="12"/>
      <c r="Y237" s="12"/>
      <c r="Z237" s="12"/>
      <c r="AA237" s="12"/>
      <c r="AB237" s="12"/>
    </row>
    <row r="238">
      <c r="A238" s="37" t="s">
        <v>157</v>
      </c>
      <c r="B238" s="50">
        <v>4.66041742011E12</v>
      </c>
      <c r="C238" s="86" t="s">
        <v>344</v>
      </c>
      <c r="D238" s="37" t="s">
        <v>344</v>
      </c>
      <c r="E238" s="37">
        <v>42151.0</v>
      </c>
      <c r="F238" s="38"/>
      <c r="G238" s="37" t="s">
        <v>345</v>
      </c>
      <c r="H238" s="37">
        <v>8007.0</v>
      </c>
      <c r="I238" s="37">
        <v>26365.0</v>
      </c>
      <c r="J238" s="15">
        <f t="shared" si="4"/>
        <v>7779</v>
      </c>
      <c r="K238" s="50" t="s">
        <v>93</v>
      </c>
      <c r="L238" s="38"/>
      <c r="N238" s="18"/>
      <c r="O238" s="132"/>
      <c r="P238" s="12"/>
      <c r="Q238" s="12"/>
      <c r="R238" s="12"/>
      <c r="S238" s="12"/>
      <c r="V238" s="12"/>
      <c r="W238" s="12"/>
      <c r="X238" s="12"/>
      <c r="Y238" s="12"/>
      <c r="Z238" s="12"/>
      <c r="AA238" s="12"/>
      <c r="AB238" s="12"/>
    </row>
    <row r="239">
      <c r="A239" s="4" t="s">
        <v>157</v>
      </c>
      <c r="B239" s="50">
        <v>4.673748455355E12</v>
      </c>
      <c r="C239" s="37" t="s">
        <v>346</v>
      </c>
      <c r="D239" s="37" t="s">
        <v>346</v>
      </c>
      <c r="E239" s="37">
        <v>7887.0</v>
      </c>
      <c r="F239" s="38"/>
      <c r="G239" s="38"/>
      <c r="H239" s="37">
        <v>2713.0</v>
      </c>
      <c r="I239" s="37">
        <v>2150.0</v>
      </c>
      <c r="J239" s="15">
        <f t="shared" si="4"/>
        <v>3024</v>
      </c>
      <c r="K239" s="50">
        <v>108.0</v>
      </c>
      <c r="L239" s="38"/>
      <c r="N239" s="18"/>
      <c r="O239" s="19"/>
      <c r="P239" s="12"/>
      <c r="Q239" s="12"/>
      <c r="R239" s="12"/>
      <c r="S239" s="12"/>
      <c r="V239" s="12"/>
      <c r="W239" s="12"/>
      <c r="X239" s="12"/>
      <c r="Y239" s="12"/>
      <c r="Z239" s="12"/>
      <c r="AA239" s="12"/>
      <c r="AB239" s="12"/>
    </row>
    <row r="240">
      <c r="A240" s="4" t="s">
        <v>157</v>
      </c>
      <c r="B240" s="50">
        <v>4.603320465441E12</v>
      </c>
      <c r="C240" s="51" t="s">
        <v>347</v>
      </c>
      <c r="D240" s="37" t="s">
        <v>347</v>
      </c>
      <c r="E240" s="37">
        <v>42570.0</v>
      </c>
      <c r="F240" s="38"/>
      <c r="G240" s="38"/>
      <c r="H240" s="37">
        <v>7758.0</v>
      </c>
      <c r="I240" s="37">
        <v>29912.0</v>
      </c>
      <c r="J240" s="15">
        <f t="shared" si="4"/>
        <v>4900</v>
      </c>
      <c r="K240" s="50" t="s">
        <v>348</v>
      </c>
      <c r="L240" s="38"/>
      <c r="N240" s="18"/>
      <c r="O240" s="19"/>
      <c r="P240" s="12"/>
      <c r="Q240" s="12"/>
      <c r="R240" s="12"/>
      <c r="S240" s="12"/>
      <c r="V240" s="12"/>
      <c r="W240" s="12"/>
      <c r="X240" s="12"/>
      <c r="Y240" s="12"/>
      <c r="Z240" s="12"/>
      <c r="AA240" s="12"/>
      <c r="AB240" s="12"/>
    </row>
    <row r="241">
      <c r="A241" s="4" t="s">
        <v>157</v>
      </c>
      <c r="B241" s="50">
        <v>4.610172181559E12</v>
      </c>
      <c r="C241" s="37" t="s">
        <v>349</v>
      </c>
      <c r="D241" s="37" t="s">
        <v>349</v>
      </c>
      <c r="E241" s="37">
        <v>5046.0</v>
      </c>
      <c r="F241" s="38"/>
      <c r="G241" s="38"/>
      <c r="H241" s="37">
        <v>1954.0</v>
      </c>
      <c r="I241" s="37">
        <v>2600.0</v>
      </c>
      <c r="J241" s="15">
        <f t="shared" si="4"/>
        <v>492</v>
      </c>
      <c r="K241" s="50">
        <v>60.0</v>
      </c>
      <c r="L241" s="38"/>
      <c r="N241" s="18"/>
      <c r="O241" s="19"/>
      <c r="P241" s="12"/>
      <c r="Q241" s="12"/>
      <c r="R241" s="12"/>
      <c r="S241" s="12"/>
      <c r="V241" s="12"/>
      <c r="W241" s="12"/>
      <c r="X241" s="12"/>
      <c r="Y241" s="12"/>
      <c r="Z241" s="12"/>
      <c r="AA241" s="12"/>
      <c r="AB241" s="12"/>
    </row>
    <row r="242">
      <c r="A242" s="4" t="s">
        <v>157</v>
      </c>
      <c r="B242" s="50">
        <v>4.670020498499E12</v>
      </c>
      <c r="C242" s="37" t="s">
        <v>350</v>
      </c>
      <c r="D242" s="37" t="s">
        <v>350</v>
      </c>
      <c r="E242" s="37">
        <v>8059.0</v>
      </c>
      <c r="F242" s="38"/>
      <c r="G242" s="38"/>
      <c r="H242" s="37">
        <v>3865.0</v>
      </c>
      <c r="I242" s="37">
        <v>3426.0</v>
      </c>
      <c r="J242" s="15">
        <f t="shared" si="4"/>
        <v>768</v>
      </c>
      <c r="K242" s="50">
        <v>50.0</v>
      </c>
      <c r="L242" s="38"/>
      <c r="M242" s="8"/>
      <c r="N242" s="18"/>
      <c r="O242" s="19"/>
      <c r="P242" s="12"/>
      <c r="Q242" s="12"/>
      <c r="R242" s="12"/>
      <c r="S242" s="12"/>
      <c r="V242" s="12"/>
      <c r="W242" s="12"/>
      <c r="X242" s="12"/>
      <c r="Y242" s="12"/>
      <c r="Z242" s="12"/>
      <c r="AA242" s="12"/>
      <c r="AB242" s="12"/>
    </row>
    <row r="243">
      <c r="A243" s="4" t="s">
        <v>157</v>
      </c>
      <c r="B243" s="96">
        <v>4.660417421247E12</v>
      </c>
      <c r="C243" s="179" t="s">
        <v>351</v>
      </c>
      <c r="D243" s="97" t="s">
        <v>351</v>
      </c>
      <c r="E243" s="37">
        <v>3556.0</v>
      </c>
      <c r="F243" s="38"/>
      <c r="G243" s="38"/>
      <c r="H243" s="37">
        <v>885.0</v>
      </c>
      <c r="I243" s="37">
        <v>2076.0</v>
      </c>
      <c r="J243" s="15">
        <f t="shared" si="4"/>
        <v>595</v>
      </c>
      <c r="K243" s="50">
        <v>128.0</v>
      </c>
      <c r="L243" s="38"/>
      <c r="M243" s="8"/>
      <c r="N243" s="18"/>
      <c r="O243" s="19"/>
      <c r="P243" s="12"/>
      <c r="Q243" s="12"/>
      <c r="R243" s="12"/>
      <c r="S243" s="12"/>
      <c r="V243" s="12"/>
      <c r="W243" s="12"/>
      <c r="X243" s="12"/>
      <c r="Y243" s="12"/>
      <c r="Z243" s="12"/>
      <c r="AA243" s="12"/>
      <c r="AB243" s="12"/>
    </row>
    <row r="244">
      <c r="A244" s="4" t="s">
        <v>157</v>
      </c>
      <c r="B244" s="50">
        <v>4.603320465465E12</v>
      </c>
      <c r="C244" s="51" t="s">
        <v>352</v>
      </c>
      <c r="D244" s="37" t="s">
        <v>352</v>
      </c>
      <c r="E244" s="37">
        <v>15586.0</v>
      </c>
      <c r="F244" s="38"/>
      <c r="G244" s="38"/>
      <c r="H244" s="37">
        <v>4262.0</v>
      </c>
      <c r="I244" s="37">
        <v>11245.0</v>
      </c>
      <c r="J244" s="15">
        <f t="shared" si="4"/>
        <v>79</v>
      </c>
      <c r="K244" s="37">
        <v>50.0</v>
      </c>
      <c r="L244" s="38"/>
      <c r="M244" s="8"/>
      <c r="N244" s="18"/>
      <c r="O244" s="19"/>
      <c r="P244" s="12"/>
      <c r="Q244" s="12"/>
      <c r="R244" s="12"/>
      <c r="S244" s="12"/>
      <c r="V244" s="12"/>
      <c r="W244" s="12"/>
      <c r="X244" s="12"/>
      <c r="Y244" s="12"/>
      <c r="Z244" s="12"/>
      <c r="AA244" s="12"/>
      <c r="AB244" s="12"/>
    </row>
    <row r="245">
      <c r="A245" s="4" t="s">
        <v>157</v>
      </c>
      <c r="B245" s="96">
        <v>4.630084864777E12</v>
      </c>
      <c r="C245" s="182" t="s">
        <v>353</v>
      </c>
      <c r="D245" s="97" t="s">
        <v>353</v>
      </c>
      <c r="E245" s="37">
        <v>9798.0</v>
      </c>
      <c r="F245" s="38"/>
      <c r="G245" s="38"/>
      <c r="H245" s="37">
        <v>6286.0</v>
      </c>
      <c r="I245" s="37">
        <v>3500.0</v>
      </c>
      <c r="J245" s="15">
        <f t="shared" si="4"/>
        <v>12</v>
      </c>
      <c r="K245" s="38"/>
      <c r="L245" s="38"/>
      <c r="M245" s="8"/>
      <c r="N245" s="18"/>
      <c r="O245" s="19"/>
      <c r="P245" s="12"/>
      <c r="Q245" s="12"/>
      <c r="R245" s="11"/>
      <c r="S245" s="12"/>
      <c r="V245" s="12"/>
      <c r="W245" s="12"/>
      <c r="X245" s="12"/>
      <c r="Y245" s="12"/>
      <c r="Z245" s="12"/>
      <c r="AA245" s="12"/>
      <c r="AB245" s="12"/>
    </row>
    <row r="246">
      <c r="A246" s="4" t="s">
        <v>157</v>
      </c>
      <c r="B246" s="50">
        <v>4.603320465359E12</v>
      </c>
      <c r="C246" s="99" t="s">
        <v>354</v>
      </c>
      <c r="D246" s="37" t="s">
        <v>354</v>
      </c>
      <c r="E246" s="37">
        <v>14856.0</v>
      </c>
      <c r="F246" s="38"/>
      <c r="G246" s="38"/>
      <c r="H246" s="37">
        <v>7778.0</v>
      </c>
      <c r="I246" s="37">
        <v>7076.0</v>
      </c>
      <c r="J246" s="15">
        <f t="shared" si="4"/>
        <v>2</v>
      </c>
      <c r="K246" s="37">
        <v>144.0</v>
      </c>
      <c r="L246" s="38"/>
      <c r="M246" s="8"/>
      <c r="N246" s="18"/>
      <c r="O246" s="19"/>
      <c r="P246" s="12"/>
      <c r="Q246" s="12"/>
      <c r="R246" s="12"/>
      <c r="S246" s="12"/>
      <c r="V246" s="12"/>
      <c r="W246" s="12"/>
      <c r="X246" s="12"/>
      <c r="Y246" s="12"/>
      <c r="Z246" s="12"/>
      <c r="AA246" s="12"/>
      <c r="AB246" s="12"/>
    </row>
    <row r="247">
      <c r="A247" s="4" t="s">
        <v>157</v>
      </c>
      <c r="B247" s="50">
        <v>4.670020498611E12</v>
      </c>
      <c r="C247" s="51" t="s">
        <v>355</v>
      </c>
      <c r="D247" s="37" t="s">
        <v>355</v>
      </c>
      <c r="E247" s="37">
        <v>19878.0</v>
      </c>
      <c r="F247" s="38"/>
      <c r="G247" s="38"/>
      <c r="H247" s="37">
        <v>3887.0</v>
      </c>
      <c r="I247" s="37">
        <v>15437.0</v>
      </c>
      <c r="J247" s="15">
        <f t="shared" si="4"/>
        <v>554</v>
      </c>
      <c r="K247" s="37">
        <v>100.0</v>
      </c>
      <c r="L247" s="38"/>
      <c r="M247" s="8"/>
      <c r="N247" s="18"/>
      <c r="O247" s="19"/>
      <c r="P247" s="12"/>
      <c r="Q247" s="12"/>
      <c r="R247" s="12"/>
      <c r="S247" s="12"/>
      <c r="V247" s="12"/>
      <c r="W247" s="12"/>
      <c r="X247" s="12"/>
      <c r="Y247" s="12"/>
      <c r="Z247" s="12"/>
      <c r="AA247" s="12"/>
      <c r="AB247" s="12"/>
    </row>
    <row r="248">
      <c r="A248" s="4" t="s">
        <v>157</v>
      </c>
      <c r="B248" s="50">
        <v>4.660417421476E12</v>
      </c>
      <c r="C248" s="37" t="s">
        <v>356</v>
      </c>
      <c r="D248" s="37" t="s">
        <v>356</v>
      </c>
      <c r="E248" s="37">
        <v>5005.0</v>
      </c>
      <c r="F248" s="38"/>
      <c r="G248" s="38"/>
      <c r="H248" s="37">
        <v>1975.0</v>
      </c>
      <c r="I248" s="37">
        <v>2582.0</v>
      </c>
      <c r="J248" s="15">
        <f t="shared" si="4"/>
        <v>448</v>
      </c>
      <c r="K248" s="50" t="s">
        <v>357</v>
      </c>
      <c r="L248" s="38"/>
      <c r="M248" s="8"/>
      <c r="N248" s="18"/>
      <c r="O248" s="19"/>
      <c r="P248" s="12"/>
      <c r="Q248" s="12"/>
      <c r="R248" s="12"/>
      <c r="S248" s="12"/>
      <c r="V248" s="12"/>
      <c r="W248" s="12"/>
      <c r="X248" s="12"/>
      <c r="Y248" s="12"/>
      <c r="Z248" s="12"/>
      <c r="AA248" s="12"/>
      <c r="AB248" s="12"/>
    </row>
    <row r="249">
      <c r="A249" s="4" t="s">
        <v>157</v>
      </c>
      <c r="B249" s="96">
        <v>4.627193453695E12</v>
      </c>
      <c r="C249" s="97" t="s">
        <v>358</v>
      </c>
      <c r="D249" s="97" t="s">
        <v>358</v>
      </c>
      <c r="E249" s="98">
        <v>2088.0</v>
      </c>
      <c r="F249" s="98"/>
      <c r="G249" s="4"/>
      <c r="H249" s="4">
        <v>40.0</v>
      </c>
      <c r="I249" s="4">
        <v>516.0</v>
      </c>
      <c r="J249" s="15">
        <f t="shared" si="4"/>
        <v>1532</v>
      </c>
      <c r="K249" s="32"/>
      <c r="L249" s="82"/>
      <c r="N249" s="18"/>
      <c r="O249" s="19"/>
      <c r="P249" s="12"/>
      <c r="Q249" s="12"/>
      <c r="R249" s="12"/>
      <c r="S249" s="12"/>
      <c r="V249" s="12"/>
      <c r="W249" s="12"/>
      <c r="X249" s="12"/>
      <c r="Y249" s="12"/>
      <c r="Z249" s="12"/>
      <c r="AA249" s="12"/>
      <c r="AB249" s="12"/>
    </row>
    <row r="250">
      <c r="A250" s="4" t="s">
        <v>157</v>
      </c>
      <c r="B250" s="50">
        <v>4.673748455362E12</v>
      </c>
      <c r="C250" s="51" t="s">
        <v>359</v>
      </c>
      <c r="D250" s="37" t="s">
        <v>359</v>
      </c>
      <c r="E250" s="37">
        <v>5588.0</v>
      </c>
      <c r="F250" s="38"/>
      <c r="G250" s="38"/>
      <c r="H250" s="37">
        <v>2325.0</v>
      </c>
      <c r="I250" s="37">
        <v>2237.0</v>
      </c>
      <c r="J250" s="15">
        <f t="shared" si="4"/>
        <v>1026</v>
      </c>
      <c r="K250" s="37">
        <v>72.0</v>
      </c>
      <c r="L250" s="38"/>
      <c r="N250" s="18"/>
      <c r="O250" s="19"/>
      <c r="P250" s="12"/>
      <c r="Q250" s="12"/>
      <c r="R250" s="12"/>
      <c r="S250" s="12"/>
      <c r="V250" s="12"/>
      <c r="W250" s="12"/>
      <c r="X250" s="12"/>
      <c r="Y250" s="12"/>
      <c r="Z250" s="12"/>
      <c r="AA250" s="12"/>
      <c r="AB250" s="12"/>
    </row>
    <row r="251">
      <c r="A251" s="4" t="s">
        <v>157</v>
      </c>
      <c r="B251" s="50">
        <v>4.670020498918E12</v>
      </c>
      <c r="C251" s="86" t="s">
        <v>360</v>
      </c>
      <c r="D251" s="37" t="s">
        <v>360</v>
      </c>
      <c r="E251" s="37">
        <v>14270.0</v>
      </c>
      <c r="F251" s="38"/>
      <c r="G251" s="38"/>
      <c r="H251" s="37">
        <v>3166.0</v>
      </c>
      <c r="I251" s="37">
        <v>8851.0</v>
      </c>
      <c r="J251" s="15">
        <f t="shared" si="4"/>
        <v>2253</v>
      </c>
      <c r="K251" s="50" t="s">
        <v>361</v>
      </c>
      <c r="L251" s="38"/>
      <c r="N251" s="18"/>
      <c r="O251" s="19"/>
      <c r="P251" s="12"/>
      <c r="Q251" s="12"/>
      <c r="R251" s="12"/>
      <c r="S251" s="12"/>
      <c r="V251" s="12"/>
      <c r="W251" s="12"/>
      <c r="X251" s="12"/>
      <c r="Y251" s="12"/>
      <c r="Z251" s="12"/>
      <c r="AA251" s="12"/>
      <c r="AB251" s="12"/>
    </row>
    <row r="252">
      <c r="A252" s="4" t="s">
        <v>157</v>
      </c>
      <c r="B252" s="50">
        <v>4.630084865477E12</v>
      </c>
      <c r="C252" s="51" t="s">
        <v>362</v>
      </c>
      <c r="D252" s="37" t="s">
        <v>362</v>
      </c>
      <c r="E252" s="37">
        <v>4760.0</v>
      </c>
      <c r="F252" s="38"/>
      <c r="G252" s="38"/>
      <c r="H252" s="37">
        <v>2472.0</v>
      </c>
      <c r="I252" s="37">
        <v>2110.0</v>
      </c>
      <c r="J252" s="15">
        <f t="shared" si="4"/>
        <v>178</v>
      </c>
      <c r="K252" s="50" t="s">
        <v>363</v>
      </c>
      <c r="L252" s="38"/>
      <c r="N252" s="18"/>
      <c r="O252" s="19"/>
      <c r="P252" s="12"/>
      <c r="Q252" s="12"/>
      <c r="R252" s="12"/>
      <c r="S252" s="12"/>
      <c r="V252" s="12"/>
      <c r="W252" s="12"/>
      <c r="X252" s="12"/>
      <c r="Y252" s="12"/>
      <c r="Z252" s="12"/>
      <c r="AA252" s="12"/>
      <c r="AB252" s="12"/>
    </row>
    <row r="253">
      <c r="A253" s="4" t="s">
        <v>157</v>
      </c>
      <c r="B253" s="50">
        <v>4.603320465342E12</v>
      </c>
      <c r="C253" s="37" t="s">
        <v>364</v>
      </c>
      <c r="D253" s="37" t="s">
        <v>364</v>
      </c>
      <c r="E253" s="37">
        <v>9963.0</v>
      </c>
      <c r="F253" s="38"/>
      <c r="G253" s="38"/>
      <c r="H253" s="37">
        <v>2841.0</v>
      </c>
      <c r="I253" s="37">
        <v>5981.0</v>
      </c>
      <c r="J253" s="15">
        <f t="shared" si="4"/>
        <v>1141</v>
      </c>
      <c r="K253" s="50" t="s">
        <v>365</v>
      </c>
      <c r="L253" s="38"/>
      <c r="N253" s="18"/>
      <c r="O253" s="19"/>
      <c r="P253" s="12"/>
      <c r="Q253" s="12"/>
      <c r="R253" s="12"/>
      <c r="S253" s="12"/>
      <c r="V253" s="12"/>
      <c r="W253" s="12"/>
      <c r="X253" s="12"/>
      <c r="Y253" s="12"/>
      <c r="Z253" s="12"/>
      <c r="AA253" s="12"/>
      <c r="AB253" s="12"/>
    </row>
    <row r="254">
      <c r="A254" s="37" t="s">
        <v>157</v>
      </c>
      <c r="B254" s="105">
        <v>4.603320465427E12</v>
      </c>
      <c r="C254" s="109" t="s">
        <v>366</v>
      </c>
      <c r="D254" s="102" t="s">
        <v>366</v>
      </c>
      <c r="E254" s="37">
        <v>11530.0</v>
      </c>
      <c r="F254" s="38"/>
      <c r="G254" s="37" t="s">
        <v>367</v>
      </c>
      <c r="H254" s="37">
        <v>3606.0</v>
      </c>
      <c r="I254" s="37">
        <v>7100.0</v>
      </c>
      <c r="J254" s="15">
        <f t="shared" si="4"/>
        <v>824</v>
      </c>
      <c r="K254" s="50" t="s">
        <v>368</v>
      </c>
      <c r="L254" s="38"/>
      <c r="N254" s="18"/>
      <c r="O254" s="19"/>
      <c r="P254" s="12"/>
      <c r="Q254" s="12"/>
      <c r="R254" s="12"/>
      <c r="S254" s="12"/>
      <c r="V254" s="12"/>
      <c r="W254" s="12"/>
      <c r="X254" s="12"/>
      <c r="Y254" s="12"/>
      <c r="Z254" s="12"/>
      <c r="AA254" s="12"/>
      <c r="AB254" s="12"/>
    </row>
    <row r="255">
      <c r="A255" s="37" t="s">
        <v>157</v>
      </c>
      <c r="B255" s="50">
        <v>4.603320465403E12</v>
      </c>
      <c r="C255" s="37" t="s">
        <v>369</v>
      </c>
      <c r="D255" s="37" t="s">
        <v>369</v>
      </c>
      <c r="E255" s="37">
        <v>28124.0</v>
      </c>
      <c r="F255" s="38"/>
      <c r="G255" s="38"/>
      <c r="H255" s="37">
        <v>4028.0</v>
      </c>
      <c r="I255" s="37">
        <v>22576.0</v>
      </c>
      <c r="J255" s="15">
        <f t="shared" si="4"/>
        <v>1520</v>
      </c>
      <c r="K255" s="37">
        <v>144.0</v>
      </c>
      <c r="L255" s="38"/>
      <c r="N255" s="18"/>
      <c r="O255" s="19"/>
      <c r="P255" s="12"/>
      <c r="Q255" s="12"/>
      <c r="R255" s="12"/>
      <c r="S255" s="12"/>
      <c r="V255" s="12"/>
      <c r="W255" s="12"/>
      <c r="X255" s="12"/>
      <c r="Y255" s="12"/>
      <c r="Z255" s="12"/>
      <c r="AA255" s="12"/>
      <c r="AB255" s="12"/>
    </row>
    <row r="256">
      <c r="A256" s="37" t="s">
        <v>157</v>
      </c>
      <c r="B256" s="50">
        <v>4.603320465304E12</v>
      </c>
      <c r="C256" s="51" t="s">
        <v>370</v>
      </c>
      <c r="D256" s="37" t="s">
        <v>370</v>
      </c>
      <c r="E256" s="37">
        <v>5019.0</v>
      </c>
      <c r="F256" s="38"/>
      <c r="G256" s="38"/>
      <c r="H256" s="37">
        <v>2750.0</v>
      </c>
      <c r="I256" s="37">
        <v>2016.0</v>
      </c>
      <c r="J256" s="15">
        <f t="shared" si="4"/>
        <v>253</v>
      </c>
      <c r="K256" s="37">
        <v>144.0</v>
      </c>
      <c r="L256" s="100">
        <v>46864.0</v>
      </c>
      <c r="N256" s="18"/>
      <c r="O256" s="19"/>
      <c r="P256" s="12"/>
      <c r="Q256" s="12"/>
      <c r="R256" s="12"/>
      <c r="S256" s="12"/>
      <c r="V256" s="12"/>
      <c r="W256" s="12"/>
      <c r="X256" s="12"/>
      <c r="Y256" s="12"/>
      <c r="Z256" s="12"/>
      <c r="AA256" s="12"/>
      <c r="AB256" s="12"/>
    </row>
    <row r="257">
      <c r="A257" s="37" t="s">
        <v>157</v>
      </c>
      <c r="B257" s="105">
        <v>4.660417421605E12</v>
      </c>
      <c r="C257" s="109" t="s">
        <v>371</v>
      </c>
      <c r="D257" s="102" t="s">
        <v>371</v>
      </c>
      <c r="E257" s="37">
        <v>68132.0</v>
      </c>
      <c r="F257" s="38"/>
      <c r="G257" s="38"/>
      <c r="H257" s="37">
        <v>8508.0</v>
      </c>
      <c r="I257" s="37">
        <v>29900.0</v>
      </c>
      <c r="J257" s="15">
        <f t="shared" si="4"/>
        <v>29724</v>
      </c>
      <c r="K257" s="37">
        <v>144.0</v>
      </c>
      <c r="L257" s="38"/>
      <c r="N257" s="18"/>
      <c r="O257" s="19"/>
      <c r="P257" s="183"/>
      <c r="Q257" s="184"/>
      <c r="R257" s="185"/>
      <c r="S257" s="184"/>
      <c r="V257" s="12"/>
      <c r="W257" s="12"/>
      <c r="X257" s="12"/>
      <c r="Y257" s="12"/>
      <c r="Z257" s="12"/>
      <c r="AA257" s="12"/>
      <c r="AB257" s="12"/>
    </row>
    <row r="258">
      <c r="A258" s="37" t="s">
        <v>157</v>
      </c>
      <c r="B258" s="105">
        <v>4.660417421599E12</v>
      </c>
      <c r="C258" s="109" t="s">
        <v>372</v>
      </c>
      <c r="D258" s="102" t="s">
        <v>372</v>
      </c>
      <c r="E258" s="37">
        <v>25793.0</v>
      </c>
      <c r="F258" s="38"/>
      <c r="G258" s="38"/>
      <c r="H258" s="37">
        <v>6394.0</v>
      </c>
      <c r="I258" s="37">
        <v>16610.0</v>
      </c>
      <c r="J258" s="15">
        <f t="shared" si="4"/>
        <v>2789</v>
      </c>
      <c r="K258" s="37">
        <v>144.0</v>
      </c>
      <c r="L258" s="38"/>
      <c r="N258" s="18"/>
      <c r="O258" s="19"/>
      <c r="P258" s="186"/>
      <c r="Q258" s="55"/>
      <c r="R258" s="187"/>
      <c r="S258" s="187"/>
      <c r="V258" s="12"/>
      <c r="W258" s="12"/>
      <c r="X258" s="12"/>
      <c r="Y258" s="12"/>
      <c r="Z258" s="12"/>
      <c r="AA258" s="12"/>
      <c r="AB258" s="12"/>
    </row>
    <row r="259">
      <c r="A259" s="37" t="s">
        <v>157</v>
      </c>
      <c r="B259" s="50">
        <v>4.660417421759E12</v>
      </c>
      <c r="C259" s="86" t="s">
        <v>373</v>
      </c>
      <c r="D259" s="37" t="s">
        <v>373</v>
      </c>
      <c r="E259" s="37">
        <v>35184.0</v>
      </c>
      <c r="F259" s="38"/>
      <c r="G259" s="38"/>
      <c r="H259" s="37">
        <v>7238.0</v>
      </c>
      <c r="I259" s="37">
        <v>15516.0</v>
      </c>
      <c r="J259" s="15">
        <f t="shared" si="4"/>
        <v>12430</v>
      </c>
      <c r="K259" s="37">
        <v>144.0</v>
      </c>
      <c r="L259" s="38"/>
      <c r="N259" s="18"/>
      <c r="O259" s="19"/>
      <c r="P259" s="49"/>
      <c r="Q259" s="108"/>
      <c r="R259" s="187"/>
      <c r="S259" s="187"/>
      <c r="V259" s="12"/>
      <c r="W259" s="12"/>
      <c r="X259" s="12"/>
      <c r="Y259" s="12"/>
      <c r="Z259" s="12"/>
      <c r="AA259" s="12"/>
      <c r="AB259" s="12"/>
    </row>
    <row r="260">
      <c r="A260" s="37" t="s">
        <v>157</v>
      </c>
      <c r="B260" s="50">
        <v>4.603320465458E12</v>
      </c>
      <c r="C260" s="37" t="s">
        <v>374</v>
      </c>
      <c r="D260" s="37" t="s">
        <v>374</v>
      </c>
      <c r="E260" s="37">
        <v>8043.0</v>
      </c>
      <c r="F260" s="38"/>
      <c r="G260" s="38"/>
      <c r="H260" s="37">
        <v>3056.0</v>
      </c>
      <c r="I260" s="37">
        <v>2890.0</v>
      </c>
      <c r="J260" s="15">
        <f t="shared" si="4"/>
        <v>2097</v>
      </c>
      <c r="K260" s="37">
        <v>100.0</v>
      </c>
      <c r="L260" s="38"/>
      <c r="N260" s="18"/>
      <c r="O260" s="19"/>
      <c r="P260" s="55"/>
      <c r="Q260" s="55"/>
      <c r="R260" s="187"/>
      <c r="S260" s="187"/>
      <c r="V260" s="12"/>
      <c r="W260" s="12"/>
      <c r="X260" s="12"/>
      <c r="Y260" s="12"/>
      <c r="Z260" s="12"/>
      <c r="AA260" s="12"/>
      <c r="AB260" s="12"/>
    </row>
    <row r="261">
      <c r="A261" s="37" t="s">
        <v>157</v>
      </c>
      <c r="B261" s="50">
        <v>4.660417421629E12</v>
      </c>
      <c r="C261" s="109" t="s">
        <v>375</v>
      </c>
      <c r="D261" s="102" t="s">
        <v>375</v>
      </c>
      <c r="E261" s="37">
        <v>12902.0</v>
      </c>
      <c r="F261" s="38"/>
      <c r="G261" s="38"/>
      <c r="H261" s="37">
        <v>1910.0</v>
      </c>
      <c r="I261" s="37">
        <v>3888.0</v>
      </c>
      <c r="J261" s="15">
        <f t="shared" si="4"/>
        <v>7104</v>
      </c>
      <c r="K261" s="37">
        <v>144.0</v>
      </c>
      <c r="L261" s="38"/>
      <c r="N261" s="18"/>
      <c r="O261" s="19"/>
      <c r="P261" s="55"/>
      <c r="Q261" s="55"/>
      <c r="R261" s="187"/>
      <c r="S261" s="187"/>
      <c r="V261" s="12"/>
      <c r="W261" s="12"/>
      <c r="X261" s="12"/>
      <c r="Y261" s="12"/>
      <c r="Z261" s="12"/>
      <c r="AA261" s="12"/>
      <c r="AB261" s="12"/>
    </row>
    <row r="262">
      <c r="A262" s="37" t="s">
        <v>157</v>
      </c>
      <c r="B262" s="50">
        <v>4.610030634135E12</v>
      </c>
      <c r="C262" s="37" t="s">
        <v>376</v>
      </c>
      <c r="D262" s="37" t="s">
        <v>376</v>
      </c>
      <c r="E262" s="37">
        <v>5345.0</v>
      </c>
      <c r="F262" s="38"/>
      <c r="G262" s="38"/>
      <c r="H262" s="37">
        <v>1150.0</v>
      </c>
      <c r="I262" s="37">
        <v>500.0</v>
      </c>
      <c r="J262" s="15">
        <f t="shared" si="4"/>
        <v>3695</v>
      </c>
      <c r="K262" s="38"/>
      <c r="L262" s="38"/>
      <c r="N262" s="18"/>
      <c r="O262" s="19"/>
      <c r="P262" s="188"/>
      <c r="Q262" s="55"/>
      <c r="R262" s="187"/>
      <c r="S262" s="187"/>
      <c r="V262" s="12"/>
      <c r="W262" s="12"/>
      <c r="X262" s="12"/>
      <c r="Y262" s="12"/>
      <c r="Z262" s="12"/>
      <c r="AA262" s="12"/>
      <c r="AB262" s="12"/>
    </row>
    <row r="263">
      <c r="A263" s="37" t="s">
        <v>157</v>
      </c>
      <c r="B263" s="50">
        <v>4.660417421766E12</v>
      </c>
      <c r="C263" s="37" t="s">
        <v>377</v>
      </c>
      <c r="D263" s="37" t="s">
        <v>377</v>
      </c>
      <c r="E263" s="37">
        <v>20611.0</v>
      </c>
      <c r="F263" s="38"/>
      <c r="G263" s="38"/>
      <c r="H263" s="37">
        <v>5832.0</v>
      </c>
      <c r="I263" s="37">
        <v>5904.0</v>
      </c>
      <c r="J263" s="15">
        <f t="shared" si="4"/>
        <v>8875</v>
      </c>
      <c r="K263" s="37">
        <v>144.0</v>
      </c>
      <c r="L263" s="38"/>
      <c r="N263" s="18"/>
      <c r="O263" s="19"/>
      <c r="P263" s="55"/>
      <c r="Q263" s="55"/>
      <c r="R263" s="187"/>
      <c r="S263" s="187"/>
      <c r="V263" s="12"/>
      <c r="W263" s="12"/>
      <c r="X263" s="12"/>
      <c r="Y263" s="12"/>
      <c r="Z263" s="12"/>
      <c r="AA263" s="12"/>
      <c r="AB263" s="12"/>
    </row>
    <row r="264">
      <c r="A264" s="4" t="s">
        <v>157</v>
      </c>
      <c r="B264" s="50">
        <v>4.630446234156E12</v>
      </c>
      <c r="C264" s="37" t="s">
        <v>378</v>
      </c>
      <c r="D264" s="37" t="s">
        <v>378</v>
      </c>
      <c r="E264" s="37">
        <v>7000.0</v>
      </c>
      <c r="F264" s="38"/>
      <c r="G264" s="38"/>
      <c r="H264" s="37">
        <v>1527.0</v>
      </c>
      <c r="I264" s="37">
        <v>1710.0</v>
      </c>
      <c r="J264" s="15">
        <f t="shared" si="4"/>
        <v>3763</v>
      </c>
      <c r="K264" s="38"/>
      <c r="L264" s="38"/>
      <c r="N264" s="18"/>
      <c r="O264" s="19"/>
      <c r="P264" s="55"/>
      <c r="Q264" s="55"/>
      <c r="R264" s="187"/>
      <c r="S264" s="187"/>
      <c r="V264" s="12"/>
      <c r="W264" s="12"/>
      <c r="X264" s="12"/>
      <c r="Y264" s="12"/>
      <c r="Z264" s="12"/>
      <c r="AA264" s="12"/>
      <c r="AB264" s="12"/>
    </row>
    <row r="265">
      <c r="A265" s="4" t="s">
        <v>157</v>
      </c>
      <c r="B265" s="50">
        <v>4.660417421827E12</v>
      </c>
      <c r="C265" s="86" t="s">
        <v>379</v>
      </c>
      <c r="D265" s="37" t="s">
        <v>379</v>
      </c>
      <c r="E265" s="37">
        <v>30540.0</v>
      </c>
      <c r="F265" s="38"/>
      <c r="G265" s="38"/>
      <c r="H265" s="37">
        <v>6562.0</v>
      </c>
      <c r="I265" s="37">
        <v>10944.0</v>
      </c>
      <c r="J265" s="15">
        <f t="shared" si="4"/>
        <v>13034</v>
      </c>
      <c r="K265" s="50" t="s">
        <v>380</v>
      </c>
      <c r="L265" s="38"/>
      <c r="N265" s="18"/>
      <c r="O265" s="19"/>
      <c r="P265" s="12"/>
      <c r="Q265" s="12"/>
      <c r="R265" s="12"/>
      <c r="S265" s="12"/>
      <c r="V265" s="12"/>
      <c r="W265" s="12"/>
      <c r="X265" s="12"/>
      <c r="Y265" s="12"/>
      <c r="Z265" s="12"/>
      <c r="AA265" s="12"/>
      <c r="AB265" s="12"/>
    </row>
    <row r="266">
      <c r="A266" s="4" t="s">
        <v>157</v>
      </c>
      <c r="B266" s="50">
        <v>4.670207150196E12</v>
      </c>
      <c r="C266" s="37" t="s">
        <v>381</v>
      </c>
      <c r="D266" s="37" t="s">
        <v>381</v>
      </c>
      <c r="E266" s="37">
        <v>2438.0</v>
      </c>
      <c r="F266" s="38"/>
      <c r="G266" s="38"/>
      <c r="H266" s="37">
        <v>803.0</v>
      </c>
      <c r="I266" s="37">
        <v>720.0</v>
      </c>
      <c r="J266" s="15">
        <f t="shared" si="4"/>
        <v>915</v>
      </c>
      <c r="K266" s="38"/>
      <c r="L266" s="38"/>
      <c r="N266" s="18"/>
      <c r="O266" s="19"/>
      <c r="P266" s="12"/>
      <c r="Q266" s="12"/>
      <c r="R266" s="12"/>
      <c r="S266" s="12"/>
      <c r="V266" s="12"/>
      <c r="W266" s="12"/>
      <c r="X266" s="12"/>
      <c r="Y266" s="12"/>
      <c r="Z266" s="12"/>
      <c r="AA266" s="12"/>
      <c r="AB266" s="12"/>
    </row>
    <row r="267">
      <c r="A267" s="4" t="s">
        <v>157</v>
      </c>
      <c r="B267" s="50">
        <v>4.660417421636E12</v>
      </c>
      <c r="C267" s="86" t="s">
        <v>382</v>
      </c>
      <c r="D267" s="37" t="s">
        <v>382</v>
      </c>
      <c r="E267" s="37">
        <v>11592.0</v>
      </c>
      <c r="F267" s="38"/>
      <c r="G267" s="38"/>
      <c r="H267" s="37">
        <v>2810.0</v>
      </c>
      <c r="I267" s="37">
        <v>7488.0</v>
      </c>
      <c r="J267" s="15">
        <f t="shared" si="4"/>
        <v>1294</v>
      </c>
      <c r="K267" s="38"/>
      <c r="L267" s="38"/>
      <c r="N267" s="18"/>
      <c r="O267" s="19"/>
      <c r="P267" s="12"/>
      <c r="Q267" s="12"/>
      <c r="R267" s="12"/>
      <c r="S267" s="12"/>
      <c r="V267" s="12"/>
      <c r="W267" s="12"/>
      <c r="X267" s="12"/>
      <c r="Y267" s="12"/>
      <c r="Z267" s="12"/>
      <c r="AA267" s="12"/>
      <c r="AB267" s="12"/>
    </row>
    <row r="268">
      <c r="A268" s="4" t="s">
        <v>157</v>
      </c>
      <c r="B268" s="50">
        <v>4.640523970297E12</v>
      </c>
      <c r="C268" s="37" t="s">
        <v>383</v>
      </c>
      <c r="D268" s="37" t="s">
        <v>383</v>
      </c>
      <c r="E268" s="37">
        <v>6272.0</v>
      </c>
      <c r="F268" s="38"/>
      <c r="G268" s="38"/>
      <c r="H268" s="37">
        <v>1535.0</v>
      </c>
      <c r="I268" s="37">
        <v>4032.0</v>
      </c>
      <c r="J268" s="15">
        <f t="shared" si="4"/>
        <v>705</v>
      </c>
      <c r="K268" s="38"/>
      <c r="L268" s="38"/>
      <c r="N268" s="18"/>
      <c r="O268" s="19"/>
      <c r="P268" s="12"/>
      <c r="Q268" s="12"/>
      <c r="R268" s="12"/>
      <c r="S268" s="12"/>
      <c r="V268" s="12"/>
      <c r="W268" s="12"/>
      <c r="X268" s="12"/>
      <c r="Y268" s="12"/>
      <c r="Z268" s="12"/>
      <c r="AA268" s="12"/>
      <c r="AB268" s="12"/>
    </row>
    <row r="269">
      <c r="A269" s="4" t="s">
        <v>157</v>
      </c>
      <c r="B269" s="50">
        <v>4.640523970082E12</v>
      </c>
      <c r="C269" s="37" t="s">
        <v>384</v>
      </c>
      <c r="D269" s="37" t="s">
        <v>384</v>
      </c>
      <c r="E269" s="37">
        <v>6988.0</v>
      </c>
      <c r="F269" s="38"/>
      <c r="G269" s="38"/>
      <c r="H269" s="37">
        <v>1198.0</v>
      </c>
      <c r="I269" s="37">
        <v>4752.0</v>
      </c>
      <c r="J269" s="15">
        <f t="shared" si="4"/>
        <v>1038</v>
      </c>
      <c r="K269" s="38"/>
      <c r="L269" s="38"/>
      <c r="N269" s="18"/>
      <c r="O269" s="19"/>
      <c r="P269" s="12"/>
      <c r="Q269" s="12"/>
      <c r="R269" s="12"/>
      <c r="S269" s="12"/>
      <c r="V269" s="12"/>
      <c r="W269" s="12"/>
      <c r="X269" s="12"/>
      <c r="Y269" s="12"/>
      <c r="Z269" s="12"/>
      <c r="AA269" s="12"/>
      <c r="AB269" s="12"/>
    </row>
    <row r="270">
      <c r="A270" s="4" t="s">
        <v>157</v>
      </c>
      <c r="B270" s="50">
        <v>4.640523970099E12</v>
      </c>
      <c r="C270" s="37" t="s">
        <v>385</v>
      </c>
      <c r="D270" s="37" t="s">
        <v>385</v>
      </c>
      <c r="E270" s="37">
        <v>6983.0</v>
      </c>
      <c r="F270" s="38"/>
      <c r="G270" s="38"/>
      <c r="H270" s="37">
        <v>1114.0</v>
      </c>
      <c r="I270" s="37">
        <v>4176.0</v>
      </c>
      <c r="J270" s="15">
        <f t="shared" si="4"/>
        <v>1693</v>
      </c>
      <c r="K270" s="38"/>
      <c r="L270" s="38"/>
      <c r="N270" s="18"/>
      <c r="O270" s="19"/>
      <c r="P270" s="12"/>
      <c r="Q270" s="12"/>
      <c r="R270" s="12"/>
      <c r="S270" s="12"/>
      <c r="V270" s="12"/>
      <c r="W270" s="12"/>
      <c r="X270" s="12"/>
      <c r="Y270" s="12"/>
      <c r="Z270" s="12"/>
      <c r="AA270" s="12"/>
      <c r="AB270" s="12"/>
    </row>
    <row r="271">
      <c r="A271" s="4" t="s">
        <v>157</v>
      </c>
      <c r="B271" s="50">
        <v>4.630446231421E12</v>
      </c>
      <c r="C271" s="37" t="s">
        <v>386</v>
      </c>
      <c r="D271" s="37" t="s">
        <v>386</v>
      </c>
      <c r="E271" s="37">
        <v>7161.0</v>
      </c>
      <c r="F271" s="38"/>
      <c r="G271" s="38"/>
      <c r="H271" s="38"/>
      <c r="I271" s="38"/>
      <c r="J271" s="15">
        <f t="shared" si="4"/>
        <v>7161</v>
      </c>
      <c r="K271" s="38"/>
      <c r="L271" s="38"/>
      <c r="N271" s="18"/>
      <c r="O271" s="19"/>
      <c r="P271" s="12"/>
      <c r="Q271" s="12"/>
      <c r="R271" s="12"/>
      <c r="S271" s="12"/>
      <c r="V271" s="12"/>
      <c r="W271" s="12"/>
      <c r="X271" s="12"/>
      <c r="Y271" s="12"/>
      <c r="Z271" s="12"/>
      <c r="AA271" s="12"/>
      <c r="AB271" s="12"/>
    </row>
    <row r="272">
      <c r="B272" s="189"/>
      <c r="N272" s="18"/>
      <c r="O272" s="19"/>
      <c r="P272" s="12"/>
      <c r="S272" s="12"/>
      <c r="V272" s="12"/>
      <c r="W272" s="12"/>
      <c r="X272" s="12"/>
      <c r="Y272" s="12"/>
      <c r="Z272" s="12"/>
      <c r="AA272" s="12"/>
      <c r="AB272" s="12"/>
    </row>
    <row r="273">
      <c r="B273" s="189"/>
      <c r="N273" s="18"/>
      <c r="O273" s="19"/>
      <c r="P273" s="12"/>
      <c r="S273" s="12"/>
      <c r="V273" s="12"/>
      <c r="W273" s="12"/>
      <c r="X273" s="12"/>
      <c r="Y273" s="12"/>
      <c r="Z273" s="12"/>
      <c r="AA273" s="12"/>
      <c r="AB273" s="12"/>
    </row>
    <row r="274">
      <c r="A274" s="55" t="s">
        <v>387</v>
      </c>
      <c r="G274" s="55" t="s">
        <v>388</v>
      </c>
      <c r="H274" s="55" t="s">
        <v>389</v>
      </c>
      <c r="J274" s="55" t="s">
        <v>390</v>
      </c>
      <c r="K274" s="190" t="s">
        <v>391</v>
      </c>
      <c r="L274" s="55" t="s">
        <v>11</v>
      </c>
      <c r="M274" s="190" t="s">
        <v>392</v>
      </c>
      <c r="N274" s="18"/>
      <c r="O274" s="19"/>
      <c r="P274" s="12"/>
      <c r="S274" s="12"/>
      <c r="V274" s="12"/>
      <c r="W274" s="12"/>
      <c r="X274" s="12"/>
      <c r="Y274" s="12"/>
      <c r="Z274" s="12"/>
      <c r="AA274" s="12"/>
      <c r="AB274" s="12"/>
    </row>
    <row r="275">
      <c r="A275" s="13" t="s">
        <v>13</v>
      </c>
      <c r="B275" s="63">
        <v>4.670142964537E12</v>
      </c>
      <c r="C275" s="65" t="s">
        <v>393</v>
      </c>
      <c r="D275" s="65" t="s">
        <v>393</v>
      </c>
      <c r="E275" s="136">
        <v>1008.0</v>
      </c>
      <c r="F275" s="24"/>
      <c r="G275" s="37">
        <v>1.0</v>
      </c>
      <c r="H275" s="37">
        <v>432.0</v>
      </c>
      <c r="I275" s="4"/>
      <c r="J275" s="15">
        <f t="shared" ref="J275:J281" si="5">((E275-F275)-H275)-I275</f>
        <v>576</v>
      </c>
      <c r="K275" s="2">
        <v>72.0</v>
      </c>
      <c r="L275" s="100">
        <v>46900.0</v>
      </c>
      <c r="M275" s="100">
        <v>45804.0</v>
      </c>
      <c r="N275" s="18"/>
      <c r="O275" s="19"/>
      <c r="P275" s="12"/>
      <c r="S275" s="12"/>
      <c r="V275" s="12"/>
      <c r="W275" s="12"/>
      <c r="X275" s="12"/>
      <c r="Y275" s="12"/>
      <c r="Z275" s="12"/>
      <c r="AA275" s="12"/>
      <c r="AB275" s="12"/>
    </row>
    <row r="276">
      <c r="A276" s="13" t="s">
        <v>13</v>
      </c>
      <c r="B276" s="21">
        <v>4.627102679673E12</v>
      </c>
      <c r="C276" s="191" t="s">
        <v>74</v>
      </c>
      <c r="D276" s="90" t="s">
        <v>74</v>
      </c>
      <c r="E276" s="192">
        <v>1000.0</v>
      </c>
      <c r="F276" s="38"/>
      <c r="G276" s="50" t="s">
        <v>394</v>
      </c>
      <c r="H276" s="38"/>
      <c r="I276" s="38"/>
      <c r="J276" s="15">
        <f t="shared" si="5"/>
        <v>1000</v>
      </c>
      <c r="K276" s="37">
        <v>48.0</v>
      </c>
      <c r="L276" s="100">
        <v>46534.0</v>
      </c>
      <c r="M276" s="100">
        <v>45804.0</v>
      </c>
      <c r="N276" s="18"/>
      <c r="O276" s="19"/>
      <c r="P276" s="12"/>
      <c r="S276" s="12"/>
      <c r="V276" s="12"/>
      <c r="W276" s="12"/>
      <c r="X276" s="12"/>
      <c r="Y276" s="12"/>
      <c r="Z276" s="12"/>
      <c r="AA276" s="12"/>
      <c r="AB276" s="12"/>
    </row>
    <row r="277">
      <c r="A277" s="13" t="s">
        <v>13</v>
      </c>
      <c r="B277" s="50">
        <v>4.60702520464E12</v>
      </c>
      <c r="C277" s="37" t="s">
        <v>395</v>
      </c>
      <c r="D277" s="37" t="s">
        <v>395</v>
      </c>
      <c r="E277" s="37">
        <v>504.0</v>
      </c>
      <c r="F277" s="38"/>
      <c r="G277" s="37">
        <v>1.0</v>
      </c>
      <c r="H277" s="37">
        <v>168.0</v>
      </c>
      <c r="I277" s="38"/>
      <c r="J277" s="15">
        <f t="shared" si="5"/>
        <v>336</v>
      </c>
      <c r="K277" s="37">
        <v>42.0</v>
      </c>
      <c r="L277" s="100">
        <v>46555.0</v>
      </c>
      <c r="M277" s="100">
        <v>45825.0</v>
      </c>
      <c r="N277" s="18"/>
      <c r="O277" s="19"/>
      <c r="P277" s="12"/>
      <c r="S277" s="12"/>
      <c r="V277" s="12"/>
      <c r="W277" s="12"/>
      <c r="X277" s="12"/>
      <c r="Y277" s="12"/>
      <c r="Z277" s="12"/>
      <c r="AA277" s="12"/>
      <c r="AB277" s="12"/>
    </row>
    <row r="278">
      <c r="A278" s="13" t="s">
        <v>13</v>
      </c>
      <c r="B278" s="50">
        <v>4.630274262253E12</v>
      </c>
      <c r="C278" s="37" t="s">
        <v>396</v>
      </c>
      <c r="D278" s="37" t="s">
        <v>397</v>
      </c>
      <c r="E278" s="37">
        <v>1000.0</v>
      </c>
      <c r="F278" s="38"/>
      <c r="G278" s="37">
        <v>74.0</v>
      </c>
      <c r="H278" s="37">
        <v>640.0</v>
      </c>
      <c r="I278" s="38"/>
      <c r="J278" s="15">
        <f t="shared" si="5"/>
        <v>360</v>
      </c>
      <c r="K278" s="37">
        <v>40.0</v>
      </c>
      <c r="L278" s="100">
        <v>46562.0</v>
      </c>
      <c r="M278" s="100">
        <v>45832.0</v>
      </c>
      <c r="N278" s="18"/>
      <c r="O278" s="19"/>
      <c r="P278" s="12"/>
      <c r="S278" s="12"/>
      <c r="V278" s="12"/>
      <c r="W278" s="12"/>
      <c r="X278" s="12"/>
      <c r="Y278" s="12"/>
      <c r="Z278" s="12"/>
      <c r="AA278" s="12"/>
      <c r="AB278" s="12"/>
    </row>
    <row r="279">
      <c r="A279" s="13" t="s">
        <v>13</v>
      </c>
      <c r="B279" s="63">
        <v>4.630274262246E12</v>
      </c>
      <c r="C279" s="13" t="s">
        <v>85</v>
      </c>
      <c r="D279" s="65" t="s">
        <v>86</v>
      </c>
      <c r="E279" s="37">
        <v>2000.0</v>
      </c>
      <c r="F279" s="38"/>
      <c r="G279" s="37">
        <v>202.0</v>
      </c>
      <c r="H279" s="37">
        <v>920.0</v>
      </c>
      <c r="I279" s="38"/>
      <c r="J279" s="15">
        <f t="shared" si="5"/>
        <v>1080</v>
      </c>
      <c r="K279" s="37">
        <v>40.0</v>
      </c>
      <c r="L279" s="100">
        <v>46562.0</v>
      </c>
      <c r="M279" s="100">
        <v>45832.0</v>
      </c>
      <c r="N279" s="18"/>
      <c r="O279" s="19"/>
      <c r="P279" s="12"/>
      <c r="S279" s="12"/>
      <c r="V279" s="12"/>
      <c r="W279" s="12"/>
      <c r="X279" s="12"/>
      <c r="Y279" s="12"/>
      <c r="Z279" s="12"/>
      <c r="AA279" s="12"/>
      <c r="AB279" s="12"/>
    </row>
    <row r="280">
      <c r="A280" s="13" t="s">
        <v>13</v>
      </c>
      <c r="B280" s="50">
        <v>4.63027426226E12</v>
      </c>
      <c r="C280" s="37" t="s">
        <v>97</v>
      </c>
      <c r="D280" s="37" t="s">
        <v>97</v>
      </c>
      <c r="E280" s="37">
        <v>1000.0</v>
      </c>
      <c r="F280" s="38"/>
      <c r="G280" s="37">
        <v>312.0</v>
      </c>
      <c r="H280" s="37">
        <v>1000.0</v>
      </c>
      <c r="I280" s="38"/>
      <c r="J280" s="15">
        <f t="shared" si="5"/>
        <v>0</v>
      </c>
      <c r="K280" s="37">
        <v>60.0</v>
      </c>
      <c r="L280" s="100">
        <v>46938.0</v>
      </c>
      <c r="M280" s="100">
        <v>45842.0</v>
      </c>
      <c r="N280" s="18"/>
      <c r="O280" s="19"/>
      <c r="P280" s="12"/>
      <c r="S280" s="12"/>
      <c r="V280" s="12"/>
      <c r="W280" s="12"/>
      <c r="X280" s="12"/>
      <c r="Y280" s="12"/>
      <c r="Z280" s="12"/>
      <c r="AA280" s="12"/>
      <c r="AB280" s="12"/>
    </row>
    <row r="281">
      <c r="A281" s="13" t="s">
        <v>13</v>
      </c>
      <c r="B281" s="50">
        <v>4.630274262239E12</v>
      </c>
      <c r="C281" s="37" t="s">
        <v>88</v>
      </c>
      <c r="D281" s="13" t="s">
        <v>89</v>
      </c>
      <c r="E281" s="37">
        <v>1000.0</v>
      </c>
      <c r="F281" s="38"/>
      <c r="G281" s="37">
        <v>59.0</v>
      </c>
      <c r="H281" s="37">
        <v>180.0</v>
      </c>
      <c r="I281" s="38"/>
      <c r="J281" s="15">
        <f t="shared" si="5"/>
        <v>820</v>
      </c>
      <c r="K281" s="37">
        <v>40.0</v>
      </c>
      <c r="L281" s="100">
        <v>46622.0</v>
      </c>
      <c r="M281" s="100">
        <v>45892.0</v>
      </c>
      <c r="N281" s="18"/>
      <c r="O281" s="19"/>
      <c r="P281" s="12"/>
      <c r="S281" s="12"/>
      <c r="V281" s="12"/>
      <c r="W281" s="12"/>
      <c r="X281" s="12"/>
      <c r="Y281" s="12"/>
      <c r="Z281" s="12"/>
      <c r="AA281" s="12"/>
      <c r="AB281" s="12"/>
    </row>
    <row r="282">
      <c r="B282" s="189"/>
      <c r="N282" s="18"/>
      <c r="O282" s="19"/>
      <c r="P282" s="12"/>
      <c r="Q282" s="12"/>
      <c r="R282" s="12"/>
      <c r="S282" s="12"/>
      <c r="V282" s="12"/>
      <c r="W282" s="12"/>
      <c r="X282" s="12"/>
      <c r="Y282" s="12"/>
      <c r="Z282" s="12"/>
      <c r="AA282" s="12"/>
      <c r="AB282" s="12"/>
    </row>
    <row r="283">
      <c r="B283" s="189"/>
      <c r="N283" s="18"/>
      <c r="O283" s="19"/>
      <c r="P283" s="12"/>
      <c r="Q283" s="12"/>
      <c r="R283" s="12"/>
      <c r="S283" s="12"/>
      <c r="V283" s="12"/>
      <c r="W283" s="12"/>
      <c r="X283" s="12"/>
      <c r="Y283" s="12"/>
      <c r="Z283" s="12"/>
      <c r="AA283" s="12"/>
      <c r="AB283" s="12"/>
    </row>
    <row r="284">
      <c r="B284" s="189"/>
      <c r="N284" s="18"/>
      <c r="O284" s="19"/>
      <c r="P284" s="12"/>
      <c r="Q284" s="12"/>
      <c r="R284" s="12"/>
      <c r="S284" s="12"/>
      <c r="V284" s="12"/>
      <c r="W284" s="12"/>
      <c r="X284" s="12"/>
      <c r="Y284" s="12"/>
      <c r="Z284" s="12"/>
      <c r="AA284" s="12"/>
      <c r="AB284" s="12"/>
    </row>
    <row r="285">
      <c r="A285" s="11" t="s">
        <v>398</v>
      </c>
      <c r="F285" s="12"/>
      <c r="I285" s="12"/>
      <c r="J285" s="193"/>
      <c r="K285" s="194"/>
      <c r="L285" s="12"/>
      <c r="M285" s="12"/>
      <c r="N285" s="18"/>
      <c r="O285" s="19"/>
      <c r="P285" s="12"/>
      <c r="Q285" s="12"/>
      <c r="R285" s="12"/>
      <c r="S285" s="12"/>
      <c r="V285" s="12"/>
      <c r="W285" s="12"/>
      <c r="X285" s="12"/>
      <c r="Y285" s="12"/>
      <c r="Z285" s="12"/>
      <c r="AA285" s="12"/>
      <c r="AB285" s="12"/>
    </row>
    <row r="286">
      <c r="A286" s="13" t="s">
        <v>13</v>
      </c>
      <c r="B286" s="63">
        <v>4.680162842333E12</v>
      </c>
      <c r="C286" s="65" t="s">
        <v>399</v>
      </c>
      <c r="D286" s="65" t="s">
        <v>399</v>
      </c>
      <c r="E286" s="136">
        <v>3420.0</v>
      </c>
      <c r="F286" s="24"/>
      <c r="G286" s="38"/>
      <c r="H286" s="37">
        <v>2476.0</v>
      </c>
      <c r="I286" s="4">
        <v>750.0</v>
      </c>
      <c r="J286" s="15">
        <f t="shared" ref="J286:J292" si="6">((E286-F286)-H286)-I286</f>
        <v>194</v>
      </c>
      <c r="K286" s="32"/>
      <c r="L286" s="82">
        <v>46447.0</v>
      </c>
      <c r="N286" s="18"/>
      <c r="O286" s="19"/>
      <c r="P286" s="12"/>
      <c r="Q286" s="12"/>
      <c r="R286" s="12"/>
      <c r="S286" s="12"/>
      <c r="V286" s="12"/>
      <c r="W286" s="12"/>
      <c r="X286" s="12"/>
      <c r="Y286" s="12"/>
      <c r="Z286" s="12"/>
      <c r="AA286" s="12"/>
      <c r="AB286" s="12"/>
    </row>
    <row r="287">
      <c r="A287" s="13" t="s">
        <v>13</v>
      </c>
      <c r="B287" s="63">
        <v>4.620153906576E12</v>
      </c>
      <c r="C287" s="107" t="s">
        <v>400</v>
      </c>
      <c r="D287" s="65" t="s">
        <v>400</v>
      </c>
      <c r="E287" s="136">
        <v>3300.0</v>
      </c>
      <c r="F287" s="24"/>
      <c r="G287" s="38"/>
      <c r="H287" s="37">
        <v>600.0</v>
      </c>
      <c r="I287" s="4">
        <v>1640.0</v>
      </c>
      <c r="J287" s="15">
        <f t="shared" si="6"/>
        <v>1060</v>
      </c>
      <c r="K287" s="32"/>
      <c r="L287" s="43">
        <v>46031.0</v>
      </c>
      <c r="N287" s="18"/>
      <c r="O287" s="19"/>
      <c r="P287" s="12"/>
      <c r="Q287" s="12"/>
      <c r="R287" s="12"/>
      <c r="S287" s="12"/>
      <c r="V287" s="12"/>
      <c r="W287" s="12"/>
      <c r="X287" s="12"/>
      <c r="Y287" s="12"/>
      <c r="Z287" s="12"/>
      <c r="AA287" s="12"/>
      <c r="AB287" s="12"/>
    </row>
    <row r="288">
      <c r="A288" s="13" t="s">
        <v>13</v>
      </c>
      <c r="B288" s="63">
        <v>4.630205146096E12</v>
      </c>
      <c r="C288" s="107" t="s">
        <v>401</v>
      </c>
      <c r="D288" s="65" t="s">
        <v>401</v>
      </c>
      <c r="E288" s="136">
        <v>2961.0</v>
      </c>
      <c r="F288" s="24"/>
      <c r="G288" s="37" t="s">
        <v>402</v>
      </c>
      <c r="H288" s="37">
        <v>310.0</v>
      </c>
      <c r="I288" s="4">
        <v>1300.0</v>
      </c>
      <c r="J288" s="15">
        <f t="shared" si="6"/>
        <v>1351</v>
      </c>
      <c r="K288" s="2">
        <v>50.0</v>
      </c>
      <c r="L288" s="195">
        <v>45989.0</v>
      </c>
      <c r="N288" s="18"/>
      <c r="O288" s="19"/>
      <c r="P288" s="12"/>
      <c r="Q288" s="12"/>
      <c r="R288" s="12"/>
      <c r="S288" s="12"/>
      <c r="V288" s="12"/>
      <c r="W288" s="12"/>
      <c r="X288" s="12"/>
      <c r="Y288" s="12"/>
      <c r="Z288" s="12"/>
      <c r="AA288" s="12"/>
      <c r="AB288" s="12"/>
    </row>
    <row r="289">
      <c r="A289" s="101" t="s">
        <v>13</v>
      </c>
      <c r="B289" s="136">
        <v>4.63020514573E12</v>
      </c>
      <c r="C289" s="64" t="s">
        <v>403</v>
      </c>
      <c r="D289" s="64" t="s">
        <v>403</v>
      </c>
      <c r="E289" s="136">
        <v>2829.0</v>
      </c>
      <c r="F289" s="117"/>
      <c r="G289" s="170"/>
      <c r="H289" s="86">
        <v>700.0</v>
      </c>
      <c r="I289" s="93">
        <v>1900.0</v>
      </c>
      <c r="J289" s="118">
        <f t="shared" si="6"/>
        <v>229</v>
      </c>
      <c r="K289" s="154"/>
      <c r="L289" s="196">
        <v>46354.0</v>
      </c>
      <c r="N289" s="18"/>
      <c r="O289" s="19"/>
      <c r="P289" s="12"/>
      <c r="Q289" s="12"/>
      <c r="R289" s="12"/>
      <c r="S289" s="12"/>
      <c r="V289" s="12"/>
      <c r="W289" s="12"/>
      <c r="X289" s="12"/>
      <c r="Y289" s="12"/>
      <c r="Z289" s="12"/>
      <c r="AA289" s="12"/>
      <c r="AB289" s="12"/>
    </row>
    <row r="290">
      <c r="A290" s="13" t="s">
        <v>13</v>
      </c>
      <c r="B290" s="63">
        <v>4.670227412809E12</v>
      </c>
      <c r="C290" s="107" t="s">
        <v>404</v>
      </c>
      <c r="D290" s="65" t="s">
        <v>404</v>
      </c>
      <c r="E290" s="136">
        <v>3125.0</v>
      </c>
      <c r="F290" s="24"/>
      <c r="G290" s="38"/>
      <c r="H290" s="37">
        <v>1460.0</v>
      </c>
      <c r="I290" s="4">
        <v>1590.0</v>
      </c>
      <c r="J290" s="15">
        <f t="shared" si="6"/>
        <v>75</v>
      </c>
      <c r="K290" s="2">
        <v>100.0</v>
      </c>
      <c r="L290" s="43">
        <v>46133.0</v>
      </c>
      <c r="N290" s="18"/>
      <c r="O290" s="19"/>
      <c r="P290" s="12"/>
      <c r="Q290" s="12"/>
      <c r="R290" s="12"/>
      <c r="S290" s="12"/>
      <c r="V290" s="12"/>
      <c r="W290" s="12"/>
      <c r="X290" s="12"/>
      <c r="Y290" s="12"/>
      <c r="Z290" s="12"/>
      <c r="AA290" s="12"/>
      <c r="AB290" s="12"/>
    </row>
    <row r="291">
      <c r="A291" s="13" t="s">
        <v>13</v>
      </c>
      <c r="B291" s="63">
        <v>4.67014296535E12</v>
      </c>
      <c r="C291" s="107" t="s">
        <v>405</v>
      </c>
      <c r="D291" s="65" t="s">
        <v>405</v>
      </c>
      <c r="E291" s="136">
        <v>2169.0</v>
      </c>
      <c r="F291" s="24"/>
      <c r="G291" s="38"/>
      <c r="H291" s="37">
        <v>1969.0</v>
      </c>
      <c r="I291" s="4">
        <v>200.0</v>
      </c>
      <c r="J291" s="15">
        <f t="shared" si="6"/>
        <v>0</v>
      </c>
      <c r="K291" s="2">
        <v>60.0</v>
      </c>
      <c r="L291" s="43">
        <v>46335.0</v>
      </c>
      <c r="N291" s="18"/>
      <c r="O291" s="19"/>
      <c r="P291" s="12"/>
      <c r="Q291" s="12"/>
      <c r="R291" s="12"/>
      <c r="S291" s="12"/>
      <c r="V291" s="12"/>
      <c r="W291" s="12"/>
      <c r="X291" s="12"/>
      <c r="Y291" s="12"/>
      <c r="Z291" s="12"/>
      <c r="AA291" s="12"/>
      <c r="AB291" s="12"/>
    </row>
    <row r="292">
      <c r="A292" s="13" t="s">
        <v>13</v>
      </c>
      <c r="B292" s="63">
        <v>4.630040228346E12</v>
      </c>
      <c r="C292" s="197" t="s">
        <v>406</v>
      </c>
      <c r="D292" s="65" t="s">
        <v>407</v>
      </c>
      <c r="E292" s="136">
        <v>2005.0</v>
      </c>
      <c r="F292" s="24"/>
      <c r="G292" s="37" t="s">
        <v>402</v>
      </c>
      <c r="H292" s="37">
        <v>290.0</v>
      </c>
      <c r="I292" s="24"/>
      <c r="J292" s="15">
        <f t="shared" si="6"/>
        <v>1715</v>
      </c>
      <c r="K292" s="32"/>
      <c r="L292" s="43">
        <v>46033.0</v>
      </c>
      <c r="N292" s="18"/>
      <c r="O292" s="19"/>
      <c r="P292" s="12"/>
      <c r="Q292" s="12"/>
      <c r="R292" s="12"/>
      <c r="S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94"/>
      <c r="C293" s="12"/>
      <c r="D293" s="12"/>
      <c r="E293" s="12"/>
      <c r="F293" s="12"/>
      <c r="I293" s="12"/>
      <c r="J293" s="193"/>
      <c r="K293" s="194"/>
      <c r="L293" s="12"/>
      <c r="M293" s="186"/>
      <c r="N293" s="18"/>
      <c r="O293" s="19"/>
      <c r="P293" s="12"/>
      <c r="Q293" s="12"/>
      <c r="R293" s="12"/>
      <c r="S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98"/>
      <c r="C294" s="12"/>
      <c r="D294" s="12"/>
      <c r="E294" s="12"/>
      <c r="F294" s="12"/>
      <c r="I294" s="12"/>
      <c r="J294" s="193"/>
      <c r="K294" s="194"/>
      <c r="L294" s="12"/>
      <c r="M294" s="186"/>
      <c r="N294" s="18"/>
      <c r="O294" s="19"/>
      <c r="P294" s="12"/>
      <c r="Q294" s="12"/>
      <c r="R294" s="12"/>
      <c r="S294" s="12"/>
      <c r="V294" s="12"/>
      <c r="W294" s="12"/>
      <c r="X294" s="12"/>
      <c r="Y294" s="12"/>
      <c r="Z294" s="12"/>
      <c r="AA294" s="12"/>
      <c r="AB294" s="12"/>
    </row>
    <row r="295">
      <c r="A295" s="11" t="s">
        <v>408</v>
      </c>
      <c r="F295" s="12"/>
      <c r="I295" s="12"/>
      <c r="J295" s="193"/>
      <c r="K295" s="194"/>
      <c r="L295" s="12"/>
      <c r="M295" s="186"/>
      <c r="N295" s="18"/>
      <c r="O295" s="19"/>
      <c r="P295" s="12"/>
      <c r="Q295" s="12"/>
      <c r="R295" s="12"/>
      <c r="S295" s="12"/>
      <c r="V295" s="12"/>
      <c r="W295" s="12"/>
      <c r="X295" s="12"/>
      <c r="Y295" s="12"/>
      <c r="Z295" s="12"/>
      <c r="AA295" s="12"/>
      <c r="AB295" s="12"/>
    </row>
    <row r="296">
      <c r="A296" s="13" t="s">
        <v>13</v>
      </c>
      <c r="B296" s="63">
        <v>4.620153905661E12</v>
      </c>
      <c r="C296" s="107" t="s">
        <v>409</v>
      </c>
      <c r="D296" s="65" t="s">
        <v>409</v>
      </c>
      <c r="E296" s="136">
        <v>1879.0</v>
      </c>
      <c r="F296" s="24"/>
      <c r="G296" s="38"/>
      <c r="H296" s="38"/>
      <c r="I296" s="24"/>
      <c r="J296" s="15">
        <f t="shared" ref="J296:J299" si="7">((E296-F296)-H296)-I296</f>
        <v>1879</v>
      </c>
      <c r="K296" s="32"/>
      <c r="L296" s="43">
        <v>45929.0</v>
      </c>
      <c r="N296" s="18"/>
      <c r="O296" s="19"/>
      <c r="P296" s="12"/>
      <c r="Q296" s="12"/>
      <c r="R296" s="12"/>
      <c r="S296" s="12"/>
      <c r="V296" s="12"/>
      <c r="W296" s="12"/>
      <c r="X296" s="12"/>
      <c r="Y296" s="12"/>
      <c r="Z296" s="12"/>
      <c r="AA296" s="12"/>
      <c r="AB296" s="12"/>
    </row>
    <row r="297">
      <c r="A297" s="13" t="s">
        <v>13</v>
      </c>
      <c r="B297" s="63">
        <v>4.670142964537E12</v>
      </c>
      <c r="C297" s="107" t="s">
        <v>393</v>
      </c>
      <c r="D297" s="65" t="s">
        <v>393</v>
      </c>
      <c r="E297" s="136">
        <v>1730.0</v>
      </c>
      <c r="F297" s="24"/>
      <c r="G297" s="38"/>
      <c r="H297" s="37">
        <v>958.0</v>
      </c>
      <c r="I297" s="4">
        <v>772.0</v>
      </c>
      <c r="J297" s="15">
        <f t="shared" si="7"/>
        <v>0</v>
      </c>
      <c r="K297" s="2">
        <v>72.0</v>
      </c>
      <c r="L297" s="195">
        <v>46339.0</v>
      </c>
      <c r="N297" s="18"/>
      <c r="O297" s="19"/>
      <c r="P297" s="12"/>
      <c r="Q297" s="12"/>
      <c r="R297" s="12"/>
      <c r="S297" s="12"/>
      <c r="V297" s="12"/>
      <c r="W297" s="12"/>
      <c r="X297" s="12"/>
      <c r="Y297" s="12"/>
      <c r="Z297" s="12"/>
      <c r="AA297" s="12"/>
      <c r="AB297" s="12"/>
    </row>
    <row r="298">
      <c r="A298" s="13" t="s">
        <v>13</v>
      </c>
      <c r="B298" s="63">
        <v>4.630040228285E12</v>
      </c>
      <c r="C298" s="197" t="s">
        <v>410</v>
      </c>
      <c r="D298" s="65" t="s">
        <v>411</v>
      </c>
      <c r="E298" s="136">
        <v>1187.0</v>
      </c>
      <c r="F298" s="24"/>
      <c r="G298" s="38"/>
      <c r="H298" s="37">
        <v>775.0</v>
      </c>
      <c r="I298" s="4">
        <v>412.0</v>
      </c>
      <c r="J298" s="15">
        <f t="shared" si="7"/>
        <v>0</v>
      </c>
      <c r="K298" s="32"/>
      <c r="L298" s="43">
        <v>46107.0</v>
      </c>
      <c r="N298" s="18"/>
      <c r="O298" s="19"/>
      <c r="P298" s="12"/>
      <c r="Q298" s="12"/>
      <c r="R298" s="12"/>
      <c r="S298" s="12"/>
      <c r="V298" s="12"/>
      <c r="W298" s="12"/>
      <c r="X298" s="12"/>
      <c r="Y298" s="12"/>
      <c r="Z298" s="12"/>
      <c r="AA298" s="12"/>
      <c r="AB298" s="12"/>
    </row>
    <row r="299">
      <c r="A299" s="13" t="s">
        <v>13</v>
      </c>
      <c r="B299" s="63">
        <v>4.680169562692E12</v>
      </c>
      <c r="C299" s="65" t="s">
        <v>412</v>
      </c>
      <c r="D299" s="65" t="s">
        <v>412</v>
      </c>
      <c r="E299" s="136">
        <v>1113.0</v>
      </c>
      <c r="F299" s="4"/>
      <c r="G299" s="38"/>
      <c r="H299" s="37">
        <v>380.0</v>
      </c>
      <c r="I299" s="24"/>
      <c r="J299" s="15">
        <f t="shared" si="7"/>
        <v>733</v>
      </c>
      <c r="K299" s="32"/>
      <c r="L299" s="43">
        <v>46296.0</v>
      </c>
      <c r="N299" s="18"/>
      <c r="O299" s="19"/>
      <c r="P299" s="12"/>
      <c r="Q299" s="12"/>
      <c r="R299" s="12"/>
      <c r="S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94"/>
      <c r="C300" s="17"/>
      <c r="D300" s="12"/>
      <c r="E300" s="12"/>
      <c r="F300" s="12"/>
      <c r="I300" s="12"/>
      <c r="J300" s="194"/>
      <c r="K300" s="194"/>
      <c r="L300" s="12"/>
      <c r="M300" s="8"/>
      <c r="N300" s="18"/>
      <c r="O300" s="19"/>
      <c r="P300" s="12"/>
      <c r="Q300" s="12"/>
      <c r="R300" s="12"/>
      <c r="S300" s="12"/>
      <c r="V300" s="12"/>
      <c r="W300" s="12"/>
      <c r="X300" s="12"/>
      <c r="Y300" s="12"/>
      <c r="Z300" s="12"/>
      <c r="AA300" s="12"/>
      <c r="AB300" s="12"/>
    </row>
    <row r="301">
      <c r="A301" s="11" t="s">
        <v>413</v>
      </c>
      <c r="I301" s="12"/>
      <c r="J301" s="194"/>
      <c r="K301" s="194"/>
      <c r="L301" s="12"/>
      <c r="M301" s="8"/>
      <c r="N301" s="18"/>
      <c r="O301" s="19"/>
      <c r="P301" s="12"/>
      <c r="Q301" s="12"/>
      <c r="R301" s="12"/>
      <c r="S301" s="12"/>
      <c r="V301" s="12"/>
      <c r="W301" s="12"/>
      <c r="X301" s="12"/>
      <c r="Y301" s="12"/>
      <c r="Z301" s="12"/>
      <c r="AA301" s="12"/>
      <c r="AB301" s="12"/>
    </row>
    <row r="302">
      <c r="B302" s="189"/>
      <c r="I302" s="12"/>
      <c r="J302" s="194"/>
      <c r="K302" s="194"/>
      <c r="L302" s="12"/>
      <c r="M302" s="8"/>
      <c r="N302" s="18"/>
      <c r="O302" s="19"/>
      <c r="P302" s="12"/>
      <c r="Q302" s="12"/>
      <c r="R302" s="12"/>
      <c r="S302" s="12"/>
      <c r="V302" s="12"/>
      <c r="W302" s="12"/>
      <c r="X302" s="12"/>
      <c r="Y302" s="12"/>
      <c r="Z302" s="12"/>
      <c r="AA302" s="12"/>
      <c r="AB302" s="12"/>
    </row>
    <row r="303">
      <c r="A303" s="4" t="s">
        <v>157</v>
      </c>
      <c r="B303" s="96">
        <v>4.610030631738E12</v>
      </c>
      <c r="C303" s="182" t="s">
        <v>414</v>
      </c>
      <c r="D303" s="97" t="s">
        <v>414</v>
      </c>
      <c r="E303" s="98">
        <v>4029.0</v>
      </c>
      <c r="F303" s="38"/>
      <c r="G303" s="38"/>
      <c r="H303" s="37">
        <v>842.0</v>
      </c>
      <c r="I303" s="4">
        <v>3168.0</v>
      </c>
      <c r="J303" s="15">
        <f t="shared" ref="J303:J307" si="8">((E303-F303)-H303)-I303</f>
        <v>19</v>
      </c>
      <c r="K303" s="32"/>
      <c r="L303" s="82">
        <v>46204.0</v>
      </c>
      <c r="N303" s="18"/>
      <c r="O303" s="19"/>
      <c r="P303" s="12"/>
      <c r="Q303" s="12"/>
      <c r="R303" s="12"/>
      <c r="S303" s="12"/>
      <c r="V303" s="12"/>
      <c r="W303" s="12"/>
      <c r="X303" s="12"/>
      <c r="Y303" s="12"/>
      <c r="Z303" s="12"/>
      <c r="AA303" s="12"/>
      <c r="AB303" s="12"/>
    </row>
    <row r="304">
      <c r="A304" s="4" t="s">
        <v>157</v>
      </c>
      <c r="B304" s="96">
        <v>4.670142965268E12</v>
      </c>
      <c r="C304" s="97" t="s">
        <v>415</v>
      </c>
      <c r="D304" s="97" t="s">
        <v>415</v>
      </c>
      <c r="E304" s="98">
        <v>1995.0</v>
      </c>
      <c r="F304" s="38"/>
      <c r="G304" s="38"/>
      <c r="H304" s="37">
        <v>270.0</v>
      </c>
      <c r="I304" s="4">
        <v>500.0</v>
      </c>
      <c r="J304" s="15">
        <f t="shared" si="8"/>
        <v>1225</v>
      </c>
      <c r="K304" s="32"/>
      <c r="L304" s="24"/>
      <c r="N304" s="18"/>
      <c r="O304" s="19"/>
      <c r="P304" s="12"/>
      <c r="Q304" s="12"/>
      <c r="R304" s="12"/>
      <c r="S304" s="12"/>
      <c r="V304" s="12"/>
      <c r="W304" s="12"/>
      <c r="X304" s="12"/>
      <c r="Y304" s="12"/>
      <c r="Z304" s="12"/>
      <c r="AA304" s="12"/>
      <c r="AB304" s="12"/>
    </row>
    <row r="305">
      <c r="A305" s="4" t="s">
        <v>157</v>
      </c>
      <c r="B305" s="96">
        <v>4.610172186202E12</v>
      </c>
      <c r="C305" s="179" t="s">
        <v>416</v>
      </c>
      <c r="D305" s="97" t="s">
        <v>416</v>
      </c>
      <c r="E305" s="98">
        <v>1105.0</v>
      </c>
      <c r="F305" s="130"/>
      <c r="G305" s="23"/>
      <c r="H305" s="50">
        <v>506.0</v>
      </c>
      <c r="I305" s="4">
        <v>510.0</v>
      </c>
      <c r="J305" s="15">
        <f t="shared" si="8"/>
        <v>89</v>
      </c>
      <c r="K305" s="2">
        <v>48.0</v>
      </c>
      <c r="L305" s="24"/>
      <c r="N305" s="18"/>
      <c r="O305" s="19"/>
      <c r="P305" s="12"/>
      <c r="Q305" s="12"/>
      <c r="R305" s="12"/>
      <c r="S305" s="12"/>
      <c r="V305" s="12"/>
      <c r="W305" s="12"/>
      <c r="X305" s="12"/>
      <c r="Y305" s="12"/>
      <c r="Z305" s="12"/>
      <c r="AA305" s="12"/>
      <c r="AB305" s="12"/>
    </row>
    <row r="306">
      <c r="A306" s="4" t="s">
        <v>157</v>
      </c>
      <c r="B306" s="96">
        <v>4.627193453695E12</v>
      </c>
      <c r="C306" s="179" t="s">
        <v>358</v>
      </c>
      <c r="D306" s="97" t="s">
        <v>358</v>
      </c>
      <c r="E306" s="98">
        <v>669.0</v>
      </c>
      <c r="F306" s="98"/>
      <c r="G306" s="4"/>
      <c r="H306" s="4">
        <v>244.0</v>
      </c>
      <c r="I306" s="4">
        <v>302.0</v>
      </c>
      <c r="J306" s="15">
        <f t="shared" si="8"/>
        <v>123</v>
      </c>
      <c r="K306" s="32"/>
      <c r="L306" s="82">
        <v>46204.0</v>
      </c>
      <c r="N306" s="18"/>
      <c r="O306" s="19"/>
      <c r="P306" s="12"/>
      <c r="Q306" s="12"/>
      <c r="R306" s="12"/>
      <c r="S306" s="12"/>
      <c r="V306" s="12"/>
      <c r="W306" s="12"/>
      <c r="X306" s="12"/>
      <c r="Y306" s="12"/>
      <c r="Z306" s="12"/>
      <c r="AA306" s="12"/>
      <c r="AB306" s="12"/>
    </row>
    <row r="307">
      <c r="A307" s="4" t="s">
        <v>157</v>
      </c>
      <c r="B307" s="96">
        <v>4.627193453701E12</v>
      </c>
      <c r="C307" s="182" t="s">
        <v>417</v>
      </c>
      <c r="D307" s="97" t="s">
        <v>418</v>
      </c>
      <c r="E307" s="98">
        <v>3482.0</v>
      </c>
      <c r="F307" s="24"/>
      <c r="G307" s="24"/>
      <c r="H307" s="4">
        <v>824.0</v>
      </c>
      <c r="I307" s="4">
        <v>2658.0</v>
      </c>
      <c r="J307" s="15">
        <f t="shared" si="8"/>
        <v>0</v>
      </c>
      <c r="K307" s="2">
        <v>72.0</v>
      </c>
      <c r="L307" s="82">
        <v>46082.0</v>
      </c>
      <c r="N307" s="18"/>
      <c r="O307" s="19"/>
      <c r="P307" s="12"/>
      <c r="Q307" s="12"/>
      <c r="R307" s="12"/>
      <c r="S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94"/>
      <c r="C308" s="8"/>
      <c r="D308" s="8"/>
      <c r="F308" s="12"/>
      <c r="G308" s="12"/>
      <c r="H308" s="12"/>
      <c r="I308" s="12"/>
      <c r="J308" s="194"/>
      <c r="K308" s="194"/>
      <c r="L308" s="12"/>
      <c r="M308" s="8"/>
      <c r="N308" s="18"/>
      <c r="O308" s="19"/>
      <c r="P308" s="12"/>
      <c r="Q308" s="12"/>
      <c r="R308" s="12"/>
      <c r="S308" s="12"/>
      <c r="V308" s="12"/>
      <c r="W308" s="12"/>
      <c r="X308" s="12"/>
      <c r="Y308" s="12"/>
      <c r="Z308" s="12"/>
      <c r="AA308" s="12"/>
      <c r="AB308" s="12"/>
    </row>
    <row r="309">
      <c r="B309" s="189"/>
      <c r="N309" s="18"/>
      <c r="O309" s="19"/>
      <c r="P309" s="12"/>
      <c r="Q309" s="12"/>
      <c r="R309" s="12"/>
      <c r="S309" s="12"/>
      <c r="V309" s="12"/>
      <c r="W309" s="12"/>
      <c r="X309" s="12"/>
      <c r="Y309" s="12"/>
      <c r="Z309" s="12"/>
      <c r="AA309" s="12"/>
      <c r="AB309" s="12"/>
    </row>
    <row r="310">
      <c r="B310" s="189"/>
      <c r="N310" s="18"/>
      <c r="O310" s="19"/>
      <c r="P310" s="12"/>
      <c r="Q310" s="12"/>
      <c r="R310" s="12"/>
      <c r="S310" s="12"/>
      <c r="V310" s="12"/>
      <c r="W310" s="12"/>
      <c r="X310" s="12"/>
      <c r="Y310" s="12"/>
      <c r="Z310" s="12"/>
      <c r="AA310" s="12"/>
      <c r="AB310" s="12"/>
    </row>
    <row r="311">
      <c r="B311" s="189"/>
      <c r="N311" s="18"/>
      <c r="O311" s="19"/>
      <c r="P311" s="12"/>
      <c r="Q311" s="12"/>
      <c r="R311" s="12"/>
      <c r="S311" s="12"/>
      <c r="V311" s="12"/>
      <c r="W311" s="12"/>
      <c r="X311" s="12"/>
      <c r="Y311" s="12"/>
      <c r="Z311" s="12"/>
      <c r="AA311" s="12"/>
      <c r="AB311" s="12"/>
    </row>
    <row r="312">
      <c r="B312" s="189"/>
      <c r="N312" s="18"/>
      <c r="O312" s="19"/>
      <c r="P312" s="12"/>
      <c r="Q312" s="12"/>
      <c r="R312" s="12"/>
      <c r="S312" s="12"/>
      <c r="V312" s="12"/>
      <c r="W312" s="12"/>
      <c r="X312" s="12"/>
      <c r="Y312" s="12"/>
      <c r="Z312" s="12"/>
      <c r="AA312" s="12"/>
      <c r="AB312" s="12"/>
    </row>
    <row r="313">
      <c r="B313" s="189"/>
      <c r="N313" s="18"/>
      <c r="O313" s="19"/>
      <c r="P313" s="12"/>
      <c r="Q313" s="12"/>
      <c r="R313" s="12"/>
      <c r="S313" s="12"/>
      <c r="V313" s="12"/>
      <c r="W313" s="12"/>
      <c r="X313" s="12"/>
      <c r="Y313" s="12"/>
      <c r="Z313" s="12"/>
      <c r="AA313" s="12"/>
      <c r="AB313" s="12"/>
    </row>
    <row r="314">
      <c r="B314" s="189"/>
      <c r="N314" s="18"/>
      <c r="O314" s="19"/>
      <c r="P314" s="12"/>
      <c r="Q314" s="12"/>
      <c r="R314" s="12"/>
      <c r="S314" s="12"/>
      <c r="V314" s="12"/>
      <c r="W314" s="12"/>
      <c r="X314" s="12"/>
      <c r="Y314" s="12"/>
      <c r="Z314" s="12"/>
      <c r="AA314" s="12"/>
      <c r="AB314" s="12"/>
    </row>
    <row r="315">
      <c r="B315" s="189"/>
      <c r="N315" s="18"/>
      <c r="O315" s="19"/>
      <c r="P315" s="12"/>
      <c r="Q315" s="12"/>
      <c r="R315" s="12"/>
      <c r="S315" s="12"/>
      <c r="V315" s="12"/>
      <c r="W315" s="12"/>
      <c r="X315" s="12"/>
      <c r="Y315" s="12"/>
      <c r="Z315" s="12"/>
      <c r="AA315" s="12"/>
      <c r="AB315" s="12"/>
    </row>
    <row r="316">
      <c r="B316" s="189"/>
      <c r="N316" s="18"/>
      <c r="O316" s="19"/>
      <c r="P316" s="12"/>
      <c r="Q316" s="12"/>
      <c r="R316" s="12"/>
      <c r="S316" s="12"/>
      <c r="V316" s="12"/>
      <c r="W316" s="12"/>
      <c r="X316" s="12"/>
      <c r="Y316" s="12"/>
      <c r="Z316" s="12"/>
      <c r="AA316" s="12"/>
      <c r="AB316" s="12"/>
    </row>
    <row r="317">
      <c r="B317" s="189"/>
      <c r="N317" s="18"/>
      <c r="O317" s="19"/>
      <c r="P317" s="12"/>
      <c r="Q317" s="12"/>
      <c r="R317" s="12"/>
      <c r="S317" s="12"/>
      <c r="V317" s="12"/>
      <c r="W317" s="12"/>
      <c r="X317" s="12"/>
      <c r="Y317" s="12"/>
      <c r="Z317" s="12"/>
      <c r="AA317" s="12"/>
      <c r="AB317" s="12"/>
    </row>
    <row r="318">
      <c r="B318" s="189"/>
      <c r="N318" s="18"/>
      <c r="O318" s="19"/>
      <c r="P318" s="12"/>
      <c r="Q318" s="12"/>
      <c r="R318" s="12"/>
      <c r="S318" s="12"/>
      <c r="V318" s="12"/>
      <c r="W318" s="12"/>
      <c r="X318" s="12"/>
      <c r="Y318" s="12"/>
      <c r="Z318" s="12"/>
      <c r="AA318" s="12"/>
      <c r="AB318" s="12"/>
    </row>
    <row r="319">
      <c r="B319" s="189"/>
      <c r="N319" s="18"/>
      <c r="O319" s="19"/>
      <c r="P319" s="12"/>
      <c r="Q319" s="12"/>
      <c r="R319" s="12"/>
      <c r="S319" s="12"/>
      <c r="V319" s="12"/>
      <c r="W319" s="12"/>
      <c r="X319" s="12"/>
      <c r="Y319" s="12"/>
      <c r="Z319" s="12"/>
      <c r="AA319" s="12"/>
      <c r="AB319" s="12"/>
    </row>
    <row r="320">
      <c r="B320" s="189"/>
      <c r="N320" s="18"/>
      <c r="O320" s="19"/>
      <c r="P320" s="12"/>
      <c r="Q320" s="12"/>
      <c r="R320" s="12"/>
      <c r="S320" s="12"/>
      <c r="V320" s="12"/>
      <c r="W320" s="12"/>
      <c r="X320" s="12"/>
      <c r="Y320" s="12"/>
      <c r="Z320" s="12"/>
      <c r="AA320" s="12"/>
      <c r="AB320" s="12"/>
    </row>
    <row r="321">
      <c r="B321" s="189"/>
      <c r="N321" s="18"/>
      <c r="O321" s="19"/>
      <c r="P321" s="12"/>
      <c r="Q321" s="12"/>
      <c r="R321" s="12"/>
      <c r="S321" s="12"/>
      <c r="V321" s="12"/>
      <c r="W321" s="12"/>
      <c r="X321" s="12"/>
      <c r="Y321" s="12"/>
      <c r="Z321" s="12"/>
      <c r="AA321" s="12"/>
      <c r="AB321" s="12"/>
    </row>
    <row r="322">
      <c r="B322" s="189"/>
      <c r="N322" s="18"/>
      <c r="O322" s="19"/>
      <c r="P322" s="12"/>
      <c r="Q322" s="12"/>
      <c r="R322" s="12"/>
      <c r="S322" s="12"/>
      <c r="V322" s="12"/>
      <c r="W322" s="12"/>
      <c r="X322" s="12"/>
      <c r="Y322" s="12"/>
      <c r="Z322" s="12"/>
      <c r="AA322" s="12"/>
      <c r="AB322" s="12"/>
    </row>
    <row r="323">
      <c r="B323" s="189"/>
      <c r="N323" s="18"/>
      <c r="O323" s="19"/>
      <c r="P323" s="12"/>
      <c r="Q323" s="12"/>
      <c r="R323" s="12"/>
      <c r="S323" s="12"/>
      <c r="V323" s="12"/>
      <c r="W323" s="12"/>
      <c r="X323" s="12"/>
      <c r="Y323" s="12"/>
      <c r="Z323" s="12"/>
      <c r="AA323" s="12"/>
      <c r="AB323" s="12"/>
    </row>
    <row r="324">
      <c r="B324" s="189"/>
      <c r="N324" s="18"/>
      <c r="O324" s="19"/>
      <c r="P324" s="12"/>
      <c r="Q324" s="12"/>
      <c r="R324" s="12"/>
      <c r="S324" s="12"/>
      <c r="V324" s="12"/>
      <c r="W324" s="12"/>
      <c r="X324" s="12"/>
      <c r="Y324" s="12"/>
      <c r="Z324" s="12"/>
      <c r="AA324" s="12"/>
      <c r="AB324" s="12"/>
    </row>
    <row r="325">
      <c r="B325" s="189"/>
      <c r="N325" s="18"/>
      <c r="O325" s="19"/>
      <c r="P325" s="12"/>
      <c r="Q325" s="12"/>
      <c r="R325" s="12"/>
      <c r="S325" s="12"/>
      <c r="V325" s="12"/>
      <c r="W325" s="12"/>
      <c r="X325" s="12"/>
      <c r="Y325" s="12"/>
      <c r="Z325" s="12"/>
      <c r="AA325" s="12"/>
      <c r="AB325" s="12"/>
    </row>
    <row r="326">
      <c r="B326" s="189"/>
      <c r="N326" s="18"/>
      <c r="O326" s="19"/>
      <c r="P326" s="12"/>
      <c r="Q326" s="12"/>
      <c r="R326" s="12"/>
      <c r="S326" s="12"/>
      <c r="V326" s="12"/>
      <c r="W326" s="12"/>
      <c r="X326" s="12"/>
      <c r="Y326" s="12"/>
      <c r="Z326" s="12"/>
      <c r="AA326" s="12"/>
      <c r="AB326" s="12"/>
    </row>
    <row r="327">
      <c r="B327" s="189"/>
      <c r="N327" s="18"/>
      <c r="O327" s="19"/>
      <c r="P327" s="12"/>
      <c r="Q327" s="12"/>
      <c r="R327" s="12"/>
      <c r="S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94"/>
      <c r="E328" s="12"/>
      <c r="F328" s="12"/>
      <c r="I328" s="12"/>
      <c r="J328" s="12"/>
      <c r="K328" s="12"/>
      <c r="L328" s="12"/>
      <c r="M328" s="12"/>
      <c r="N328" s="18"/>
      <c r="O328" s="19"/>
      <c r="P328" s="12"/>
      <c r="Q328" s="12"/>
      <c r="R328" s="12"/>
      <c r="S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94"/>
      <c r="E329" s="12"/>
      <c r="F329" s="12"/>
      <c r="I329" s="12"/>
      <c r="J329" s="12"/>
      <c r="K329" s="12"/>
      <c r="L329" s="12"/>
      <c r="M329" s="12"/>
      <c r="N329" s="18"/>
      <c r="O329" s="19"/>
      <c r="P329" s="12"/>
      <c r="Q329" s="12"/>
      <c r="R329" s="12"/>
      <c r="S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94"/>
      <c r="E330" s="12"/>
      <c r="F330" s="12"/>
      <c r="I330" s="12"/>
      <c r="J330" s="12"/>
      <c r="K330" s="12"/>
      <c r="L330" s="12"/>
      <c r="M330" s="12"/>
      <c r="N330" s="18"/>
      <c r="O330" s="19"/>
      <c r="P330" s="12"/>
      <c r="Q330" s="12"/>
      <c r="R330" s="12"/>
      <c r="S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94"/>
      <c r="E331" s="11"/>
      <c r="F331" s="12"/>
      <c r="I331" s="12"/>
      <c r="J331" s="12"/>
      <c r="K331" s="12"/>
      <c r="L331" s="12"/>
      <c r="M331" s="12"/>
      <c r="N331" s="18"/>
      <c r="O331" s="19"/>
      <c r="P331" s="12"/>
      <c r="Q331" s="12"/>
      <c r="R331" s="12"/>
      <c r="S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94"/>
      <c r="E332" s="12"/>
      <c r="F332" s="12"/>
      <c r="I332" s="12"/>
      <c r="J332" s="12"/>
      <c r="K332" s="12"/>
      <c r="L332" s="12"/>
      <c r="M332" s="12"/>
      <c r="N332" s="18"/>
      <c r="O332" s="19"/>
      <c r="P332" s="12"/>
      <c r="Q332" s="12"/>
      <c r="R332" s="12"/>
      <c r="S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94"/>
      <c r="E333" s="11"/>
      <c r="F333" s="12"/>
      <c r="I333" s="12"/>
      <c r="J333" s="12"/>
      <c r="K333" s="12"/>
      <c r="L333" s="12"/>
      <c r="M333" s="12"/>
      <c r="N333" s="18"/>
      <c r="O333" s="19"/>
      <c r="P333" s="12"/>
      <c r="Q333" s="12"/>
      <c r="R333" s="12"/>
      <c r="S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94"/>
      <c r="E334" s="12"/>
      <c r="F334" s="12"/>
      <c r="I334" s="12"/>
      <c r="J334" s="12"/>
      <c r="K334" s="12"/>
      <c r="L334" s="12"/>
      <c r="M334" s="12"/>
      <c r="N334" s="18"/>
      <c r="O334" s="19"/>
      <c r="P334" s="12"/>
      <c r="Q334" s="12"/>
      <c r="R334" s="12"/>
      <c r="S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94"/>
      <c r="E335" s="12"/>
      <c r="F335" s="12"/>
      <c r="I335" s="12"/>
      <c r="J335" s="12"/>
      <c r="K335" s="12"/>
      <c r="L335" s="12"/>
      <c r="M335" s="12"/>
      <c r="N335" s="18"/>
      <c r="O335" s="19"/>
      <c r="P335" s="12"/>
      <c r="Q335" s="12"/>
      <c r="R335" s="12"/>
      <c r="S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94"/>
      <c r="E336" s="12"/>
      <c r="F336" s="12"/>
      <c r="I336" s="12"/>
      <c r="J336" s="12"/>
      <c r="K336" s="12"/>
      <c r="L336" s="12"/>
      <c r="M336" s="12"/>
      <c r="N336" s="18"/>
      <c r="O336" s="19"/>
      <c r="P336" s="12"/>
      <c r="Q336" s="12"/>
      <c r="R336" s="12"/>
      <c r="S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94"/>
      <c r="E337" s="11"/>
      <c r="F337" s="12"/>
      <c r="I337" s="12"/>
      <c r="J337" s="12"/>
      <c r="K337" s="12"/>
      <c r="L337" s="12"/>
      <c r="M337" s="12"/>
      <c r="N337" s="18"/>
      <c r="O337" s="19"/>
      <c r="P337" s="12"/>
      <c r="Q337" s="12"/>
      <c r="R337" s="12"/>
      <c r="S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94"/>
      <c r="E338" s="12"/>
      <c r="F338" s="12"/>
      <c r="I338" s="12"/>
      <c r="J338" s="12"/>
      <c r="K338" s="12"/>
      <c r="L338" s="12"/>
      <c r="M338" s="12"/>
      <c r="N338" s="18"/>
      <c r="O338" s="19"/>
      <c r="P338" s="12"/>
      <c r="Q338" s="12"/>
      <c r="R338" s="12"/>
      <c r="S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94"/>
      <c r="E339" s="12"/>
      <c r="F339" s="12"/>
      <c r="I339" s="12"/>
      <c r="J339" s="12"/>
      <c r="K339" s="12"/>
      <c r="L339" s="12"/>
      <c r="M339" s="12"/>
      <c r="N339" s="18"/>
      <c r="O339" s="19"/>
      <c r="P339" s="12"/>
      <c r="Q339" s="12"/>
      <c r="R339" s="12"/>
      <c r="S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94"/>
      <c r="E340" s="12"/>
      <c r="F340" s="12"/>
      <c r="I340" s="12"/>
      <c r="J340" s="12"/>
      <c r="K340" s="12"/>
      <c r="L340" s="12"/>
      <c r="M340" s="12"/>
      <c r="N340" s="18"/>
      <c r="O340" s="19"/>
      <c r="P340" s="12"/>
      <c r="Q340" s="12"/>
      <c r="R340" s="12"/>
      <c r="S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94"/>
      <c r="E341" s="12"/>
      <c r="F341" s="12"/>
      <c r="I341" s="12"/>
      <c r="J341" s="12"/>
      <c r="K341" s="12"/>
      <c r="L341" s="12"/>
      <c r="M341" s="12"/>
      <c r="N341" s="18"/>
      <c r="O341" s="19"/>
      <c r="P341" s="12"/>
      <c r="Q341" s="12"/>
      <c r="R341" s="12"/>
      <c r="S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94"/>
      <c r="E342" s="12"/>
      <c r="F342" s="12"/>
      <c r="I342" s="12"/>
      <c r="J342" s="12"/>
      <c r="K342" s="12"/>
      <c r="L342" s="12"/>
      <c r="M342" s="12"/>
      <c r="N342" s="18"/>
      <c r="O342" s="19"/>
      <c r="P342" s="12"/>
      <c r="Q342" s="12"/>
      <c r="R342" s="12"/>
      <c r="S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94"/>
      <c r="E343" s="12"/>
      <c r="F343" s="12"/>
      <c r="I343" s="12"/>
      <c r="J343" s="12"/>
      <c r="K343" s="12"/>
      <c r="L343" s="12"/>
      <c r="M343" s="12"/>
      <c r="N343" s="18"/>
      <c r="O343" s="19"/>
      <c r="P343" s="12"/>
      <c r="Q343" s="12"/>
      <c r="R343" s="12"/>
      <c r="S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94"/>
      <c r="E344" s="12"/>
      <c r="F344" s="12"/>
      <c r="I344" s="12"/>
      <c r="J344" s="12"/>
      <c r="K344" s="12"/>
      <c r="L344" s="12"/>
      <c r="M344" s="12"/>
      <c r="N344" s="18"/>
      <c r="O344" s="19"/>
      <c r="P344" s="12"/>
      <c r="Q344" s="12"/>
      <c r="R344" s="12"/>
      <c r="S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94"/>
      <c r="E345" s="12"/>
      <c r="F345" s="12"/>
      <c r="I345" s="12"/>
      <c r="J345" s="12"/>
      <c r="K345" s="12"/>
      <c r="L345" s="12"/>
      <c r="M345" s="12"/>
      <c r="N345" s="18"/>
      <c r="O345" s="19"/>
      <c r="P345" s="12"/>
      <c r="Q345" s="12"/>
      <c r="R345" s="12"/>
      <c r="S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94"/>
      <c r="E346" s="12"/>
      <c r="F346" s="12"/>
      <c r="I346" s="12"/>
      <c r="J346" s="12"/>
      <c r="K346" s="12"/>
      <c r="L346" s="12"/>
      <c r="M346" s="12"/>
      <c r="N346" s="18"/>
      <c r="O346" s="19"/>
      <c r="P346" s="12"/>
      <c r="Q346" s="12"/>
      <c r="R346" s="12"/>
      <c r="S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94"/>
      <c r="E347" s="12"/>
      <c r="F347" s="12"/>
      <c r="I347" s="12"/>
      <c r="J347" s="12"/>
      <c r="K347" s="12"/>
      <c r="L347" s="12"/>
      <c r="M347" s="12"/>
      <c r="N347" s="18"/>
      <c r="O347" s="19"/>
      <c r="P347" s="12"/>
      <c r="Q347" s="12"/>
      <c r="R347" s="12"/>
      <c r="S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94"/>
      <c r="E348" s="12"/>
      <c r="F348" s="12"/>
      <c r="I348" s="12"/>
      <c r="J348" s="12"/>
      <c r="K348" s="12"/>
      <c r="L348" s="12"/>
      <c r="M348" s="12"/>
      <c r="N348" s="18"/>
      <c r="O348" s="19"/>
      <c r="P348" s="12"/>
      <c r="Q348" s="12"/>
      <c r="R348" s="12"/>
      <c r="S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94"/>
      <c r="E349" s="12"/>
      <c r="F349" s="12"/>
      <c r="I349" s="12"/>
      <c r="J349" s="12"/>
      <c r="K349" s="12"/>
      <c r="L349" s="12"/>
      <c r="M349" s="12"/>
      <c r="N349" s="18"/>
      <c r="O349" s="19"/>
      <c r="P349" s="12"/>
      <c r="Q349" s="12"/>
      <c r="R349" s="12"/>
      <c r="S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94"/>
      <c r="E350" s="12"/>
      <c r="F350" s="12"/>
      <c r="I350" s="12"/>
      <c r="J350" s="12"/>
      <c r="K350" s="12"/>
      <c r="L350" s="12"/>
      <c r="M350" s="12"/>
      <c r="N350" s="18"/>
      <c r="O350" s="19"/>
      <c r="P350" s="12"/>
      <c r="Q350" s="12"/>
      <c r="R350" s="12"/>
      <c r="S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94"/>
      <c r="E351" s="12"/>
      <c r="F351" s="12"/>
      <c r="I351" s="12"/>
      <c r="J351" s="12"/>
      <c r="K351" s="12"/>
      <c r="L351" s="12"/>
      <c r="M351" s="12"/>
      <c r="N351" s="18"/>
      <c r="O351" s="19"/>
      <c r="P351" s="12"/>
      <c r="S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94"/>
      <c r="E352" s="12"/>
      <c r="F352" s="12"/>
      <c r="I352" s="12"/>
      <c r="J352" s="12"/>
      <c r="K352" s="12"/>
      <c r="L352" s="12"/>
      <c r="M352" s="12"/>
      <c r="N352" s="18"/>
      <c r="O352" s="19"/>
      <c r="P352" s="12"/>
      <c r="S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94"/>
      <c r="E353" s="12"/>
      <c r="F353" s="12"/>
      <c r="I353" s="12"/>
      <c r="J353" s="12"/>
      <c r="K353" s="12"/>
      <c r="L353" s="12"/>
      <c r="M353" s="12"/>
      <c r="N353" s="18"/>
      <c r="O353" s="19"/>
      <c r="P353" s="12"/>
      <c r="S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94"/>
      <c r="E354" s="11"/>
      <c r="F354" s="12"/>
      <c r="I354" s="12"/>
      <c r="J354" s="12"/>
      <c r="K354" s="12"/>
      <c r="L354" s="12"/>
      <c r="M354" s="12"/>
      <c r="N354" s="18"/>
      <c r="O354" s="19"/>
      <c r="P354" s="12"/>
      <c r="S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94"/>
      <c r="E355" s="12"/>
      <c r="F355" s="12"/>
      <c r="I355" s="12"/>
      <c r="J355" s="12"/>
      <c r="K355" s="12"/>
      <c r="L355" s="12"/>
      <c r="M355" s="12"/>
      <c r="N355" s="18"/>
      <c r="O355" s="19"/>
      <c r="P355" s="12"/>
      <c r="S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94"/>
      <c r="E356" s="12"/>
      <c r="F356" s="12"/>
      <c r="I356" s="12"/>
      <c r="J356" s="12"/>
      <c r="K356" s="12"/>
      <c r="L356" s="12"/>
      <c r="M356" s="12"/>
      <c r="N356" s="18"/>
      <c r="O356" s="19"/>
      <c r="P356" s="12"/>
      <c r="S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94"/>
      <c r="E357" s="12"/>
      <c r="F357" s="12"/>
      <c r="I357" s="12"/>
      <c r="J357" s="12"/>
      <c r="K357" s="12"/>
      <c r="L357" s="12"/>
      <c r="M357" s="12"/>
      <c r="N357" s="18"/>
      <c r="O357" s="19"/>
      <c r="P357" s="12"/>
      <c r="S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94"/>
      <c r="E358" s="12"/>
      <c r="F358" s="12"/>
      <c r="I358" s="12"/>
      <c r="J358" s="12"/>
      <c r="K358" s="12"/>
      <c r="L358" s="12"/>
      <c r="M358" s="12"/>
      <c r="N358" s="18"/>
      <c r="O358" s="19"/>
      <c r="P358" s="12"/>
      <c r="S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94"/>
      <c r="E359" s="12"/>
      <c r="F359" s="12"/>
      <c r="I359" s="12"/>
      <c r="J359" s="12"/>
      <c r="K359" s="12"/>
      <c r="L359" s="12"/>
      <c r="M359" s="12"/>
      <c r="N359" s="18"/>
      <c r="O359" s="19"/>
      <c r="P359" s="12"/>
      <c r="S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94"/>
      <c r="E360" s="12"/>
      <c r="F360" s="12"/>
      <c r="I360" s="12"/>
      <c r="J360" s="12"/>
      <c r="K360" s="12"/>
      <c r="L360" s="12"/>
      <c r="M360" s="12"/>
      <c r="N360" s="18"/>
      <c r="O360" s="19"/>
      <c r="P360" s="12"/>
      <c r="S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94"/>
      <c r="E361" s="12"/>
      <c r="F361" s="12"/>
      <c r="I361" s="12"/>
      <c r="J361" s="12"/>
      <c r="K361" s="12"/>
      <c r="L361" s="12"/>
      <c r="M361" s="12"/>
      <c r="N361" s="18"/>
      <c r="O361" s="19"/>
      <c r="P361" s="12"/>
      <c r="S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94"/>
      <c r="E362" s="12"/>
      <c r="F362" s="12"/>
      <c r="I362" s="12"/>
      <c r="J362" s="12"/>
      <c r="K362" s="12"/>
      <c r="L362" s="12"/>
      <c r="M362" s="12"/>
      <c r="N362" s="18"/>
      <c r="O362" s="19"/>
      <c r="P362" s="12"/>
      <c r="Q362" s="12"/>
      <c r="R362" s="12"/>
      <c r="S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94"/>
      <c r="E363" s="12"/>
      <c r="F363" s="12"/>
      <c r="I363" s="12"/>
      <c r="J363" s="12"/>
      <c r="K363" s="12"/>
      <c r="L363" s="12"/>
      <c r="M363" s="12"/>
      <c r="N363" s="18"/>
      <c r="O363" s="19"/>
      <c r="P363" s="12"/>
      <c r="Q363" s="12"/>
      <c r="R363" s="12"/>
      <c r="S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94"/>
      <c r="E364" s="12"/>
      <c r="F364" s="12"/>
      <c r="I364" s="12"/>
      <c r="J364" s="12"/>
      <c r="K364" s="12"/>
      <c r="L364" s="12"/>
      <c r="M364" s="12"/>
      <c r="N364" s="18"/>
      <c r="O364" s="19"/>
      <c r="P364" s="12"/>
      <c r="Q364" s="12"/>
      <c r="R364" s="12"/>
      <c r="S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94"/>
      <c r="F365" s="12"/>
      <c r="I365" s="12"/>
      <c r="J365" s="194"/>
      <c r="K365" s="194"/>
      <c r="L365" s="12"/>
      <c r="M365" s="12"/>
      <c r="N365" s="18"/>
      <c r="O365" s="19"/>
      <c r="P365" s="12"/>
      <c r="Q365" s="12"/>
      <c r="R365" s="12"/>
      <c r="S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94"/>
      <c r="F366" s="12"/>
      <c r="I366" s="12"/>
      <c r="J366" s="194"/>
      <c r="K366" s="194"/>
      <c r="L366" s="12"/>
      <c r="M366" s="12"/>
      <c r="N366" s="18"/>
      <c r="O366" s="19"/>
      <c r="P366" s="12"/>
      <c r="Q366" s="12"/>
      <c r="R366" s="12"/>
      <c r="S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94"/>
      <c r="F367" s="12"/>
      <c r="I367" s="12"/>
      <c r="J367" s="194"/>
      <c r="K367" s="194"/>
      <c r="L367" s="12"/>
      <c r="M367" s="12"/>
      <c r="N367" s="18"/>
      <c r="O367" s="19"/>
      <c r="P367" s="12"/>
      <c r="Q367" s="12"/>
      <c r="R367" s="12"/>
      <c r="S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94"/>
      <c r="F368" s="12"/>
      <c r="I368" s="12"/>
      <c r="J368" s="194"/>
      <c r="K368" s="194"/>
      <c r="L368" s="12"/>
      <c r="M368" s="12"/>
      <c r="N368" s="18"/>
      <c r="O368" s="19"/>
      <c r="P368" s="12"/>
      <c r="Q368" s="12"/>
      <c r="R368" s="12"/>
      <c r="S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94"/>
      <c r="F369" s="12"/>
      <c r="I369" s="12"/>
      <c r="J369" s="194"/>
      <c r="K369" s="194"/>
      <c r="L369" s="12"/>
      <c r="M369" s="12"/>
      <c r="N369" s="18"/>
      <c r="O369" s="19"/>
      <c r="P369" s="12"/>
      <c r="Q369" s="12"/>
      <c r="R369" s="12"/>
      <c r="S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94"/>
      <c r="F370" s="12"/>
      <c r="I370" s="12"/>
      <c r="J370" s="194"/>
      <c r="K370" s="194"/>
      <c r="L370" s="12"/>
      <c r="M370" s="12"/>
      <c r="N370" s="18"/>
      <c r="O370" s="19"/>
      <c r="P370" s="12"/>
      <c r="Q370" s="12"/>
      <c r="R370" s="12"/>
      <c r="S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94"/>
      <c r="F371" s="11"/>
      <c r="I371" s="12"/>
      <c r="J371" s="194"/>
      <c r="K371" s="194"/>
      <c r="L371" s="12"/>
      <c r="M371" s="12"/>
      <c r="N371" s="18"/>
      <c r="O371" s="19"/>
      <c r="P371" s="12"/>
      <c r="Q371" s="12"/>
      <c r="R371" s="12"/>
      <c r="S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94"/>
      <c r="F372" s="12"/>
      <c r="I372" s="12"/>
      <c r="J372" s="194"/>
      <c r="K372" s="194"/>
      <c r="L372" s="12"/>
      <c r="M372" s="12"/>
      <c r="N372" s="18"/>
      <c r="O372" s="19"/>
      <c r="P372" s="12"/>
      <c r="Q372" s="12"/>
      <c r="R372" s="12"/>
      <c r="S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94"/>
      <c r="F373" s="12"/>
      <c r="I373" s="12"/>
      <c r="J373" s="194"/>
      <c r="K373" s="194"/>
      <c r="L373" s="12"/>
      <c r="M373" s="12"/>
      <c r="N373" s="18"/>
      <c r="O373" s="19"/>
      <c r="P373" s="12"/>
      <c r="Q373" s="12"/>
      <c r="R373" s="12"/>
      <c r="S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94"/>
      <c r="F374" s="12"/>
      <c r="I374" s="12"/>
      <c r="J374" s="194"/>
      <c r="K374" s="194"/>
      <c r="L374" s="12"/>
      <c r="M374" s="12"/>
      <c r="N374" s="18"/>
      <c r="O374" s="19"/>
      <c r="P374" s="12"/>
      <c r="Q374" s="12"/>
      <c r="R374" s="12"/>
      <c r="S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94"/>
      <c r="F375" s="12"/>
      <c r="I375" s="12"/>
      <c r="J375" s="194"/>
      <c r="K375" s="194"/>
      <c r="L375" s="12"/>
      <c r="M375" s="12"/>
      <c r="N375" s="18"/>
      <c r="O375" s="19"/>
      <c r="P375" s="12"/>
      <c r="Q375" s="12"/>
      <c r="R375" s="12"/>
      <c r="S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94"/>
      <c r="F376" s="12"/>
      <c r="I376" s="12"/>
      <c r="J376" s="194"/>
      <c r="K376" s="194"/>
      <c r="L376" s="12"/>
      <c r="M376" s="12"/>
      <c r="N376" s="18"/>
      <c r="O376" s="19"/>
      <c r="P376" s="12"/>
      <c r="Q376" s="12"/>
      <c r="R376" s="12"/>
      <c r="S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94"/>
      <c r="F377" s="12"/>
      <c r="I377" s="12"/>
      <c r="J377" s="194"/>
      <c r="K377" s="194"/>
      <c r="L377" s="12"/>
      <c r="M377" s="12"/>
      <c r="N377" s="18"/>
      <c r="O377" s="19"/>
      <c r="P377" s="12"/>
      <c r="Q377" s="12"/>
      <c r="R377" s="12"/>
      <c r="S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94"/>
      <c r="F378" s="12"/>
      <c r="I378" s="12"/>
      <c r="J378" s="194"/>
      <c r="K378" s="194"/>
      <c r="L378" s="12"/>
      <c r="M378" s="12"/>
      <c r="N378" s="18"/>
      <c r="O378" s="19"/>
      <c r="P378" s="12"/>
      <c r="Q378" s="12"/>
      <c r="R378" s="12"/>
      <c r="S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94"/>
      <c r="F379" s="12"/>
      <c r="I379" s="12"/>
      <c r="J379" s="194"/>
      <c r="K379" s="194"/>
      <c r="L379" s="12"/>
      <c r="M379" s="12"/>
      <c r="N379" s="18"/>
      <c r="O379" s="19"/>
      <c r="P379" s="12"/>
      <c r="Q379" s="12"/>
      <c r="R379" s="12"/>
      <c r="S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94"/>
      <c r="F380" s="12"/>
      <c r="I380" s="12"/>
      <c r="J380" s="194"/>
      <c r="K380" s="194"/>
      <c r="L380" s="12"/>
      <c r="M380" s="12"/>
      <c r="N380" s="18"/>
      <c r="O380" s="19"/>
      <c r="P380" s="12"/>
      <c r="Q380" s="12"/>
      <c r="R380" s="12"/>
      <c r="S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94"/>
      <c r="F381" s="12"/>
      <c r="I381" s="12"/>
      <c r="J381" s="194"/>
      <c r="K381" s="194"/>
      <c r="L381" s="12"/>
      <c r="M381" s="12"/>
      <c r="N381" s="18"/>
      <c r="O381" s="19"/>
      <c r="P381" s="12"/>
      <c r="Q381" s="12"/>
      <c r="R381" s="12"/>
      <c r="S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94"/>
      <c r="F382" s="12"/>
      <c r="I382" s="12"/>
      <c r="J382" s="194"/>
      <c r="K382" s="194"/>
      <c r="L382" s="12"/>
      <c r="M382" s="12"/>
      <c r="N382" s="18"/>
      <c r="O382" s="19"/>
      <c r="P382" s="12"/>
      <c r="Q382" s="12"/>
      <c r="R382" s="12"/>
      <c r="S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94"/>
      <c r="F383" s="12"/>
      <c r="I383" s="12"/>
      <c r="J383" s="194"/>
      <c r="K383" s="194"/>
      <c r="L383" s="12"/>
      <c r="M383" s="12"/>
      <c r="N383" s="18"/>
      <c r="O383" s="19"/>
      <c r="P383" s="12"/>
      <c r="Q383" s="12"/>
      <c r="R383" s="12"/>
      <c r="S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94"/>
      <c r="F384" s="12"/>
      <c r="I384" s="12"/>
      <c r="J384" s="194"/>
      <c r="K384" s="194"/>
      <c r="L384" s="12"/>
      <c r="M384" s="12"/>
      <c r="N384" s="18"/>
      <c r="O384" s="19"/>
      <c r="P384" s="12"/>
      <c r="Q384" s="12"/>
      <c r="R384" s="12"/>
      <c r="S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94"/>
      <c r="I385" s="12"/>
      <c r="J385" s="194"/>
      <c r="K385" s="194"/>
      <c r="L385" s="12"/>
      <c r="M385" s="12"/>
      <c r="N385" s="18"/>
      <c r="O385" s="19"/>
      <c r="P385" s="12"/>
      <c r="S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94"/>
      <c r="I386" s="12"/>
      <c r="J386" s="194"/>
      <c r="K386" s="194"/>
      <c r="L386" s="12"/>
      <c r="M386" s="12"/>
      <c r="N386" s="18"/>
      <c r="O386" s="19"/>
      <c r="P386" s="12"/>
      <c r="S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94"/>
      <c r="I387" s="12"/>
      <c r="J387" s="194"/>
      <c r="K387" s="194"/>
      <c r="L387" s="12"/>
      <c r="M387" s="12"/>
      <c r="N387" s="18"/>
      <c r="O387" s="19"/>
      <c r="P387" s="12"/>
      <c r="Q387" s="12"/>
      <c r="R387" s="12"/>
      <c r="S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94"/>
      <c r="I388" s="12"/>
      <c r="J388" s="194"/>
      <c r="K388" s="194"/>
      <c r="L388" s="12"/>
      <c r="M388" s="12"/>
      <c r="N388" s="18"/>
      <c r="O388" s="19"/>
      <c r="P388" s="12"/>
      <c r="Q388" s="12"/>
      <c r="R388" s="12"/>
      <c r="S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94"/>
      <c r="I389" s="12"/>
      <c r="J389" s="194"/>
      <c r="K389" s="194"/>
      <c r="L389" s="12"/>
      <c r="M389" s="12"/>
      <c r="N389" s="18"/>
      <c r="O389" s="19"/>
      <c r="P389" s="12"/>
      <c r="Q389" s="12"/>
      <c r="R389" s="12"/>
      <c r="S389" s="12"/>
      <c r="V389" s="12"/>
      <c r="W389" s="12"/>
      <c r="X389" s="12"/>
      <c r="Y389" s="12"/>
      <c r="Z389" s="12"/>
      <c r="AA389" s="12"/>
      <c r="AB389" s="12"/>
    </row>
    <row r="390">
      <c r="B390" s="189"/>
      <c r="F390" s="12"/>
      <c r="I390" s="12"/>
      <c r="J390" s="194"/>
      <c r="K390" s="194"/>
      <c r="L390" s="12"/>
      <c r="M390" s="12"/>
      <c r="N390" s="18"/>
      <c r="O390" s="19"/>
      <c r="P390" s="12"/>
      <c r="Q390" s="12"/>
      <c r="R390" s="12"/>
      <c r="S390" s="12"/>
      <c r="V390" s="12"/>
      <c r="W390" s="12"/>
      <c r="X390" s="12"/>
      <c r="Y390" s="12"/>
      <c r="Z390" s="12"/>
      <c r="AA390" s="12"/>
      <c r="AB390" s="12"/>
    </row>
    <row r="391">
      <c r="B391" s="189"/>
      <c r="F391" s="12"/>
      <c r="I391" s="12"/>
      <c r="J391" s="194"/>
      <c r="K391" s="194"/>
      <c r="L391" s="12"/>
      <c r="M391" s="12"/>
      <c r="N391" s="18"/>
      <c r="O391" s="19"/>
      <c r="P391" s="12"/>
      <c r="Q391" s="12"/>
      <c r="R391" s="12"/>
      <c r="S391" s="12"/>
      <c r="V391" s="12"/>
      <c r="W391" s="12"/>
      <c r="X391" s="12"/>
      <c r="Y391" s="12"/>
      <c r="Z391" s="12"/>
      <c r="AA391" s="12"/>
      <c r="AB391" s="12"/>
    </row>
    <row r="392">
      <c r="B392" s="189"/>
      <c r="F392" s="12"/>
      <c r="I392" s="12"/>
      <c r="J392" s="194"/>
      <c r="K392" s="194"/>
      <c r="L392" s="12"/>
      <c r="M392" s="12"/>
      <c r="N392" s="18"/>
      <c r="O392" s="19"/>
      <c r="P392" s="12"/>
      <c r="Q392" s="12"/>
      <c r="R392" s="12"/>
      <c r="S392" s="12"/>
      <c r="V392" s="12"/>
      <c r="W392" s="12"/>
      <c r="X392" s="12"/>
      <c r="Y392" s="12"/>
      <c r="Z392" s="12"/>
      <c r="AA392" s="12"/>
      <c r="AB392" s="12"/>
    </row>
    <row r="393">
      <c r="B393" s="189"/>
      <c r="F393" s="12"/>
      <c r="I393" s="12"/>
      <c r="J393" s="194"/>
      <c r="K393" s="194"/>
      <c r="L393" s="12"/>
      <c r="M393" s="12"/>
      <c r="N393" s="18"/>
      <c r="O393" s="19"/>
      <c r="P393" s="12"/>
      <c r="Q393" s="12"/>
      <c r="R393" s="12"/>
      <c r="S393" s="12"/>
      <c r="V393" s="12"/>
      <c r="W393" s="12"/>
      <c r="X393" s="12"/>
      <c r="Y393" s="12"/>
      <c r="Z393" s="12"/>
      <c r="AA393" s="12"/>
      <c r="AB393" s="12"/>
    </row>
    <row r="394">
      <c r="B394" s="189"/>
      <c r="F394" s="12"/>
      <c r="G394" s="12"/>
      <c r="H394" s="12"/>
      <c r="I394" s="12"/>
      <c r="J394" s="194"/>
      <c r="K394" s="194"/>
      <c r="L394" s="12"/>
      <c r="M394" s="12"/>
      <c r="N394" s="18"/>
      <c r="O394" s="19"/>
      <c r="P394" s="12"/>
      <c r="Q394" s="12"/>
      <c r="R394" s="12"/>
      <c r="S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94"/>
      <c r="F395" s="12"/>
      <c r="G395" s="12"/>
      <c r="H395" s="12"/>
      <c r="I395" s="12"/>
      <c r="J395" s="194"/>
      <c r="K395" s="194"/>
      <c r="L395" s="12"/>
      <c r="M395" s="12"/>
      <c r="N395" s="18"/>
      <c r="O395" s="19"/>
      <c r="P395" s="12"/>
      <c r="Q395" s="12"/>
      <c r="R395" s="12"/>
      <c r="S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94"/>
      <c r="F396" s="12"/>
      <c r="G396" s="12"/>
      <c r="H396" s="12"/>
      <c r="I396" s="12"/>
      <c r="J396" s="194"/>
      <c r="K396" s="194"/>
      <c r="L396" s="12"/>
      <c r="M396" s="12"/>
      <c r="N396" s="18"/>
      <c r="O396" s="19"/>
      <c r="P396" s="12"/>
      <c r="Q396" s="12"/>
      <c r="R396" s="12"/>
      <c r="S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94"/>
      <c r="F397" s="12"/>
      <c r="G397" s="12"/>
      <c r="H397" s="12"/>
      <c r="I397" s="12"/>
      <c r="J397" s="194"/>
      <c r="K397" s="194"/>
      <c r="L397" s="12"/>
      <c r="M397" s="12"/>
      <c r="N397" s="18"/>
      <c r="O397" s="19"/>
      <c r="P397" s="12"/>
      <c r="Q397" s="12"/>
      <c r="R397" s="12"/>
      <c r="S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94"/>
      <c r="F398" s="12"/>
      <c r="G398" s="12"/>
      <c r="H398" s="12"/>
      <c r="I398" s="12"/>
      <c r="J398" s="194"/>
      <c r="K398" s="194"/>
      <c r="L398" s="12"/>
      <c r="M398" s="12"/>
      <c r="N398" s="18"/>
      <c r="O398" s="19"/>
      <c r="P398" s="12"/>
      <c r="Q398" s="12"/>
      <c r="R398" s="12"/>
      <c r="S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94"/>
      <c r="F399" s="12"/>
      <c r="G399" s="12"/>
      <c r="H399" s="12"/>
      <c r="I399" s="12"/>
      <c r="J399" s="194"/>
      <c r="K399" s="194"/>
      <c r="L399" s="12"/>
      <c r="M399" s="12"/>
      <c r="N399" s="18"/>
      <c r="O399" s="19"/>
      <c r="P399" s="12"/>
      <c r="Q399" s="12"/>
      <c r="R399" s="12"/>
      <c r="S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94"/>
      <c r="F400" s="12"/>
      <c r="G400" s="12"/>
      <c r="H400" s="12"/>
      <c r="I400" s="12"/>
      <c r="J400" s="194"/>
      <c r="K400" s="194"/>
      <c r="L400" s="12"/>
      <c r="M400" s="12"/>
      <c r="N400" s="18"/>
      <c r="O400" s="19"/>
      <c r="P400" s="12"/>
      <c r="Q400" s="12"/>
      <c r="R400" s="12"/>
      <c r="S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94"/>
      <c r="F401" s="12"/>
      <c r="G401" s="12"/>
      <c r="H401" s="12"/>
      <c r="I401" s="12"/>
      <c r="J401" s="194"/>
      <c r="K401" s="194"/>
      <c r="L401" s="12"/>
      <c r="M401" s="12"/>
      <c r="N401" s="18"/>
      <c r="O401" s="19"/>
      <c r="P401" s="12"/>
      <c r="Q401" s="12"/>
      <c r="R401" s="12"/>
      <c r="S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94"/>
      <c r="F402" s="12"/>
      <c r="G402" s="12"/>
      <c r="H402" s="12"/>
      <c r="I402" s="12"/>
      <c r="J402" s="194"/>
      <c r="K402" s="194"/>
      <c r="L402" s="12"/>
      <c r="M402" s="12"/>
      <c r="N402" s="18"/>
      <c r="O402" s="19"/>
      <c r="P402" s="12"/>
      <c r="Q402" s="12"/>
      <c r="R402" s="12"/>
      <c r="S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94"/>
      <c r="F403" s="12"/>
      <c r="G403" s="12"/>
      <c r="H403" s="12"/>
      <c r="I403" s="12"/>
      <c r="J403" s="194"/>
      <c r="K403" s="194"/>
      <c r="L403" s="12"/>
      <c r="M403" s="12"/>
      <c r="N403" s="18"/>
      <c r="O403" s="19"/>
      <c r="P403" s="12"/>
      <c r="Q403" s="12"/>
      <c r="R403" s="12"/>
      <c r="S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94"/>
      <c r="F404" s="12"/>
      <c r="G404" s="12"/>
      <c r="H404" s="12"/>
      <c r="I404" s="12"/>
      <c r="J404" s="194"/>
      <c r="K404" s="194"/>
      <c r="L404" s="12"/>
      <c r="M404" s="12"/>
      <c r="N404" s="18"/>
      <c r="O404" s="19"/>
      <c r="P404" s="12"/>
      <c r="Q404" s="12"/>
      <c r="R404" s="12"/>
      <c r="S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94"/>
      <c r="F405" s="12"/>
      <c r="G405" s="12"/>
      <c r="H405" s="12"/>
      <c r="I405" s="12"/>
      <c r="J405" s="194"/>
      <c r="K405" s="194"/>
      <c r="L405" s="12"/>
      <c r="M405" s="12"/>
      <c r="N405" s="18"/>
      <c r="O405" s="19"/>
      <c r="P405" s="12"/>
      <c r="Q405" s="12"/>
      <c r="R405" s="12"/>
      <c r="S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94"/>
      <c r="F406" s="12"/>
      <c r="G406" s="12"/>
      <c r="H406" s="12"/>
      <c r="I406" s="12"/>
      <c r="J406" s="194"/>
      <c r="K406" s="194"/>
      <c r="L406" s="12"/>
      <c r="M406" s="12"/>
      <c r="N406" s="18"/>
      <c r="O406" s="19"/>
      <c r="P406" s="12"/>
      <c r="Q406" s="12"/>
      <c r="R406" s="12"/>
      <c r="S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94"/>
      <c r="F407" s="12"/>
      <c r="G407" s="12"/>
      <c r="H407" s="12"/>
      <c r="I407" s="12"/>
      <c r="J407" s="194"/>
      <c r="K407" s="194"/>
      <c r="L407" s="12"/>
      <c r="M407" s="12"/>
      <c r="N407" s="18"/>
      <c r="O407" s="19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94"/>
      <c r="F408" s="12"/>
      <c r="G408" s="12"/>
      <c r="H408" s="12"/>
      <c r="I408" s="12"/>
      <c r="J408" s="194"/>
      <c r="K408" s="194"/>
      <c r="L408" s="12"/>
      <c r="M408" s="12"/>
      <c r="N408" s="18"/>
      <c r="O408" s="19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94"/>
      <c r="F409" s="12"/>
      <c r="G409" s="12"/>
      <c r="H409" s="12"/>
      <c r="I409" s="12"/>
      <c r="J409" s="194"/>
      <c r="K409" s="194"/>
      <c r="L409" s="12"/>
      <c r="M409" s="12"/>
      <c r="N409" s="18"/>
      <c r="O409" s="19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94"/>
      <c r="F410" s="12"/>
      <c r="G410" s="12"/>
      <c r="H410" s="12"/>
      <c r="I410" s="12"/>
      <c r="J410" s="194"/>
      <c r="K410" s="194"/>
      <c r="L410" s="12"/>
      <c r="M410" s="12"/>
      <c r="N410" s="18"/>
      <c r="O410" s="19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94"/>
      <c r="F411" s="12"/>
      <c r="G411" s="12"/>
      <c r="H411" s="12"/>
      <c r="I411" s="12"/>
      <c r="J411" s="194"/>
      <c r="K411" s="194"/>
      <c r="L411" s="12"/>
      <c r="M411" s="12"/>
      <c r="N411" s="18"/>
      <c r="O411" s="19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94"/>
      <c r="F412" s="12"/>
      <c r="G412" s="12"/>
      <c r="H412" s="12"/>
      <c r="I412" s="12"/>
      <c r="J412" s="194"/>
      <c r="K412" s="194"/>
      <c r="L412" s="12"/>
      <c r="M412" s="12"/>
      <c r="N412" s="18"/>
      <c r="O412" s="19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94"/>
      <c r="F413" s="12"/>
      <c r="G413" s="12"/>
      <c r="H413" s="12"/>
      <c r="I413" s="12"/>
      <c r="J413" s="194"/>
      <c r="K413" s="194"/>
      <c r="L413" s="12"/>
      <c r="M413" s="12"/>
      <c r="N413" s="18"/>
      <c r="O413" s="19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94"/>
      <c r="F414" s="12"/>
      <c r="G414" s="12"/>
      <c r="H414" s="12"/>
      <c r="I414" s="12"/>
      <c r="J414" s="194"/>
      <c r="K414" s="194"/>
      <c r="L414" s="12"/>
      <c r="M414" s="12"/>
      <c r="N414" s="18"/>
      <c r="O414" s="19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94"/>
      <c r="F415" s="12"/>
      <c r="G415" s="12"/>
      <c r="H415" s="12"/>
      <c r="I415" s="12"/>
      <c r="J415" s="194"/>
      <c r="K415" s="194"/>
      <c r="L415" s="12"/>
      <c r="M415" s="12"/>
      <c r="N415" s="18"/>
      <c r="O415" s="19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94"/>
      <c r="F416" s="12"/>
      <c r="G416" s="12"/>
      <c r="H416" s="12"/>
      <c r="I416" s="12"/>
      <c r="J416" s="194"/>
      <c r="K416" s="194"/>
      <c r="L416" s="12"/>
      <c r="M416" s="12"/>
      <c r="N416" s="18"/>
      <c r="O416" s="19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94"/>
      <c r="F417" s="12"/>
      <c r="G417" s="12"/>
      <c r="H417" s="12"/>
      <c r="I417" s="12"/>
      <c r="J417" s="194"/>
      <c r="K417" s="194"/>
      <c r="L417" s="12"/>
      <c r="M417" s="12"/>
      <c r="N417" s="18"/>
      <c r="O417" s="19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94"/>
      <c r="F418" s="12"/>
      <c r="G418" s="12"/>
      <c r="H418" s="12"/>
      <c r="I418" s="12"/>
      <c r="J418" s="194"/>
      <c r="K418" s="194"/>
      <c r="L418" s="12"/>
      <c r="M418" s="12"/>
      <c r="N418" s="18"/>
      <c r="O418" s="19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94"/>
      <c r="F419" s="12"/>
      <c r="G419" s="12"/>
      <c r="H419" s="12"/>
      <c r="I419" s="12"/>
      <c r="J419" s="194"/>
      <c r="K419" s="194"/>
      <c r="L419" s="12"/>
      <c r="M419" s="12"/>
      <c r="N419" s="18"/>
      <c r="O419" s="19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94"/>
      <c r="F420" s="12"/>
      <c r="G420" s="12"/>
      <c r="H420" s="12"/>
      <c r="I420" s="12"/>
      <c r="J420" s="194"/>
      <c r="K420" s="194"/>
      <c r="L420" s="12"/>
      <c r="M420" s="12"/>
      <c r="N420" s="18"/>
      <c r="O420" s="19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94"/>
      <c r="F421" s="12"/>
      <c r="G421" s="12"/>
      <c r="H421" s="12"/>
      <c r="I421" s="12"/>
      <c r="J421" s="194"/>
      <c r="K421" s="194"/>
      <c r="L421" s="12"/>
      <c r="M421" s="12"/>
      <c r="N421" s="18"/>
      <c r="O421" s="19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94"/>
      <c r="F422" s="12"/>
      <c r="G422" s="12"/>
      <c r="H422" s="12"/>
      <c r="I422" s="12"/>
      <c r="J422" s="194"/>
      <c r="K422" s="194"/>
      <c r="L422" s="12"/>
      <c r="M422" s="12"/>
      <c r="N422" s="18"/>
      <c r="O422" s="19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94"/>
      <c r="F423" s="12"/>
      <c r="G423" s="12"/>
      <c r="H423" s="12"/>
      <c r="I423" s="12"/>
      <c r="J423" s="194"/>
      <c r="K423" s="194"/>
      <c r="L423" s="12"/>
      <c r="M423" s="12"/>
      <c r="N423" s="18"/>
      <c r="O423" s="19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94"/>
      <c r="F424" s="12"/>
      <c r="G424" s="12"/>
      <c r="H424" s="12"/>
      <c r="I424" s="12"/>
      <c r="J424" s="194"/>
      <c r="K424" s="194"/>
      <c r="L424" s="12"/>
      <c r="M424" s="12"/>
      <c r="N424" s="18"/>
      <c r="O424" s="19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94"/>
      <c r="E425" s="11"/>
      <c r="F425" s="12"/>
      <c r="G425" s="12"/>
      <c r="H425" s="12"/>
      <c r="I425" s="12"/>
      <c r="J425" s="194"/>
      <c r="K425" s="194"/>
      <c r="L425" s="12"/>
      <c r="M425" s="12"/>
      <c r="N425" s="18"/>
      <c r="O425" s="19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94"/>
      <c r="E426" s="12"/>
      <c r="F426" s="12"/>
      <c r="G426" s="12"/>
      <c r="H426" s="12"/>
      <c r="I426" s="12"/>
      <c r="J426" s="194"/>
      <c r="K426" s="194"/>
      <c r="L426" s="12"/>
      <c r="M426" s="12"/>
      <c r="N426" s="18"/>
      <c r="O426" s="19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94"/>
      <c r="E427" s="12"/>
      <c r="F427" s="12"/>
      <c r="G427" s="12"/>
      <c r="H427" s="12"/>
      <c r="I427" s="12"/>
      <c r="J427" s="194"/>
      <c r="K427" s="194"/>
      <c r="L427" s="12"/>
      <c r="M427" s="12"/>
      <c r="N427" s="18"/>
      <c r="O427" s="13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94"/>
      <c r="E428" s="12"/>
      <c r="F428" s="12"/>
      <c r="G428" s="12"/>
      <c r="H428" s="12"/>
      <c r="I428" s="12"/>
      <c r="J428" s="194"/>
      <c r="K428" s="194"/>
      <c r="L428" s="12"/>
      <c r="M428" s="12"/>
      <c r="N428" s="18"/>
      <c r="O428" s="13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94"/>
      <c r="E429" s="12"/>
      <c r="F429" s="12"/>
      <c r="G429" s="12"/>
      <c r="H429" s="12"/>
      <c r="I429" s="12"/>
      <c r="J429" s="194"/>
      <c r="K429" s="194"/>
      <c r="L429" s="12"/>
      <c r="M429" s="12"/>
      <c r="N429" s="18"/>
      <c r="O429" s="13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94"/>
      <c r="E430" s="12"/>
      <c r="F430" s="12"/>
      <c r="G430" s="12"/>
      <c r="H430" s="12"/>
      <c r="I430" s="12"/>
      <c r="J430" s="194"/>
      <c r="K430" s="194"/>
      <c r="L430" s="12"/>
      <c r="M430" s="12"/>
      <c r="N430" s="18"/>
      <c r="O430" s="13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94"/>
      <c r="E431" s="12"/>
      <c r="F431" s="12"/>
      <c r="G431" s="12"/>
      <c r="H431" s="12"/>
      <c r="I431" s="12"/>
      <c r="J431" s="194"/>
      <c r="K431" s="194"/>
      <c r="L431" s="12"/>
      <c r="M431" s="12"/>
      <c r="N431" s="18"/>
      <c r="O431" s="13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94"/>
      <c r="E432" s="12"/>
      <c r="F432" s="12"/>
      <c r="G432" s="12"/>
      <c r="H432" s="12"/>
      <c r="I432" s="12"/>
      <c r="J432" s="194"/>
      <c r="K432" s="194"/>
      <c r="L432" s="12"/>
      <c r="M432" s="12"/>
      <c r="N432" s="18"/>
      <c r="O432" s="13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94"/>
      <c r="E433" s="12"/>
      <c r="F433" s="12"/>
      <c r="G433" s="12"/>
      <c r="H433" s="12"/>
      <c r="I433" s="12"/>
      <c r="J433" s="194"/>
      <c r="K433" s="194"/>
      <c r="L433" s="12"/>
      <c r="M433" s="12"/>
      <c r="N433" s="18"/>
      <c r="O433" s="13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94"/>
      <c r="E434" s="12"/>
      <c r="F434" s="12"/>
      <c r="G434" s="12"/>
      <c r="H434" s="12"/>
      <c r="I434" s="12"/>
      <c r="J434" s="194"/>
      <c r="K434" s="194"/>
      <c r="L434" s="12"/>
      <c r="M434" s="12"/>
      <c r="N434" s="18"/>
      <c r="O434" s="13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94"/>
      <c r="E435" s="12"/>
      <c r="F435" s="12"/>
      <c r="G435" s="12"/>
      <c r="H435" s="12"/>
      <c r="I435" s="12"/>
      <c r="J435" s="194"/>
      <c r="K435" s="194"/>
      <c r="L435" s="12"/>
      <c r="M435" s="12"/>
      <c r="N435" s="18"/>
      <c r="O435" s="13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94"/>
      <c r="E436" s="12"/>
      <c r="F436" s="12"/>
      <c r="G436" s="12"/>
      <c r="H436" s="12"/>
      <c r="I436" s="12"/>
      <c r="J436" s="194"/>
      <c r="K436" s="194"/>
      <c r="L436" s="12"/>
      <c r="M436" s="12"/>
      <c r="N436" s="18"/>
      <c r="O436" s="13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94"/>
      <c r="E437" s="12"/>
      <c r="F437" s="12"/>
      <c r="G437" s="12"/>
      <c r="H437" s="12"/>
      <c r="I437" s="12"/>
      <c r="J437" s="194"/>
      <c r="K437" s="194"/>
      <c r="L437" s="12"/>
      <c r="M437" s="12"/>
      <c r="N437" s="18"/>
      <c r="O437" s="9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94"/>
      <c r="E438" s="12"/>
      <c r="F438" s="12"/>
      <c r="G438" s="12"/>
      <c r="H438" s="12"/>
      <c r="I438" s="12"/>
      <c r="J438" s="194"/>
      <c r="K438" s="194"/>
      <c r="L438" s="12"/>
      <c r="M438" s="12"/>
      <c r="N438" s="18"/>
      <c r="O438" s="9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94"/>
      <c r="E439" s="12"/>
      <c r="F439" s="12"/>
      <c r="G439" s="12"/>
      <c r="H439" s="12"/>
      <c r="I439" s="12"/>
      <c r="J439" s="194"/>
      <c r="K439" s="194"/>
      <c r="L439" s="12"/>
      <c r="M439" s="12"/>
      <c r="N439" s="18"/>
      <c r="O439" s="9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94"/>
      <c r="E440" s="12"/>
      <c r="F440" s="12"/>
      <c r="G440" s="12"/>
      <c r="H440" s="12"/>
      <c r="I440" s="12"/>
      <c r="J440" s="194"/>
      <c r="K440" s="194"/>
      <c r="L440" s="12"/>
      <c r="M440" s="12"/>
      <c r="N440" s="18"/>
      <c r="O440" s="9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94"/>
      <c r="E441" s="12"/>
      <c r="F441" s="12"/>
      <c r="G441" s="12"/>
      <c r="H441" s="12"/>
      <c r="I441" s="12"/>
      <c r="J441" s="194"/>
      <c r="K441" s="194"/>
      <c r="L441" s="12"/>
      <c r="M441" s="12"/>
      <c r="N441" s="18"/>
      <c r="O441" s="9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94"/>
      <c r="E442" s="12"/>
      <c r="F442" s="12"/>
      <c r="G442" s="12"/>
      <c r="H442" s="12"/>
      <c r="I442" s="12"/>
      <c r="J442" s="194"/>
      <c r="K442" s="194"/>
      <c r="L442" s="12"/>
      <c r="M442" s="12"/>
      <c r="N442" s="18"/>
      <c r="O442" s="9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94"/>
      <c r="E443" s="12"/>
      <c r="F443" s="12"/>
      <c r="G443" s="12"/>
      <c r="H443" s="12"/>
      <c r="I443" s="12"/>
      <c r="J443" s="194"/>
      <c r="K443" s="194"/>
      <c r="L443" s="12"/>
      <c r="M443" s="12"/>
      <c r="N443" s="18"/>
      <c r="O443" s="9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94"/>
      <c r="E444" s="12"/>
      <c r="F444" s="12"/>
      <c r="G444" s="12"/>
      <c r="H444" s="12"/>
      <c r="I444" s="12"/>
      <c r="J444" s="194"/>
      <c r="K444" s="194"/>
      <c r="L444" s="12"/>
      <c r="M444" s="12"/>
      <c r="N444" s="18"/>
      <c r="O444" s="9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94"/>
      <c r="E445" s="12"/>
      <c r="F445" s="12"/>
      <c r="G445" s="12"/>
      <c r="H445" s="12"/>
      <c r="I445" s="12"/>
      <c r="J445" s="194"/>
      <c r="K445" s="194"/>
      <c r="L445" s="12"/>
      <c r="M445" s="12"/>
      <c r="N445" s="18"/>
      <c r="O445" s="9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94"/>
      <c r="E446" s="12"/>
      <c r="F446" s="12"/>
      <c r="G446" s="12"/>
      <c r="H446" s="12"/>
      <c r="I446" s="12"/>
      <c r="J446" s="194"/>
      <c r="K446" s="194"/>
      <c r="L446" s="12"/>
      <c r="M446" s="12"/>
      <c r="N446" s="18"/>
      <c r="O446" s="9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94"/>
      <c r="E447" s="12"/>
      <c r="F447" s="12"/>
      <c r="G447" s="12"/>
      <c r="H447" s="12"/>
      <c r="I447" s="12"/>
      <c r="J447" s="194"/>
      <c r="K447" s="194"/>
      <c r="L447" s="12"/>
      <c r="M447" s="12"/>
      <c r="N447" s="18"/>
      <c r="O447" s="9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94"/>
      <c r="E448" s="12"/>
      <c r="F448" s="12"/>
      <c r="G448" s="12"/>
      <c r="H448" s="12"/>
      <c r="I448" s="12"/>
      <c r="J448" s="194"/>
      <c r="K448" s="194"/>
      <c r="L448" s="12"/>
      <c r="M448" s="12"/>
      <c r="N448" s="18"/>
      <c r="O448" s="9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94"/>
      <c r="E449" s="12"/>
      <c r="F449" s="12"/>
      <c r="G449" s="12"/>
      <c r="H449" s="12"/>
      <c r="I449" s="12"/>
      <c r="J449" s="194"/>
      <c r="K449" s="194"/>
      <c r="L449" s="12"/>
      <c r="M449" s="12"/>
      <c r="N449" s="18"/>
      <c r="O449" s="9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94"/>
      <c r="E450" s="12"/>
      <c r="F450" s="12"/>
      <c r="G450" s="12"/>
      <c r="H450" s="12"/>
      <c r="I450" s="12"/>
      <c r="J450" s="194"/>
      <c r="K450" s="194"/>
      <c r="L450" s="12"/>
      <c r="M450" s="12"/>
      <c r="N450" s="18"/>
      <c r="O450" s="9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94"/>
      <c r="E451" s="12"/>
      <c r="F451" s="12"/>
      <c r="G451" s="12"/>
      <c r="H451" s="12"/>
      <c r="I451" s="12"/>
      <c r="J451" s="194"/>
      <c r="K451" s="194"/>
      <c r="L451" s="12"/>
      <c r="M451" s="12"/>
      <c r="N451" s="18"/>
      <c r="O451" s="9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94"/>
      <c r="E452" s="12"/>
      <c r="F452" s="12"/>
      <c r="G452" s="12"/>
      <c r="H452" s="12"/>
      <c r="I452" s="12"/>
      <c r="J452" s="194"/>
      <c r="K452" s="194"/>
      <c r="L452" s="12"/>
      <c r="M452" s="12"/>
      <c r="N452" s="18"/>
      <c r="O452" s="9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94"/>
      <c r="E453" s="12"/>
      <c r="F453" s="12"/>
      <c r="G453" s="12"/>
      <c r="H453" s="12"/>
      <c r="I453" s="12"/>
      <c r="J453" s="194"/>
      <c r="K453" s="194"/>
      <c r="L453" s="12"/>
      <c r="M453" s="12"/>
      <c r="N453" s="18"/>
      <c r="O453" s="9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94"/>
      <c r="E454" s="12"/>
      <c r="F454" s="12"/>
      <c r="G454" s="12"/>
      <c r="H454" s="12"/>
      <c r="I454" s="12"/>
      <c r="J454" s="194"/>
      <c r="K454" s="194"/>
      <c r="L454" s="12"/>
      <c r="M454" s="12"/>
      <c r="N454" s="18"/>
      <c r="O454" s="9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94"/>
      <c r="E455" s="11"/>
      <c r="F455" s="12"/>
      <c r="G455" s="12"/>
      <c r="H455" s="12"/>
      <c r="I455" s="12"/>
      <c r="J455" s="194"/>
      <c r="K455" s="194"/>
      <c r="L455" s="12"/>
      <c r="M455" s="12"/>
      <c r="N455" s="18"/>
      <c r="O455" s="9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94"/>
      <c r="E456" s="12"/>
      <c r="F456" s="12"/>
      <c r="G456" s="12"/>
      <c r="H456" s="12"/>
      <c r="I456" s="12"/>
      <c r="J456" s="194"/>
      <c r="K456" s="194"/>
      <c r="L456" s="12"/>
      <c r="M456" s="12"/>
      <c r="N456" s="18"/>
      <c r="O456" s="9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94"/>
      <c r="E457" s="12"/>
      <c r="F457" s="12"/>
      <c r="G457" s="12"/>
      <c r="H457" s="12"/>
      <c r="I457" s="12"/>
      <c r="J457" s="194"/>
      <c r="K457" s="194"/>
      <c r="L457" s="12"/>
      <c r="M457" s="12"/>
      <c r="N457" s="18"/>
      <c r="O457" s="9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94"/>
      <c r="E458" s="12"/>
      <c r="F458" s="12"/>
      <c r="G458" s="12"/>
      <c r="H458" s="12"/>
      <c r="I458" s="12"/>
      <c r="J458" s="194"/>
      <c r="K458" s="194"/>
      <c r="L458" s="12"/>
      <c r="M458" s="12"/>
      <c r="N458" s="18"/>
      <c r="O458" s="9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94"/>
      <c r="E459" s="12"/>
      <c r="F459" s="12"/>
      <c r="G459" s="12"/>
      <c r="H459" s="12"/>
      <c r="I459" s="12"/>
      <c r="J459" s="194"/>
      <c r="K459" s="194"/>
      <c r="L459" s="12"/>
      <c r="M459" s="12"/>
      <c r="N459" s="18"/>
      <c r="O459" s="9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94"/>
      <c r="E460" s="12"/>
      <c r="F460" s="12"/>
      <c r="G460" s="12"/>
      <c r="H460" s="12"/>
      <c r="I460" s="12"/>
      <c r="J460" s="194"/>
      <c r="K460" s="194"/>
      <c r="L460" s="12"/>
      <c r="M460" s="12"/>
      <c r="N460" s="18"/>
      <c r="O460" s="9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94"/>
      <c r="E461" s="12"/>
      <c r="F461" s="12"/>
      <c r="G461" s="12"/>
      <c r="H461" s="12"/>
      <c r="I461" s="12"/>
      <c r="J461" s="194"/>
      <c r="K461" s="194"/>
      <c r="L461" s="12"/>
      <c r="M461" s="12"/>
      <c r="N461" s="18"/>
      <c r="O461" s="9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94"/>
      <c r="E462" s="12"/>
      <c r="F462" s="12"/>
      <c r="G462" s="12"/>
      <c r="H462" s="12"/>
      <c r="I462" s="12"/>
      <c r="J462" s="194"/>
      <c r="K462" s="194"/>
      <c r="L462" s="12"/>
      <c r="M462" s="12"/>
      <c r="N462" s="18"/>
      <c r="O462" s="9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94"/>
      <c r="E463" s="12"/>
      <c r="F463" s="12"/>
      <c r="G463" s="12"/>
      <c r="H463" s="12"/>
      <c r="I463" s="12"/>
      <c r="J463" s="194"/>
      <c r="K463" s="194"/>
      <c r="L463" s="12"/>
      <c r="M463" s="12"/>
      <c r="N463" s="18"/>
      <c r="O463" s="9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94"/>
      <c r="E464" s="12"/>
      <c r="F464" s="12"/>
      <c r="G464" s="12"/>
      <c r="H464" s="12"/>
      <c r="I464" s="12"/>
      <c r="J464" s="194"/>
      <c r="K464" s="194"/>
      <c r="L464" s="12"/>
      <c r="M464" s="12"/>
      <c r="N464" s="18"/>
      <c r="O464" s="9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94"/>
      <c r="E465" s="12"/>
      <c r="F465" s="12"/>
      <c r="G465" s="12"/>
      <c r="H465" s="12"/>
      <c r="I465" s="12"/>
      <c r="J465" s="194"/>
      <c r="K465" s="194"/>
      <c r="L465" s="12"/>
      <c r="M465" s="12"/>
      <c r="N465" s="18"/>
      <c r="O465" s="9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94"/>
      <c r="E466" s="11"/>
      <c r="F466" s="12"/>
      <c r="G466" s="12"/>
      <c r="H466" s="12"/>
      <c r="I466" s="12"/>
      <c r="J466" s="194"/>
      <c r="K466" s="194"/>
      <c r="L466" s="12"/>
      <c r="M466" s="12"/>
      <c r="N466" s="18"/>
      <c r="O466" s="9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94"/>
      <c r="E467" s="12"/>
      <c r="F467" s="12"/>
      <c r="G467" s="12"/>
      <c r="H467" s="12"/>
      <c r="I467" s="12"/>
      <c r="J467" s="194"/>
      <c r="K467" s="194"/>
      <c r="L467" s="12"/>
      <c r="M467" s="12"/>
      <c r="N467" s="18"/>
      <c r="O467" s="9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94"/>
      <c r="E468" s="12"/>
      <c r="F468" s="12"/>
      <c r="G468" s="12"/>
      <c r="H468" s="12"/>
      <c r="I468" s="12"/>
      <c r="J468" s="194"/>
      <c r="K468" s="194"/>
      <c r="L468" s="12"/>
      <c r="M468" s="12"/>
      <c r="N468" s="18"/>
      <c r="O468" s="9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94"/>
      <c r="E469" s="12"/>
      <c r="F469" s="12"/>
      <c r="G469" s="12"/>
      <c r="H469" s="12"/>
      <c r="I469" s="12"/>
      <c r="J469" s="194"/>
      <c r="K469" s="194"/>
      <c r="L469" s="12"/>
      <c r="M469" s="12"/>
      <c r="N469" s="18"/>
      <c r="O469" s="9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94"/>
      <c r="E470" s="12"/>
      <c r="F470" s="12"/>
      <c r="G470" s="12"/>
      <c r="H470" s="12"/>
      <c r="I470" s="12"/>
      <c r="J470" s="194"/>
      <c r="K470" s="194"/>
      <c r="L470" s="12"/>
      <c r="M470" s="12"/>
      <c r="N470" s="18"/>
      <c r="O470" s="9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94"/>
      <c r="E471" s="12"/>
      <c r="F471" s="12"/>
      <c r="G471" s="12"/>
      <c r="H471" s="12"/>
      <c r="I471" s="12"/>
      <c r="J471" s="194"/>
      <c r="K471" s="194"/>
      <c r="L471" s="12"/>
      <c r="M471" s="12"/>
      <c r="N471" s="18"/>
      <c r="O471" s="9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94"/>
      <c r="E472" s="12"/>
      <c r="F472" s="12"/>
      <c r="G472" s="12"/>
      <c r="H472" s="12"/>
      <c r="I472" s="12"/>
      <c r="J472" s="194"/>
      <c r="K472" s="194"/>
      <c r="L472" s="12"/>
      <c r="M472" s="12"/>
      <c r="N472" s="18"/>
      <c r="O472" s="9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94"/>
      <c r="E473" s="11"/>
      <c r="F473" s="12"/>
      <c r="G473" s="12"/>
      <c r="H473" s="12"/>
      <c r="I473" s="12"/>
      <c r="J473" s="194"/>
      <c r="K473" s="194"/>
      <c r="L473" s="12"/>
      <c r="M473" s="12"/>
      <c r="N473" s="18"/>
      <c r="O473" s="9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94"/>
      <c r="E474" s="12"/>
      <c r="F474" s="12"/>
      <c r="G474" s="12"/>
      <c r="H474" s="12"/>
      <c r="I474" s="12"/>
      <c r="J474" s="194"/>
      <c r="K474" s="194"/>
      <c r="L474" s="12"/>
      <c r="M474" s="12"/>
      <c r="N474" s="18"/>
      <c r="O474" s="9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94"/>
      <c r="E475" s="12"/>
      <c r="F475" s="12"/>
      <c r="G475" s="12"/>
      <c r="H475" s="12"/>
      <c r="I475" s="12"/>
      <c r="J475" s="194"/>
      <c r="K475" s="194"/>
      <c r="L475" s="12"/>
      <c r="M475" s="12"/>
      <c r="N475" s="18"/>
      <c r="O475" s="19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94"/>
      <c r="E476" s="11"/>
      <c r="F476" s="12"/>
      <c r="G476" s="12"/>
      <c r="H476" s="12"/>
      <c r="I476" s="12"/>
      <c r="J476" s="194"/>
      <c r="K476" s="194"/>
      <c r="L476" s="12"/>
      <c r="M476" s="12"/>
      <c r="N476" s="18"/>
      <c r="O476" s="19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94"/>
      <c r="E477" s="12"/>
      <c r="F477" s="12"/>
      <c r="G477" s="12"/>
      <c r="H477" s="12"/>
      <c r="I477" s="12"/>
      <c r="J477" s="194"/>
      <c r="K477" s="194"/>
      <c r="L477" s="12"/>
      <c r="M477" s="12"/>
      <c r="N477" s="18"/>
      <c r="O477" s="19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94"/>
      <c r="I478" s="12"/>
      <c r="J478" s="194"/>
      <c r="K478" s="194"/>
      <c r="L478" s="12"/>
      <c r="M478" s="12"/>
      <c r="N478" s="18"/>
      <c r="O478" s="19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94"/>
      <c r="I479" s="12"/>
      <c r="J479" s="194"/>
      <c r="K479" s="194"/>
      <c r="L479" s="12"/>
      <c r="M479" s="12"/>
      <c r="N479" s="18"/>
      <c r="O479" s="19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94"/>
      <c r="I480" s="12"/>
      <c r="J480" s="194"/>
      <c r="K480" s="194"/>
      <c r="L480" s="12"/>
      <c r="M480" s="12"/>
      <c r="N480" s="18"/>
      <c r="O480" s="19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94"/>
      <c r="I481" s="12"/>
      <c r="J481" s="194"/>
      <c r="K481" s="194"/>
      <c r="L481" s="12"/>
      <c r="M481" s="12"/>
      <c r="N481" s="18"/>
      <c r="O481" s="19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94"/>
      <c r="I482" s="12"/>
      <c r="J482" s="194"/>
      <c r="K482" s="194"/>
      <c r="L482" s="12"/>
      <c r="M482" s="12"/>
      <c r="N482" s="18"/>
      <c r="O482" s="19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94"/>
      <c r="E483" s="12"/>
      <c r="F483" s="12"/>
      <c r="G483" s="12"/>
      <c r="H483" s="12"/>
      <c r="I483" s="12"/>
      <c r="J483" s="194"/>
      <c r="K483" s="194"/>
      <c r="L483" s="12"/>
      <c r="M483" s="12"/>
      <c r="N483" s="18"/>
      <c r="O483" s="19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94"/>
      <c r="E484" s="12"/>
      <c r="F484" s="12"/>
      <c r="G484" s="12"/>
      <c r="H484" s="12"/>
      <c r="I484" s="12"/>
      <c r="J484" s="194"/>
      <c r="K484" s="194"/>
      <c r="L484" s="12"/>
      <c r="M484" s="12"/>
      <c r="N484" s="18"/>
      <c r="O484" s="19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94"/>
      <c r="E485" s="12"/>
      <c r="F485" s="12"/>
      <c r="G485" s="12"/>
      <c r="H485" s="12"/>
      <c r="I485" s="12"/>
      <c r="J485" s="194"/>
      <c r="K485" s="194"/>
      <c r="L485" s="12"/>
      <c r="M485" s="12"/>
      <c r="N485" s="18"/>
      <c r="O485" s="19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94"/>
      <c r="E486" s="12"/>
      <c r="F486" s="12"/>
      <c r="G486" s="12"/>
      <c r="H486" s="12"/>
      <c r="I486" s="12"/>
      <c r="J486" s="194"/>
      <c r="K486" s="194"/>
      <c r="L486" s="12"/>
      <c r="M486" s="12"/>
      <c r="N486" s="18"/>
      <c r="O486" s="19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94"/>
      <c r="E487" s="11"/>
      <c r="F487" s="12"/>
      <c r="G487" s="12"/>
      <c r="H487" s="12"/>
      <c r="I487" s="12"/>
      <c r="J487" s="194"/>
      <c r="K487" s="194"/>
      <c r="L487" s="12"/>
      <c r="M487" s="12"/>
      <c r="N487" s="18"/>
      <c r="O487" s="19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94"/>
      <c r="E488" s="12"/>
      <c r="F488" s="12"/>
      <c r="G488" s="12"/>
      <c r="H488" s="12"/>
      <c r="I488" s="12"/>
      <c r="J488" s="194"/>
      <c r="K488" s="194"/>
      <c r="L488" s="12"/>
      <c r="M488" s="12"/>
      <c r="N488" s="18"/>
      <c r="O488" s="19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94"/>
      <c r="C489" s="17"/>
      <c r="D489" s="17"/>
      <c r="E489" s="12"/>
      <c r="F489" s="12"/>
      <c r="G489" s="12"/>
      <c r="H489" s="12"/>
      <c r="I489" s="12"/>
      <c r="J489" s="194"/>
      <c r="K489" s="194"/>
      <c r="L489" s="12"/>
      <c r="M489" s="12"/>
      <c r="N489" s="18"/>
      <c r="O489" s="19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94"/>
      <c r="C490" s="17"/>
      <c r="D490" s="17"/>
      <c r="E490" s="12"/>
      <c r="F490" s="12"/>
      <c r="G490" s="12"/>
      <c r="H490" s="12"/>
      <c r="I490" s="12"/>
      <c r="J490" s="194"/>
      <c r="K490" s="194"/>
      <c r="L490" s="12"/>
      <c r="M490" s="12"/>
      <c r="N490" s="18"/>
      <c r="O490" s="19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94"/>
      <c r="C491" s="17"/>
      <c r="D491" s="17"/>
      <c r="E491" s="12"/>
      <c r="F491" s="12"/>
      <c r="G491" s="12"/>
      <c r="H491" s="12"/>
      <c r="I491" s="12"/>
      <c r="J491" s="194"/>
      <c r="K491" s="194"/>
      <c r="L491" s="12"/>
      <c r="M491" s="12"/>
      <c r="N491" s="18"/>
      <c r="O491" s="19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94"/>
      <c r="C492" s="17"/>
      <c r="D492" s="17"/>
      <c r="E492" s="12"/>
      <c r="F492" s="12"/>
      <c r="G492" s="12"/>
      <c r="H492" s="12"/>
      <c r="I492" s="12"/>
      <c r="J492" s="194"/>
      <c r="K492" s="194"/>
      <c r="L492" s="12"/>
      <c r="M492" s="12"/>
      <c r="N492" s="18"/>
      <c r="O492" s="19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94"/>
      <c r="C493" s="17"/>
      <c r="D493" s="17"/>
      <c r="E493" s="12"/>
      <c r="F493" s="12"/>
      <c r="G493" s="12"/>
      <c r="H493" s="12"/>
      <c r="I493" s="12"/>
      <c r="J493" s="194"/>
      <c r="K493" s="194"/>
      <c r="L493" s="12"/>
      <c r="M493" s="12"/>
      <c r="N493" s="18"/>
      <c r="O493" s="19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94"/>
      <c r="C494" s="17"/>
      <c r="D494" s="17"/>
      <c r="E494" s="12"/>
      <c r="F494" s="12"/>
      <c r="G494" s="12"/>
      <c r="H494" s="12"/>
      <c r="I494" s="12"/>
      <c r="J494" s="194"/>
      <c r="K494" s="194"/>
      <c r="L494" s="12"/>
      <c r="M494" s="12"/>
      <c r="N494" s="18"/>
      <c r="O494" s="19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94"/>
      <c r="C495" s="17"/>
      <c r="D495" s="17"/>
      <c r="E495" s="12"/>
      <c r="F495" s="12"/>
      <c r="G495" s="12"/>
      <c r="H495" s="12"/>
      <c r="I495" s="12"/>
      <c r="J495" s="194"/>
      <c r="K495" s="194"/>
      <c r="L495" s="12"/>
      <c r="M495" s="12"/>
      <c r="N495" s="18"/>
      <c r="O495" s="19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94"/>
      <c r="C496" s="17"/>
      <c r="D496" s="17"/>
      <c r="E496" s="12"/>
      <c r="F496" s="12"/>
      <c r="G496" s="12"/>
      <c r="H496" s="12"/>
      <c r="I496" s="12"/>
      <c r="J496" s="194"/>
      <c r="K496" s="194"/>
      <c r="L496" s="12"/>
      <c r="M496" s="12"/>
      <c r="N496" s="18"/>
      <c r="O496" s="19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94"/>
      <c r="C497" s="17"/>
      <c r="D497" s="17"/>
      <c r="E497" s="12"/>
      <c r="F497" s="12"/>
      <c r="G497" s="12"/>
      <c r="H497" s="12"/>
      <c r="I497" s="12"/>
      <c r="J497" s="194"/>
      <c r="K497" s="194"/>
      <c r="L497" s="12"/>
      <c r="M497" s="12"/>
      <c r="N497" s="18"/>
      <c r="O497" s="19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94"/>
      <c r="C498" s="17"/>
      <c r="D498" s="17"/>
      <c r="E498" s="12"/>
      <c r="F498" s="12"/>
      <c r="G498" s="12"/>
      <c r="H498" s="12"/>
      <c r="I498" s="12"/>
      <c r="J498" s="194"/>
      <c r="K498" s="194"/>
      <c r="L498" s="12"/>
      <c r="M498" s="12"/>
      <c r="N498" s="18"/>
      <c r="O498" s="19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94"/>
      <c r="C499" s="17"/>
      <c r="D499" s="17"/>
      <c r="E499" s="12"/>
      <c r="F499" s="12"/>
      <c r="G499" s="12"/>
      <c r="H499" s="12"/>
      <c r="I499" s="12"/>
      <c r="J499" s="194"/>
      <c r="K499" s="194"/>
      <c r="L499" s="12"/>
      <c r="M499" s="12"/>
      <c r="N499" s="18"/>
      <c r="O499" s="19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94"/>
      <c r="C500" s="17"/>
      <c r="D500" s="17"/>
      <c r="E500" s="12"/>
      <c r="F500" s="12"/>
      <c r="G500" s="12"/>
      <c r="H500" s="12"/>
      <c r="I500" s="12"/>
      <c r="J500" s="194"/>
      <c r="K500" s="194"/>
      <c r="L500" s="12"/>
      <c r="M500" s="12"/>
      <c r="N500" s="18"/>
      <c r="O500" s="19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94"/>
      <c r="C501" s="17"/>
      <c r="D501" s="17"/>
      <c r="E501" s="12"/>
      <c r="F501" s="12"/>
      <c r="G501" s="12"/>
      <c r="H501" s="12"/>
      <c r="I501" s="12"/>
      <c r="J501" s="194"/>
      <c r="K501" s="194"/>
      <c r="L501" s="12"/>
      <c r="M501" s="12"/>
      <c r="N501" s="18"/>
      <c r="O501" s="19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94"/>
      <c r="C502" s="17"/>
      <c r="D502" s="17"/>
      <c r="E502" s="12"/>
      <c r="F502" s="12"/>
      <c r="G502" s="12"/>
      <c r="H502" s="12"/>
      <c r="I502" s="12"/>
      <c r="J502" s="194"/>
      <c r="K502" s="194"/>
      <c r="L502" s="12"/>
      <c r="M502" s="12"/>
      <c r="N502" s="18"/>
      <c r="O502" s="19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94"/>
      <c r="C503" s="17"/>
      <c r="D503" s="17"/>
      <c r="E503" s="12"/>
      <c r="F503" s="12"/>
      <c r="G503" s="12"/>
      <c r="H503" s="12"/>
      <c r="I503" s="12"/>
      <c r="J503" s="194"/>
      <c r="K503" s="194"/>
      <c r="L503" s="12"/>
      <c r="M503" s="12"/>
      <c r="N503" s="18"/>
      <c r="O503" s="19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94"/>
      <c r="C504" s="17"/>
      <c r="D504" s="17"/>
      <c r="E504" s="12"/>
      <c r="F504" s="12"/>
      <c r="G504" s="12"/>
      <c r="H504" s="12"/>
      <c r="I504" s="12"/>
      <c r="J504" s="194"/>
      <c r="K504" s="194"/>
      <c r="L504" s="12"/>
      <c r="M504" s="12"/>
      <c r="N504" s="18"/>
      <c r="O504" s="19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94"/>
      <c r="C505" s="17"/>
      <c r="D505" s="17"/>
      <c r="E505" s="12"/>
      <c r="F505" s="12"/>
      <c r="G505" s="12"/>
      <c r="H505" s="12"/>
      <c r="I505" s="12"/>
      <c r="J505" s="194"/>
      <c r="K505" s="194"/>
      <c r="L505" s="12"/>
      <c r="M505" s="12"/>
      <c r="N505" s="18"/>
      <c r="O505" s="19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94"/>
      <c r="C506" s="17"/>
      <c r="D506" s="17"/>
      <c r="E506" s="12"/>
      <c r="F506" s="12"/>
      <c r="G506" s="12"/>
      <c r="H506" s="12"/>
      <c r="I506" s="12"/>
      <c r="J506" s="194"/>
      <c r="K506" s="194"/>
      <c r="L506" s="12"/>
      <c r="M506" s="12"/>
      <c r="N506" s="18"/>
      <c r="O506" s="19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94"/>
      <c r="C507" s="17"/>
      <c r="D507" s="17"/>
      <c r="E507" s="12"/>
      <c r="F507" s="12"/>
      <c r="G507" s="12"/>
      <c r="H507" s="12"/>
      <c r="I507" s="12"/>
      <c r="J507" s="194"/>
      <c r="K507" s="194"/>
      <c r="L507" s="12"/>
      <c r="M507" s="12"/>
      <c r="N507" s="18"/>
      <c r="O507" s="19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94"/>
      <c r="C508" s="17"/>
      <c r="D508" s="17"/>
      <c r="E508" s="12"/>
      <c r="F508" s="12"/>
      <c r="G508" s="12"/>
      <c r="H508" s="12"/>
      <c r="I508" s="12"/>
      <c r="J508" s="194"/>
      <c r="K508" s="194"/>
      <c r="L508" s="12"/>
      <c r="M508" s="12"/>
      <c r="N508" s="18"/>
      <c r="O508" s="19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94"/>
      <c r="C509" s="17"/>
      <c r="D509" s="17"/>
      <c r="E509" s="12"/>
      <c r="F509" s="12"/>
      <c r="G509" s="12"/>
      <c r="H509" s="12"/>
      <c r="I509" s="12"/>
      <c r="J509" s="194"/>
      <c r="K509" s="194"/>
      <c r="L509" s="12"/>
      <c r="M509" s="12"/>
      <c r="N509" s="18"/>
      <c r="O509" s="19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94"/>
      <c r="C510" s="17"/>
      <c r="D510" s="17"/>
      <c r="E510" s="12"/>
      <c r="F510" s="12"/>
      <c r="G510" s="12"/>
      <c r="H510" s="12"/>
      <c r="I510" s="12"/>
      <c r="J510" s="194"/>
      <c r="K510" s="194"/>
      <c r="L510" s="12"/>
      <c r="M510" s="12"/>
      <c r="N510" s="18"/>
      <c r="O510" s="19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94"/>
      <c r="C511" s="17"/>
      <c r="D511" s="17"/>
      <c r="E511" s="12"/>
      <c r="F511" s="12"/>
      <c r="G511" s="12"/>
      <c r="H511" s="12"/>
      <c r="I511" s="12"/>
      <c r="J511" s="194"/>
      <c r="K511" s="194"/>
      <c r="L511" s="12"/>
      <c r="M511" s="12"/>
      <c r="N511" s="18"/>
      <c r="O511" s="19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94"/>
      <c r="C512" s="17"/>
      <c r="D512" s="17"/>
      <c r="E512" s="12"/>
      <c r="F512" s="12"/>
      <c r="G512" s="12"/>
      <c r="H512" s="12"/>
      <c r="I512" s="12"/>
      <c r="J512" s="194"/>
      <c r="K512" s="194"/>
      <c r="L512" s="12"/>
      <c r="M512" s="12"/>
      <c r="N512" s="18"/>
      <c r="O512" s="19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94"/>
      <c r="C513" s="17"/>
      <c r="D513" s="17"/>
      <c r="E513" s="12"/>
      <c r="F513" s="12"/>
      <c r="G513" s="12"/>
      <c r="H513" s="12"/>
      <c r="I513" s="12"/>
      <c r="J513" s="194"/>
      <c r="K513" s="194"/>
      <c r="L513" s="12"/>
      <c r="M513" s="12"/>
      <c r="N513" s="18"/>
      <c r="O513" s="19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94"/>
      <c r="C514" s="17"/>
      <c r="D514" s="17"/>
      <c r="E514" s="12"/>
      <c r="F514" s="12"/>
      <c r="G514" s="12"/>
      <c r="H514" s="12"/>
      <c r="I514" s="12"/>
      <c r="J514" s="194"/>
      <c r="K514" s="194"/>
      <c r="L514" s="12"/>
      <c r="M514" s="12"/>
      <c r="N514" s="18"/>
      <c r="O514" s="19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94"/>
      <c r="C515" s="17"/>
      <c r="D515" s="17"/>
      <c r="E515" s="12"/>
      <c r="F515" s="12"/>
      <c r="G515" s="12"/>
      <c r="H515" s="12"/>
      <c r="I515" s="12"/>
      <c r="J515" s="194"/>
      <c r="K515" s="194"/>
      <c r="L515" s="12"/>
      <c r="M515" s="12"/>
      <c r="N515" s="18"/>
      <c r="O515" s="19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94"/>
      <c r="C516" s="17"/>
      <c r="D516" s="17"/>
      <c r="E516" s="12"/>
      <c r="F516" s="12"/>
      <c r="G516" s="12"/>
      <c r="H516" s="12"/>
      <c r="I516" s="12"/>
      <c r="J516" s="194"/>
      <c r="K516" s="194"/>
      <c r="L516" s="12"/>
      <c r="M516" s="12"/>
      <c r="N516" s="18"/>
      <c r="O516" s="19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94"/>
      <c r="C517" s="17"/>
      <c r="D517" s="17"/>
      <c r="E517" s="12"/>
      <c r="F517" s="12"/>
      <c r="G517" s="12"/>
      <c r="H517" s="12"/>
      <c r="I517" s="12"/>
      <c r="J517" s="194"/>
      <c r="K517" s="194"/>
      <c r="L517" s="12"/>
      <c r="M517" s="12"/>
      <c r="N517" s="18"/>
      <c r="O517" s="19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94"/>
      <c r="C518" s="17"/>
      <c r="D518" s="17"/>
      <c r="E518" s="12"/>
      <c r="F518" s="12"/>
      <c r="G518" s="12"/>
      <c r="H518" s="12"/>
      <c r="I518" s="12"/>
      <c r="J518" s="194"/>
      <c r="K518" s="194"/>
      <c r="L518" s="12"/>
      <c r="M518" s="12"/>
      <c r="N518" s="18"/>
      <c r="O518" s="19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94"/>
      <c r="C519" s="17"/>
      <c r="D519" s="17"/>
      <c r="E519" s="12"/>
      <c r="F519" s="12"/>
      <c r="G519" s="12"/>
      <c r="H519" s="12"/>
      <c r="I519" s="12"/>
      <c r="J519" s="194"/>
      <c r="K519" s="194"/>
      <c r="L519" s="12"/>
      <c r="M519" s="12"/>
      <c r="N519" s="18"/>
      <c r="O519" s="19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94"/>
      <c r="C520" s="17"/>
      <c r="D520" s="17"/>
      <c r="E520" s="12"/>
      <c r="F520" s="12"/>
      <c r="G520" s="12"/>
      <c r="H520" s="12"/>
      <c r="I520" s="12"/>
      <c r="J520" s="194"/>
      <c r="K520" s="194"/>
      <c r="L520" s="12"/>
      <c r="M520" s="12"/>
      <c r="N520" s="18"/>
      <c r="O520" s="19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94"/>
      <c r="C521" s="17"/>
      <c r="D521" s="17"/>
      <c r="E521" s="12"/>
      <c r="F521" s="12"/>
      <c r="G521" s="12"/>
      <c r="H521" s="12"/>
      <c r="I521" s="12"/>
      <c r="J521" s="194"/>
      <c r="K521" s="194"/>
      <c r="L521" s="12"/>
      <c r="M521" s="12"/>
      <c r="N521" s="18"/>
      <c r="O521" s="19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94"/>
      <c r="C522" s="17"/>
      <c r="D522" s="17"/>
      <c r="E522" s="12"/>
      <c r="F522" s="12"/>
      <c r="G522" s="12"/>
      <c r="H522" s="12"/>
      <c r="I522" s="12"/>
      <c r="J522" s="194"/>
      <c r="K522" s="194"/>
      <c r="L522" s="12"/>
      <c r="M522" s="12"/>
      <c r="N522" s="18"/>
      <c r="O522" s="19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94"/>
      <c r="C523" s="17"/>
      <c r="D523" s="17"/>
      <c r="E523" s="12"/>
      <c r="F523" s="12"/>
      <c r="G523" s="12"/>
      <c r="H523" s="12"/>
      <c r="I523" s="12"/>
      <c r="J523" s="194"/>
      <c r="K523" s="194"/>
      <c r="L523" s="12"/>
      <c r="M523" s="12"/>
      <c r="N523" s="18"/>
      <c r="O523" s="19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94"/>
      <c r="C524" s="17"/>
      <c r="D524" s="17"/>
      <c r="E524" s="12"/>
      <c r="F524" s="12"/>
      <c r="G524" s="12"/>
      <c r="H524" s="12"/>
      <c r="I524" s="12"/>
      <c r="J524" s="194"/>
      <c r="K524" s="194"/>
      <c r="L524" s="12"/>
      <c r="M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94"/>
      <c r="C525" s="17"/>
      <c r="D525" s="17"/>
      <c r="E525" s="12"/>
      <c r="F525" s="12"/>
      <c r="G525" s="12"/>
      <c r="H525" s="12"/>
      <c r="I525" s="12"/>
      <c r="J525" s="194"/>
      <c r="K525" s="194"/>
      <c r="L525" s="12"/>
      <c r="M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94"/>
      <c r="C526" s="17"/>
      <c r="D526" s="17"/>
      <c r="E526" s="12"/>
      <c r="F526" s="12"/>
      <c r="G526" s="12"/>
      <c r="H526" s="12"/>
      <c r="I526" s="12"/>
      <c r="J526" s="194"/>
      <c r="K526" s="194"/>
      <c r="L526" s="12"/>
      <c r="M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94"/>
      <c r="C527" s="17"/>
      <c r="D527" s="17"/>
      <c r="E527" s="12"/>
      <c r="F527" s="12"/>
      <c r="G527" s="12"/>
      <c r="H527" s="12"/>
      <c r="I527" s="12"/>
      <c r="J527" s="194"/>
      <c r="K527" s="194"/>
      <c r="L527" s="12"/>
      <c r="M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94"/>
      <c r="C528" s="17"/>
      <c r="D528" s="17"/>
      <c r="E528" s="12"/>
      <c r="F528" s="12"/>
      <c r="G528" s="12"/>
      <c r="H528" s="12"/>
      <c r="I528" s="12"/>
      <c r="J528" s="194"/>
      <c r="K528" s="194"/>
      <c r="L528" s="12"/>
      <c r="M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94"/>
      <c r="C529" s="17"/>
      <c r="D529" s="17"/>
      <c r="E529" s="12"/>
      <c r="F529" s="12"/>
      <c r="G529" s="12"/>
      <c r="H529" s="12"/>
      <c r="I529" s="12"/>
      <c r="J529" s="194"/>
      <c r="K529" s="194"/>
      <c r="L529" s="12"/>
      <c r="M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94"/>
      <c r="C530" s="17"/>
      <c r="D530" s="17"/>
      <c r="E530" s="12"/>
      <c r="F530" s="12"/>
      <c r="G530" s="12"/>
      <c r="H530" s="12"/>
      <c r="I530" s="12"/>
      <c r="J530" s="194"/>
      <c r="K530" s="194"/>
      <c r="L530" s="12"/>
      <c r="M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94"/>
      <c r="C531" s="17"/>
      <c r="D531" s="17"/>
      <c r="E531" s="12"/>
      <c r="F531" s="12"/>
      <c r="G531" s="12"/>
      <c r="H531" s="12"/>
      <c r="I531" s="12"/>
      <c r="J531" s="194"/>
      <c r="K531" s="194"/>
      <c r="L531" s="12"/>
      <c r="M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94"/>
      <c r="C532" s="17"/>
      <c r="D532" s="17"/>
      <c r="E532" s="12"/>
      <c r="F532" s="12"/>
      <c r="G532" s="12"/>
      <c r="H532" s="12"/>
      <c r="I532" s="12"/>
      <c r="J532" s="194"/>
      <c r="K532" s="194"/>
      <c r="L532" s="12"/>
      <c r="M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94"/>
      <c r="C533" s="17"/>
      <c r="D533" s="17"/>
      <c r="E533" s="12"/>
      <c r="F533" s="12"/>
      <c r="G533" s="12"/>
      <c r="H533" s="12"/>
      <c r="I533" s="12"/>
      <c r="J533" s="194"/>
      <c r="K533" s="194"/>
      <c r="L533" s="12"/>
      <c r="M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94"/>
      <c r="C534" s="17"/>
      <c r="D534" s="17"/>
      <c r="E534" s="12"/>
      <c r="F534" s="12"/>
      <c r="G534" s="12"/>
      <c r="H534" s="12"/>
      <c r="I534" s="12"/>
      <c r="J534" s="194"/>
      <c r="K534" s="194"/>
      <c r="L534" s="12"/>
      <c r="M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94"/>
      <c r="C535" s="17"/>
      <c r="D535" s="17"/>
      <c r="E535" s="12"/>
      <c r="F535" s="12"/>
      <c r="G535" s="12"/>
      <c r="H535" s="12"/>
      <c r="I535" s="12"/>
      <c r="J535" s="194"/>
      <c r="K535" s="194"/>
      <c r="L535" s="12"/>
      <c r="M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94"/>
      <c r="C536" s="17"/>
      <c r="D536" s="17"/>
      <c r="E536" s="12"/>
      <c r="F536" s="12"/>
      <c r="G536" s="12"/>
      <c r="H536" s="12"/>
      <c r="I536" s="12"/>
      <c r="J536" s="194"/>
      <c r="K536" s="194"/>
      <c r="L536" s="12"/>
      <c r="M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94"/>
      <c r="C537" s="17"/>
      <c r="D537" s="17"/>
      <c r="E537" s="12"/>
      <c r="F537" s="12"/>
      <c r="G537" s="12"/>
      <c r="H537" s="12"/>
      <c r="I537" s="12"/>
      <c r="J537" s="194"/>
      <c r="K537" s="194"/>
      <c r="L537" s="12"/>
      <c r="M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94"/>
      <c r="C538" s="17"/>
      <c r="D538" s="17"/>
      <c r="E538" s="12"/>
      <c r="F538" s="12"/>
      <c r="G538" s="12"/>
      <c r="H538" s="12"/>
      <c r="I538" s="12"/>
      <c r="J538" s="194"/>
      <c r="K538" s="194"/>
      <c r="L538" s="12"/>
      <c r="M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94"/>
      <c r="C539" s="17"/>
      <c r="D539" s="17"/>
      <c r="E539" s="12"/>
      <c r="F539" s="12"/>
      <c r="G539" s="12"/>
      <c r="H539" s="12"/>
      <c r="I539" s="12"/>
      <c r="J539" s="194"/>
      <c r="K539" s="194"/>
      <c r="L539" s="12"/>
      <c r="M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94"/>
      <c r="C540" s="17"/>
      <c r="D540" s="17"/>
      <c r="E540" s="12"/>
      <c r="F540" s="12"/>
      <c r="G540" s="12"/>
      <c r="H540" s="12"/>
      <c r="I540" s="12"/>
      <c r="J540" s="194"/>
      <c r="K540" s="194"/>
      <c r="L540" s="12"/>
      <c r="M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94"/>
      <c r="C541" s="17"/>
      <c r="D541" s="17"/>
      <c r="E541" s="12"/>
      <c r="F541" s="12"/>
      <c r="G541" s="12"/>
      <c r="H541" s="12"/>
      <c r="I541" s="12"/>
      <c r="J541" s="194"/>
      <c r="K541" s="194"/>
      <c r="L541" s="12"/>
      <c r="M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94"/>
      <c r="C542" s="17"/>
      <c r="D542" s="17"/>
      <c r="E542" s="12"/>
      <c r="F542" s="12"/>
      <c r="G542" s="12"/>
      <c r="H542" s="12"/>
      <c r="I542" s="12"/>
      <c r="J542" s="194"/>
      <c r="K542" s="194"/>
      <c r="L542" s="12"/>
      <c r="M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94"/>
      <c r="C543" s="17"/>
      <c r="D543" s="17"/>
      <c r="E543" s="12"/>
      <c r="F543" s="12"/>
      <c r="G543" s="12"/>
      <c r="H543" s="12"/>
      <c r="I543" s="12"/>
      <c r="J543" s="194"/>
      <c r="K543" s="194"/>
      <c r="L543" s="12"/>
      <c r="M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94"/>
      <c r="C544" s="17"/>
      <c r="D544" s="17"/>
      <c r="E544" s="12"/>
      <c r="F544" s="12"/>
      <c r="G544" s="12"/>
      <c r="H544" s="12"/>
      <c r="I544" s="12"/>
      <c r="J544" s="194"/>
      <c r="K544" s="194"/>
      <c r="L544" s="12"/>
      <c r="M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94"/>
      <c r="C545" s="17"/>
      <c r="D545" s="17"/>
      <c r="E545" s="12"/>
      <c r="F545" s="12"/>
      <c r="G545" s="12"/>
      <c r="H545" s="12"/>
      <c r="I545" s="12"/>
      <c r="J545" s="194"/>
      <c r="K545" s="194"/>
      <c r="L545" s="12"/>
      <c r="M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94"/>
      <c r="C546" s="17"/>
      <c r="D546" s="17"/>
      <c r="E546" s="12"/>
      <c r="F546" s="12"/>
      <c r="G546" s="12"/>
      <c r="H546" s="12"/>
      <c r="I546" s="12"/>
      <c r="J546" s="194"/>
      <c r="K546" s="194"/>
      <c r="L546" s="12"/>
      <c r="M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94"/>
      <c r="C547" s="17"/>
      <c r="D547" s="17"/>
      <c r="E547" s="12"/>
      <c r="F547" s="12"/>
      <c r="G547" s="12"/>
      <c r="H547" s="12"/>
      <c r="I547" s="12"/>
      <c r="J547" s="194"/>
      <c r="K547" s="194"/>
      <c r="L547" s="12"/>
      <c r="M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94"/>
      <c r="C548" s="17"/>
      <c r="D548" s="17"/>
      <c r="E548" s="12"/>
      <c r="F548" s="12"/>
      <c r="G548" s="12"/>
      <c r="H548" s="12"/>
      <c r="I548" s="12"/>
      <c r="J548" s="194"/>
      <c r="K548" s="194"/>
      <c r="L548" s="12"/>
      <c r="M548" s="12"/>
      <c r="N548" s="27"/>
      <c r="O548" s="13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94"/>
      <c r="C549" s="17"/>
      <c r="D549" s="17"/>
      <c r="E549" s="12"/>
      <c r="F549" s="12"/>
      <c r="G549" s="12"/>
      <c r="H549" s="12"/>
      <c r="I549" s="12"/>
      <c r="J549" s="194"/>
      <c r="K549" s="194"/>
      <c r="L549" s="12"/>
      <c r="M549" s="12"/>
      <c r="N549" s="27"/>
      <c r="O549" s="13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94"/>
      <c r="C550" s="17"/>
      <c r="D550" s="17"/>
      <c r="E550" s="12"/>
      <c r="F550" s="12"/>
      <c r="G550" s="12"/>
      <c r="H550" s="12"/>
      <c r="I550" s="12"/>
      <c r="J550" s="194"/>
      <c r="K550" s="194"/>
      <c r="L550" s="12"/>
      <c r="M550" s="12"/>
      <c r="N550" s="27"/>
      <c r="O550" s="13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94"/>
      <c r="C551" s="17"/>
      <c r="D551" s="17"/>
      <c r="E551" s="12"/>
      <c r="F551" s="12"/>
      <c r="G551" s="12"/>
      <c r="H551" s="12"/>
      <c r="I551" s="12"/>
      <c r="J551" s="194"/>
      <c r="K551" s="194"/>
      <c r="L551" s="12"/>
      <c r="M551" s="12"/>
      <c r="N551" s="27"/>
      <c r="O551" s="13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94"/>
      <c r="C552" s="17"/>
      <c r="D552" s="17"/>
      <c r="E552" s="12"/>
      <c r="F552" s="12"/>
      <c r="G552" s="12"/>
      <c r="H552" s="12"/>
      <c r="I552" s="12"/>
      <c r="J552" s="194"/>
      <c r="K552" s="194"/>
      <c r="L552" s="12"/>
      <c r="M552" s="12"/>
      <c r="N552" s="27"/>
      <c r="O552" s="13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94"/>
      <c r="C553" s="17"/>
      <c r="D553" s="17"/>
      <c r="E553" s="12"/>
      <c r="F553" s="12"/>
      <c r="G553" s="12"/>
      <c r="H553" s="12"/>
      <c r="I553" s="12"/>
      <c r="J553" s="194"/>
      <c r="K553" s="194"/>
      <c r="L553" s="12"/>
      <c r="M553" s="12"/>
      <c r="N553" s="27"/>
      <c r="O553" s="13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94"/>
      <c r="C554" s="17"/>
      <c r="D554" s="17"/>
      <c r="E554" s="12"/>
      <c r="F554" s="12"/>
      <c r="G554" s="12"/>
      <c r="H554" s="12"/>
      <c r="I554" s="12"/>
      <c r="J554" s="194"/>
      <c r="K554" s="194"/>
      <c r="L554" s="12"/>
      <c r="M554" s="12"/>
      <c r="N554" s="8"/>
      <c r="O554" s="9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94"/>
      <c r="C555" s="17"/>
      <c r="D555" s="17"/>
      <c r="E555" s="12"/>
      <c r="F555" s="12"/>
      <c r="G555" s="12"/>
      <c r="H555" s="12"/>
      <c r="I555" s="12"/>
      <c r="J555" s="194"/>
      <c r="K555" s="194"/>
      <c r="L555" s="12"/>
      <c r="M555" s="12"/>
      <c r="N555" s="8"/>
      <c r="O555" s="9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94"/>
      <c r="C556" s="17"/>
      <c r="D556" s="17"/>
      <c r="E556" s="12"/>
      <c r="F556" s="12"/>
      <c r="G556" s="12"/>
      <c r="H556" s="12"/>
      <c r="I556" s="12"/>
      <c r="J556" s="194"/>
      <c r="K556" s="194"/>
      <c r="L556" s="12"/>
      <c r="M556" s="12"/>
      <c r="N556" s="8"/>
      <c r="O556" s="9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94"/>
      <c r="C557" s="17"/>
      <c r="D557" s="17"/>
      <c r="E557" s="12"/>
      <c r="F557" s="12"/>
      <c r="G557" s="12"/>
      <c r="H557" s="12"/>
      <c r="I557" s="12"/>
      <c r="J557" s="194"/>
      <c r="K557" s="194"/>
      <c r="L557" s="12"/>
      <c r="M557" s="12"/>
      <c r="N557" s="8"/>
      <c r="O557" s="9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94"/>
      <c r="C558" s="17"/>
      <c r="D558" s="17"/>
      <c r="E558" s="12"/>
      <c r="F558" s="12"/>
      <c r="G558" s="12"/>
      <c r="H558" s="12"/>
      <c r="I558" s="12"/>
      <c r="J558" s="194"/>
      <c r="K558" s="194"/>
      <c r="L558" s="12"/>
      <c r="M558" s="12"/>
      <c r="N558" s="8"/>
      <c r="O558" s="9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94"/>
      <c r="C559" s="17"/>
      <c r="D559" s="17"/>
      <c r="E559" s="12"/>
      <c r="F559" s="12"/>
      <c r="G559" s="12"/>
      <c r="H559" s="12"/>
      <c r="I559" s="12"/>
      <c r="J559" s="194"/>
      <c r="K559" s="194"/>
      <c r="L559" s="12"/>
      <c r="M559" s="12"/>
      <c r="N559" s="8"/>
      <c r="O559" s="9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94"/>
      <c r="C560" s="17"/>
      <c r="D560" s="17"/>
      <c r="E560" s="12"/>
      <c r="F560" s="12"/>
      <c r="G560" s="12"/>
      <c r="H560" s="12"/>
      <c r="I560" s="12"/>
      <c r="J560" s="194"/>
      <c r="K560" s="194"/>
      <c r="L560" s="12"/>
      <c r="M560" s="12"/>
      <c r="N560" s="8"/>
      <c r="O560" s="9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94"/>
      <c r="C561" s="17"/>
      <c r="D561" s="17"/>
      <c r="E561" s="12"/>
      <c r="F561" s="12"/>
      <c r="G561" s="12"/>
      <c r="H561" s="12"/>
      <c r="I561" s="12"/>
      <c r="J561" s="194"/>
      <c r="K561" s="194"/>
      <c r="L561" s="12"/>
      <c r="M561" s="12"/>
      <c r="N561" s="8"/>
      <c r="O561" s="9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94"/>
      <c r="C562" s="17"/>
      <c r="D562" s="17"/>
      <c r="E562" s="12"/>
      <c r="F562" s="12"/>
      <c r="G562" s="12"/>
      <c r="H562" s="12"/>
      <c r="I562" s="12"/>
      <c r="J562" s="194"/>
      <c r="K562" s="194"/>
      <c r="L562" s="12"/>
      <c r="M562" s="12"/>
      <c r="N562" s="8"/>
      <c r="O562" s="9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94"/>
      <c r="C563" s="17"/>
      <c r="D563" s="17"/>
      <c r="E563" s="12"/>
      <c r="F563" s="12"/>
      <c r="G563" s="12"/>
      <c r="H563" s="12"/>
      <c r="I563" s="12"/>
      <c r="J563" s="194"/>
      <c r="K563" s="194"/>
      <c r="L563" s="12"/>
      <c r="M563" s="12"/>
      <c r="N563" s="8"/>
      <c r="O563" s="9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94"/>
      <c r="C564" s="17"/>
      <c r="D564" s="17"/>
      <c r="E564" s="12"/>
      <c r="F564" s="12"/>
      <c r="G564" s="12"/>
      <c r="H564" s="12"/>
      <c r="I564" s="12"/>
      <c r="J564" s="194"/>
      <c r="K564" s="194"/>
      <c r="L564" s="12"/>
      <c r="M564" s="12"/>
      <c r="N564" s="8"/>
      <c r="O564" s="9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94"/>
      <c r="C565" s="17"/>
      <c r="D565" s="17"/>
      <c r="E565" s="12"/>
      <c r="F565" s="12"/>
      <c r="G565" s="12"/>
      <c r="H565" s="12"/>
      <c r="I565" s="12"/>
      <c r="J565" s="194"/>
      <c r="K565" s="194"/>
      <c r="L565" s="12"/>
      <c r="M565" s="12"/>
      <c r="N565" s="8"/>
      <c r="O565" s="9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94"/>
      <c r="C566" s="17"/>
      <c r="D566" s="17"/>
      <c r="E566" s="12"/>
      <c r="F566" s="12"/>
      <c r="G566" s="12"/>
      <c r="H566" s="12"/>
      <c r="I566" s="12"/>
      <c r="J566" s="194"/>
      <c r="K566" s="194"/>
      <c r="L566" s="12"/>
      <c r="M566" s="12"/>
      <c r="N566" s="8"/>
      <c r="O566" s="9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94"/>
      <c r="C567" s="17"/>
      <c r="D567" s="17"/>
      <c r="E567" s="12"/>
      <c r="F567" s="12"/>
      <c r="G567" s="12"/>
      <c r="H567" s="12"/>
      <c r="I567" s="12"/>
      <c r="J567" s="194"/>
      <c r="K567" s="194"/>
      <c r="L567" s="12"/>
      <c r="M567" s="12"/>
      <c r="N567" s="8"/>
      <c r="O567" s="9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94"/>
      <c r="C568" s="17"/>
      <c r="D568" s="17"/>
      <c r="E568" s="12"/>
      <c r="F568" s="12"/>
      <c r="G568" s="12"/>
      <c r="H568" s="12"/>
      <c r="I568" s="12"/>
      <c r="J568" s="194"/>
      <c r="K568" s="194"/>
      <c r="L568" s="12"/>
      <c r="M568" s="12"/>
      <c r="N568" s="8"/>
      <c r="O568" s="9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94"/>
      <c r="C569" s="17"/>
      <c r="D569" s="17"/>
      <c r="E569" s="12"/>
      <c r="F569" s="12"/>
      <c r="G569" s="12"/>
      <c r="H569" s="12"/>
      <c r="I569" s="12"/>
      <c r="J569" s="194"/>
      <c r="K569" s="194"/>
      <c r="L569" s="12"/>
      <c r="M569" s="12"/>
      <c r="O569" s="11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94"/>
      <c r="C570" s="17"/>
      <c r="D570" s="17"/>
      <c r="E570" s="12"/>
      <c r="F570" s="12"/>
      <c r="G570" s="12"/>
      <c r="H570" s="12"/>
      <c r="I570" s="12"/>
      <c r="J570" s="194"/>
      <c r="K570" s="194"/>
      <c r="L570" s="12"/>
      <c r="M570" s="12"/>
      <c r="O570" s="11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94"/>
      <c r="C571" s="17"/>
      <c r="D571" s="17"/>
      <c r="E571" s="12"/>
      <c r="F571" s="12"/>
      <c r="G571" s="12"/>
      <c r="H571" s="12"/>
      <c r="I571" s="12"/>
      <c r="J571" s="194"/>
      <c r="K571" s="194"/>
      <c r="L571" s="12"/>
      <c r="M571" s="12"/>
      <c r="O571" s="11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94"/>
      <c r="C572" s="17"/>
      <c r="D572" s="17"/>
      <c r="E572" s="12"/>
      <c r="F572" s="12"/>
      <c r="G572" s="12"/>
      <c r="H572" s="12"/>
      <c r="I572" s="12"/>
      <c r="J572" s="194"/>
      <c r="K572" s="194"/>
      <c r="L572" s="12"/>
      <c r="M572" s="12"/>
      <c r="O572" s="11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94"/>
      <c r="C573" s="17"/>
      <c r="D573" s="17"/>
      <c r="E573" s="12"/>
      <c r="F573" s="12"/>
      <c r="G573" s="12"/>
      <c r="H573" s="12"/>
      <c r="I573" s="12"/>
      <c r="J573" s="194"/>
      <c r="K573" s="194"/>
      <c r="L573" s="12"/>
      <c r="M573" s="12"/>
      <c r="O573" s="11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94"/>
      <c r="C574" s="17"/>
      <c r="D574" s="17"/>
      <c r="E574" s="12"/>
      <c r="F574" s="12"/>
      <c r="G574" s="12"/>
      <c r="H574" s="12"/>
      <c r="I574" s="12"/>
      <c r="J574" s="194"/>
      <c r="K574" s="194"/>
      <c r="L574" s="12"/>
      <c r="M574" s="12"/>
      <c r="O574" s="11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94"/>
      <c r="C575" s="17"/>
      <c r="D575" s="17"/>
      <c r="E575" s="12"/>
      <c r="F575" s="12"/>
      <c r="G575" s="12"/>
      <c r="H575" s="12"/>
      <c r="I575" s="12"/>
      <c r="J575" s="194"/>
      <c r="K575" s="194"/>
      <c r="L575" s="12"/>
      <c r="M575" s="12"/>
      <c r="O575" s="11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94"/>
      <c r="C576" s="17"/>
      <c r="D576" s="17"/>
      <c r="E576" s="12"/>
      <c r="F576" s="12"/>
      <c r="G576" s="12"/>
      <c r="H576" s="12"/>
      <c r="I576" s="12"/>
      <c r="J576" s="194"/>
      <c r="K576" s="194"/>
      <c r="L576" s="12"/>
      <c r="M576" s="12"/>
      <c r="O576" s="11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94"/>
      <c r="C577" s="17"/>
      <c r="D577" s="17"/>
      <c r="E577" s="12"/>
      <c r="F577" s="12"/>
      <c r="G577" s="12"/>
      <c r="H577" s="12"/>
      <c r="I577" s="12"/>
      <c r="J577" s="194"/>
      <c r="K577" s="194"/>
      <c r="L577" s="12"/>
      <c r="M577" s="12"/>
      <c r="O577" s="11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94"/>
      <c r="C578" s="17"/>
      <c r="D578" s="17"/>
      <c r="E578" s="12"/>
      <c r="F578" s="12"/>
      <c r="G578" s="12"/>
      <c r="H578" s="12"/>
      <c r="I578" s="12"/>
      <c r="J578" s="194"/>
      <c r="K578" s="194"/>
      <c r="L578" s="12"/>
      <c r="M578" s="12"/>
      <c r="O578" s="11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94"/>
      <c r="C579" s="17"/>
      <c r="D579" s="17"/>
      <c r="E579" s="12"/>
      <c r="F579" s="12"/>
      <c r="G579" s="12"/>
      <c r="H579" s="12"/>
      <c r="I579" s="12"/>
      <c r="J579" s="194"/>
      <c r="K579" s="194"/>
      <c r="L579" s="12"/>
      <c r="M579" s="12"/>
      <c r="O579" s="11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94"/>
      <c r="C580" s="17"/>
      <c r="D580" s="17"/>
      <c r="E580" s="12"/>
      <c r="F580" s="12"/>
      <c r="G580" s="12"/>
      <c r="H580" s="12"/>
      <c r="I580" s="12"/>
      <c r="J580" s="194"/>
      <c r="K580" s="194"/>
      <c r="L580" s="12"/>
      <c r="M580" s="12"/>
      <c r="O580" s="11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94"/>
      <c r="C581" s="17"/>
      <c r="D581" s="17"/>
      <c r="E581" s="12"/>
      <c r="F581" s="12"/>
      <c r="G581" s="12"/>
      <c r="H581" s="12"/>
      <c r="I581" s="12"/>
      <c r="J581" s="194"/>
      <c r="K581" s="194"/>
      <c r="L581" s="12"/>
      <c r="M581" s="12"/>
      <c r="O581" s="11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94"/>
      <c r="C582" s="17"/>
      <c r="D582" s="17"/>
      <c r="E582" s="12"/>
      <c r="F582" s="12"/>
      <c r="G582" s="12"/>
      <c r="H582" s="12"/>
      <c r="I582" s="12"/>
      <c r="J582" s="194"/>
      <c r="K582" s="194"/>
      <c r="L582" s="12"/>
      <c r="M582" s="12"/>
      <c r="O582" s="11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94"/>
      <c r="C583" s="17"/>
      <c r="D583" s="17"/>
      <c r="E583" s="12"/>
      <c r="F583" s="12"/>
      <c r="G583" s="12"/>
      <c r="H583" s="12"/>
      <c r="I583" s="12"/>
      <c r="J583" s="194"/>
      <c r="K583" s="194"/>
      <c r="L583" s="12"/>
      <c r="M583" s="12"/>
      <c r="O583" s="11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94"/>
      <c r="C584" s="17"/>
      <c r="D584" s="17"/>
      <c r="E584" s="12"/>
      <c r="F584" s="12"/>
      <c r="G584" s="12"/>
      <c r="H584" s="12"/>
      <c r="I584" s="12"/>
      <c r="J584" s="194"/>
      <c r="K584" s="194"/>
      <c r="L584" s="12"/>
      <c r="M584" s="12"/>
      <c r="O584" s="11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94"/>
      <c r="C585" s="17"/>
      <c r="D585" s="17"/>
      <c r="E585" s="12"/>
      <c r="F585" s="12"/>
      <c r="G585" s="12"/>
      <c r="H585" s="12"/>
      <c r="I585" s="12"/>
      <c r="J585" s="194"/>
      <c r="K585" s="194"/>
      <c r="L585" s="12"/>
      <c r="M585" s="12"/>
      <c r="O585" s="11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94"/>
      <c r="C586" s="17"/>
      <c r="D586" s="17"/>
      <c r="E586" s="12"/>
      <c r="F586" s="12"/>
      <c r="G586" s="12"/>
      <c r="H586" s="12"/>
      <c r="I586" s="12"/>
      <c r="J586" s="194"/>
      <c r="K586" s="194"/>
      <c r="L586" s="12"/>
      <c r="M586" s="12"/>
      <c r="O586" s="11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94"/>
      <c r="C587" s="17"/>
      <c r="D587" s="17"/>
      <c r="E587" s="12"/>
      <c r="F587" s="12"/>
      <c r="G587" s="12"/>
      <c r="H587" s="12"/>
      <c r="I587" s="12"/>
      <c r="J587" s="194"/>
      <c r="K587" s="194"/>
      <c r="L587" s="12"/>
      <c r="M587" s="12"/>
      <c r="O587" s="11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94"/>
      <c r="C588" s="17"/>
      <c r="D588" s="17"/>
      <c r="E588" s="12"/>
      <c r="F588" s="12"/>
      <c r="G588" s="12"/>
      <c r="H588" s="12"/>
      <c r="I588" s="12"/>
      <c r="J588" s="194"/>
      <c r="K588" s="194"/>
      <c r="L588" s="12"/>
      <c r="M588" s="12"/>
      <c r="O588" s="11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94"/>
      <c r="C589" s="17"/>
      <c r="D589" s="17"/>
      <c r="E589" s="12"/>
      <c r="F589" s="12"/>
      <c r="G589" s="12"/>
      <c r="H589" s="12"/>
      <c r="I589" s="12"/>
      <c r="J589" s="194"/>
      <c r="K589" s="194"/>
      <c r="L589" s="12"/>
      <c r="M589" s="12"/>
      <c r="O589" s="11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94"/>
      <c r="C590" s="17"/>
      <c r="D590" s="17"/>
      <c r="E590" s="12"/>
      <c r="F590" s="12"/>
      <c r="G590" s="12"/>
      <c r="H590" s="12"/>
      <c r="I590" s="12"/>
      <c r="J590" s="194"/>
      <c r="K590" s="194"/>
      <c r="L590" s="12"/>
      <c r="M590" s="12"/>
      <c r="O590" s="11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94"/>
      <c r="C591" s="17"/>
      <c r="D591" s="17"/>
      <c r="E591" s="12"/>
      <c r="F591" s="12"/>
      <c r="G591" s="12"/>
      <c r="H591" s="12"/>
      <c r="I591" s="12"/>
      <c r="J591" s="194"/>
      <c r="K591" s="194"/>
      <c r="L591" s="12"/>
      <c r="M591" s="12"/>
      <c r="O591" s="11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94"/>
      <c r="C592" s="17"/>
      <c r="D592" s="17"/>
      <c r="E592" s="12"/>
      <c r="F592" s="12"/>
      <c r="G592" s="12"/>
      <c r="H592" s="12"/>
      <c r="I592" s="12"/>
      <c r="J592" s="194"/>
      <c r="K592" s="194"/>
      <c r="L592" s="12"/>
      <c r="M592" s="12"/>
      <c r="O592" s="11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94"/>
      <c r="C593" s="17"/>
      <c r="D593" s="17"/>
      <c r="E593" s="12"/>
      <c r="F593" s="12"/>
      <c r="G593" s="12"/>
      <c r="H593" s="12"/>
      <c r="I593" s="12"/>
      <c r="J593" s="194"/>
      <c r="K593" s="194"/>
      <c r="L593" s="12"/>
      <c r="M593" s="12"/>
      <c r="O593" s="11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94"/>
      <c r="C594" s="17"/>
      <c r="D594" s="17"/>
      <c r="E594" s="12"/>
      <c r="F594" s="12"/>
      <c r="G594" s="12"/>
      <c r="H594" s="12"/>
      <c r="I594" s="12"/>
      <c r="J594" s="194"/>
      <c r="K594" s="194"/>
      <c r="L594" s="12"/>
      <c r="M594" s="12"/>
      <c r="O594" s="11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94"/>
      <c r="C595" s="17"/>
      <c r="D595" s="17"/>
      <c r="E595" s="12"/>
      <c r="F595" s="12"/>
      <c r="G595" s="12"/>
      <c r="H595" s="12"/>
      <c r="I595" s="12"/>
      <c r="J595" s="194"/>
      <c r="K595" s="194"/>
      <c r="L595" s="12"/>
      <c r="M595" s="12"/>
      <c r="O595" s="11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94"/>
      <c r="C596" s="17"/>
      <c r="D596" s="17"/>
      <c r="E596" s="12"/>
      <c r="F596" s="12"/>
      <c r="G596" s="12"/>
      <c r="H596" s="12"/>
      <c r="I596" s="12"/>
      <c r="J596" s="194"/>
      <c r="K596" s="194"/>
      <c r="L596" s="12"/>
      <c r="M596" s="12"/>
      <c r="O596" s="11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94"/>
      <c r="C597" s="17"/>
      <c r="D597" s="17"/>
      <c r="E597" s="12"/>
      <c r="F597" s="12"/>
      <c r="G597" s="12"/>
      <c r="H597" s="12"/>
      <c r="I597" s="12"/>
      <c r="J597" s="194"/>
      <c r="K597" s="194"/>
      <c r="L597" s="12"/>
      <c r="M597" s="12"/>
      <c r="O597" s="11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94"/>
      <c r="C598" s="17"/>
      <c r="D598" s="17"/>
      <c r="E598" s="12"/>
      <c r="F598" s="12"/>
      <c r="G598" s="12"/>
      <c r="H598" s="12"/>
      <c r="I598" s="12"/>
      <c r="J598" s="194"/>
      <c r="K598" s="194"/>
      <c r="L598" s="12"/>
      <c r="M598" s="12"/>
      <c r="O598" s="11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94"/>
      <c r="C599" s="17"/>
      <c r="D599" s="17"/>
      <c r="E599" s="12"/>
      <c r="F599" s="12"/>
      <c r="G599" s="12"/>
      <c r="H599" s="12"/>
      <c r="I599" s="12"/>
      <c r="J599" s="194"/>
      <c r="K599" s="194"/>
      <c r="L599" s="12"/>
      <c r="M599" s="12"/>
      <c r="O599" s="11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94"/>
      <c r="C600" s="17"/>
      <c r="D600" s="17"/>
      <c r="E600" s="12"/>
      <c r="F600" s="12"/>
      <c r="G600" s="12"/>
      <c r="H600" s="12"/>
      <c r="I600" s="12"/>
      <c r="J600" s="194"/>
      <c r="K600" s="194"/>
      <c r="L600" s="12"/>
      <c r="M600" s="12"/>
      <c r="N600" s="8"/>
      <c r="O600" s="9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94"/>
      <c r="C601" s="17"/>
      <c r="D601" s="17"/>
      <c r="E601" s="12"/>
      <c r="F601" s="12"/>
      <c r="G601" s="12"/>
      <c r="H601" s="12"/>
      <c r="I601" s="12"/>
      <c r="J601" s="194"/>
      <c r="K601" s="194"/>
      <c r="L601" s="12"/>
      <c r="M601" s="12"/>
      <c r="N601" s="8"/>
      <c r="O601" s="9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94"/>
      <c r="C602" s="17"/>
      <c r="D602" s="17"/>
      <c r="E602" s="12"/>
      <c r="F602" s="12"/>
      <c r="G602" s="12"/>
      <c r="H602" s="12"/>
      <c r="I602" s="12"/>
      <c r="J602" s="194"/>
      <c r="K602" s="194"/>
      <c r="L602" s="12"/>
      <c r="M602" s="12"/>
      <c r="N602" s="8"/>
      <c r="O602" s="9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94"/>
      <c r="C603" s="17"/>
      <c r="D603" s="17"/>
      <c r="E603" s="12"/>
      <c r="F603" s="12"/>
      <c r="G603" s="12"/>
      <c r="H603" s="12"/>
      <c r="I603" s="12"/>
      <c r="J603" s="194"/>
      <c r="K603" s="194"/>
      <c r="L603" s="12"/>
      <c r="M603" s="12"/>
      <c r="N603" s="8"/>
      <c r="O603" s="9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94"/>
      <c r="C604" s="17"/>
      <c r="D604" s="17"/>
      <c r="E604" s="12"/>
      <c r="F604" s="12"/>
      <c r="G604" s="12"/>
      <c r="H604" s="12"/>
      <c r="I604" s="12"/>
      <c r="J604" s="194"/>
      <c r="K604" s="194"/>
      <c r="L604" s="12"/>
      <c r="M604" s="12"/>
      <c r="N604" s="8"/>
      <c r="O604" s="9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94"/>
      <c r="C605" s="17"/>
      <c r="D605" s="17"/>
      <c r="E605" s="12"/>
      <c r="F605" s="12"/>
      <c r="G605" s="12"/>
      <c r="H605" s="12"/>
      <c r="I605" s="12"/>
      <c r="J605" s="194"/>
      <c r="K605" s="194"/>
      <c r="L605" s="12"/>
      <c r="M605" s="12"/>
      <c r="N605" s="8"/>
      <c r="O605" s="9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94"/>
      <c r="C606" s="17"/>
      <c r="D606" s="17"/>
      <c r="E606" s="12"/>
      <c r="F606" s="12"/>
      <c r="G606" s="12"/>
      <c r="H606" s="12"/>
      <c r="I606" s="12"/>
      <c r="J606" s="194"/>
      <c r="K606" s="194"/>
      <c r="L606" s="12"/>
      <c r="M606" s="12"/>
      <c r="N606" s="8"/>
      <c r="O606" s="9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94"/>
      <c r="C607" s="17"/>
      <c r="D607" s="17"/>
      <c r="E607" s="12"/>
      <c r="F607" s="12"/>
      <c r="G607" s="12"/>
      <c r="H607" s="12"/>
      <c r="I607" s="12"/>
      <c r="J607" s="194"/>
      <c r="K607" s="194"/>
      <c r="L607" s="12"/>
      <c r="M607" s="12"/>
      <c r="N607" s="8"/>
      <c r="O607" s="9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94"/>
      <c r="C608" s="17"/>
      <c r="D608" s="17"/>
      <c r="E608" s="12"/>
      <c r="F608" s="12"/>
      <c r="G608" s="12"/>
      <c r="H608" s="12"/>
      <c r="I608" s="12"/>
      <c r="J608" s="194"/>
      <c r="K608" s="194"/>
      <c r="L608" s="12"/>
      <c r="M608" s="12"/>
      <c r="N608" s="8"/>
      <c r="O608" s="9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94"/>
      <c r="C609" s="17"/>
      <c r="D609" s="17"/>
      <c r="E609" s="12"/>
      <c r="F609" s="12"/>
      <c r="G609" s="12"/>
      <c r="H609" s="12"/>
      <c r="I609" s="12"/>
      <c r="J609" s="194"/>
      <c r="K609" s="194"/>
      <c r="L609" s="12"/>
      <c r="M609" s="12"/>
      <c r="N609" s="8"/>
      <c r="O609" s="9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94"/>
      <c r="C610" s="17"/>
      <c r="D610" s="17"/>
      <c r="E610" s="12"/>
      <c r="F610" s="12"/>
      <c r="G610" s="12"/>
      <c r="H610" s="12"/>
      <c r="I610" s="12"/>
      <c r="J610" s="194"/>
      <c r="K610" s="194"/>
      <c r="L610" s="12"/>
      <c r="M610" s="12"/>
      <c r="N610" s="8"/>
      <c r="O610" s="9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94"/>
      <c r="C611" s="17"/>
      <c r="D611" s="17"/>
      <c r="E611" s="12"/>
      <c r="F611" s="12"/>
      <c r="G611" s="12"/>
      <c r="H611" s="12"/>
      <c r="I611" s="12"/>
      <c r="J611" s="194"/>
      <c r="K611" s="194"/>
      <c r="L611" s="12"/>
      <c r="M611" s="12"/>
      <c r="N611" s="8"/>
      <c r="O611" s="9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94"/>
      <c r="C612" s="17"/>
      <c r="D612" s="17"/>
      <c r="E612" s="12"/>
      <c r="F612" s="12"/>
      <c r="G612" s="12"/>
      <c r="H612" s="12"/>
      <c r="I612" s="12"/>
      <c r="J612" s="194"/>
      <c r="K612" s="194"/>
      <c r="L612" s="12"/>
      <c r="M612" s="12"/>
      <c r="N612" s="8"/>
      <c r="O612" s="9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94"/>
      <c r="C613" s="17"/>
      <c r="D613" s="17"/>
      <c r="E613" s="12"/>
      <c r="F613" s="12"/>
      <c r="G613" s="12"/>
      <c r="H613" s="12"/>
      <c r="I613" s="12"/>
      <c r="J613" s="194"/>
      <c r="K613" s="194"/>
      <c r="L613" s="12"/>
      <c r="M613" s="12"/>
      <c r="N613" s="8"/>
      <c r="O613" s="9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94"/>
      <c r="C614" s="17"/>
      <c r="D614" s="17"/>
      <c r="E614" s="12"/>
      <c r="F614" s="12"/>
      <c r="G614" s="12"/>
      <c r="H614" s="12"/>
      <c r="I614" s="12"/>
      <c r="J614" s="194"/>
      <c r="K614" s="194"/>
      <c r="L614" s="12"/>
      <c r="M614" s="12"/>
      <c r="N614" s="8"/>
      <c r="O614" s="9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94"/>
      <c r="C615" s="17"/>
      <c r="D615" s="17"/>
      <c r="E615" s="12"/>
      <c r="F615" s="12"/>
      <c r="G615" s="12"/>
      <c r="H615" s="12"/>
      <c r="I615" s="12"/>
      <c r="J615" s="194"/>
      <c r="K615" s="194"/>
      <c r="L615" s="12"/>
      <c r="M615" s="12"/>
      <c r="N615" s="8"/>
      <c r="O615" s="9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94"/>
      <c r="C616" s="17"/>
      <c r="D616" s="17"/>
      <c r="E616" s="12"/>
      <c r="F616" s="12"/>
      <c r="G616" s="12"/>
      <c r="H616" s="12"/>
      <c r="I616" s="12"/>
      <c r="J616" s="194"/>
      <c r="K616" s="194"/>
      <c r="L616" s="12"/>
      <c r="M616" s="12"/>
      <c r="N616" s="8"/>
      <c r="O616" s="9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94"/>
      <c r="C617" s="17"/>
      <c r="D617" s="17"/>
      <c r="E617" s="12"/>
      <c r="F617" s="12"/>
      <c r="G617" s="12"/>
      <c r="H617" s="12"/>
      <c r="I617" s="12"/>
      <c r="J617" s="194"/>
      <c r="K617" s="194"/>
      <c r="L617" s="12"/>
      <c r="M617" s="12"/>
      <c r="N617" s="8"/>
      <c r="O617" s="9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94"/>
      <c r="C618" s="17"/>
      <c r="D618" s="17"/>
      <c r="E618" s="12"/>
      <c r="F618" s="12"/>
      <c r="G618" s="12"/>
      <c r="H618" s="12"/>
      <c r="I618" s="12"/>
      <c r="J618" s="194"/>
      <c r="K618" s="194"/>
      <c r="L618" s="12"/>
      <c r="M618" s="12"/>
      <c r="N618" s="8"/>
      <c r="O618" s="9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94"/>
      <c r="C619" s="17"/>
      <c r="D619" s="17"/>
      <c r="E619" s="12"/>
      <c r="F619" s="12"/>
      <c r="G619" s="12"/>
      <c r="H619" s="12"/>
      <c r="I619" s="12"/>
      <c r="J619" s="194"/>
      <c r="K619" s="194"/>
      <c r="L619" s="12"/>
      <c r="M619" s="12"/>
      <c r="N619" s="8"/>
      <c r="O619" s="9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94"/>
      <c r="C620" s="17"/>
      <c r="D620" s="17"/>
      <c r="E620" s="12"/>
      <c r="F620" s="12"/>
      <c r="G620" s="12"/>
      <c r="H620" s="12"/>
      <c r="I620" s="12"/>
      <c r="J620" s="194"/>
      <c r="K620" s="194"/>
      <c r="L620" s="12"/>
      <c r="M620" s="12"/>
      <c r="N620" s="8"/>
      <c r="O620" s="9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94"/>
      <c r="C621" s="17"/>
      <c r="D621" s="17"/>
      <c r="E621" s="12"/>
      <c r="F621" s="12"/>
      <c r="G621" s="12"/>
      <c r="H621" s="12"/>
      <c r="I621" s="12"/>
      <c r="J621" s="194"/>
      <c r="K621" s="194"/>
      <c r="L621" s="12"/>
      <c r="M621" s="12"/>
      <c r="N621" s="8"/>
      <c r="O621" s="9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94"/>
      <c r="C622" s="17"/>
      <c r="D622" s="17"/>
      <c r="E622" s="12"/>
      <c r="F622" s="12"/>
      <c r="G622" s="12"/>
      <c r="H622" s="12"/>
      <c r="I622" s="12"/>
      <c r="J622" s="194"/>
      <c r="K622" s="194"/>
      <c r="L622" s="12"/>
      <c r="M622" s="12"/>
      <c r="N622" s="8"/>
      <c r="O622" s="9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94"/>
      <c r="C623" s="17"/>
      <c r="D623" s="17"/>
      <c r="E623" s="12"/>
      <c r="F623" s="12"/>
      <c r="G623" s="12"/>
      <c r="H623" s="12"/>
      <c r="I623" s="12"/>
      <c r="J623" s="194"/>
      <c r="K623" s="194"/>
      <c r="L623" s="12"/>
      <c r="M623" s="12"/>
      <c r="N623" s="8"/>
      <c r="O623" s="9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94"/>
      <c r="C624" s="17"/>
      <c r="D624" s="17"/>
      <c r="E624" s="12"/>
      <c r="F624" s="12"/>
      <c r="G624" s="12"/>
      <c r="H624" s="12"/>
      <c r="I624" s="12"/>
      <c r="J624" s="194"/>
      <c r="K624" s="194"/>
      <c r="L624" s="12"/>
      <c r="M624" s="12"/>
      <c r="N624" s="8"/>
      <c r="O624" s="9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94"/>
      <c r="C625" s="17"/>
      <c r="D625" s="17"/>
      <c r="E625" s="12"/>
      <c r="F625" s="12"/>
      <c r="G625" s="12"/>
      <c r="H625" s="12"/>
      <c r="I625" s="12"/>
      <c r="J625" s="194"/>
      <c r="K625" s="194"/>
      <c r="L625" s="12"/>
      <c r="M625" s="12"/>
      <c r="N625" s="8"/>
      <c r="O625" s="9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94"/>
      <c r="C626" s="17"/>
      <c r="D626" s="17"/>
      <c r="E626" s="12"/>
      <c r="F626" s="12"/>
      <c r="G626" s="12"/>
      <c r="H626" s="12"/>
      <c r="I626" s="12"/>
      <c r="J626" s="194"/>
      <c r="K626" s="194"/>
      <c r="L626" s="12"/>
      <c r="M626" s="12"/>
      <c r="N626" s="8"/>
      <c r="O626" s="9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94"/>
      <c r="C627" s="17"/>
      <c r="D627" s="17"/>
      <c r="E627" s="12"/>
      <c r="F627" s="12"/>
      <c r="G627" s="12"/>
      <c r="H627" s="12"/>
      <c r="I627" s="12"/>
      <c r="J627" s="194"/>
      <c r="K627" s="194"/>
      <c r="L627" s="12"/>
      <c r="M627" s="12"/>
      <c r="N627" s="8"/>
      <c r="O627" s="9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94"/>
      <c r="C628" s="17"/>
      <c r="D628" s="17"/>
      <c r="E628" s="12"/>
      <c r="F628" s="12"/>
      <c r="G628" s="12"/>
      <c r="H628" s="12"/>
      <c r="I628" s="12"/>
      <c r="J628" s="194"/>
      <c r="K628" s="194"/>
      <c r="L628" s="12"/>
      <c r="M628" s="12"/>
      <c r="N628" s="8"/>
      <c r="O628" s="9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94"/>
      <c r="C629" s="17"/>
      <c r="D629" s="17"/>
      <c r="E629" s="12"/>
      <c r="F629" s="12"/>
      <c r="G629" s="12"/>
      <c r="H629" s="12"/>
      <c r="I629" s="12"/>
      <c r="J629" s="194"/>
      <c r="K629" s="194"/>
      <c r="L629" s="12"/>
      <c r="M629" s="12"/>
      <c r="N629" s="8"/>
      <c r="O629" s="9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94"/>
      <c r="C630" s="17"/>
      <c r="D630" s="17"/>
      <c r="E630" s="12"/>
      <c r="F630" s="12"/>
      <c r="G630" s="12"/>
      <c r="H630" s="12"/>
      <c r="I630" s="12"/>
      <c r="J630" s="194"/>
      <c r="K630" s="194"/>
      <c r="L630" s="12"/>
      <c r="M630" s="12"/>
      <c r="N630" s="8"/>
      <c r="O630" s="9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94"/>
      <c r="C631" s="17"/>
      <c r="D631" s="17"/>
      <c r="E631" s="12"/>
      <c r="F631" s="12"/>
      <c r="G631" s="12"/>
      <c r="H631" s="12"/>
      <c r="I631" s="12"/>
      <c r="J631" s="194"/>
      <c r="K631" s="194"/>
      <c r="L631" s="12"/>
      <c r="M631" s="12"/>
      <c r="N631" s="8"/>
      <c r="O631" s="9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94"/>
      <c r="C632" s="17"/>
      <c r="D632" s="17"/>
      <c r="E632" s="12"/>
      <c r="F632" s="12"/>
      <c r="G632" s="12"/>
      <c r="H632" s="12"/>
      <c r="I632" s="12"/>
      <c r="J632" s="194"/>
      <c r="K632" s="194"/>
      <c r="L632" s="12"/>
      <c r="M632" s="12"/>
      <c r="N632" s="8"/>
      <c r="O632" s="9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94"/>
      <c r="C633" s="17"/>
      <c r="D633" s="17"/>
      <c r="E633" s="12"/>
      <c r="F633" s="12"/>
      <c r="G633" s="12"/>
      <c r="H633" s="12"/>
      <c r="I633" s="12"/>
      <c r="J633" s="194"/>
      <c r="K633" s="194"/>
      <c r="L633" s="12"/>
      <c r="M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94"/>
      <c r="C634" s="17"/>
      <c r="D634" s="17"/>
      <c r="E634" s="12"/>
      <c r="F634" s="12"/>
      <c r="G634" s="12"/>
      <c r="H634" s="12"/>
      <c r="I634" s="12"/>
      <c r="J634" s="194"/>
      <c r="K634" s="194"/>
      <c r="L634" s="12"/>
      <c r="M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94"/>
      <c r="C635" s="17"/>
      <c r="D635" s="17"/>
      <c r="E635" s="12"/>
      <c r="F635" s="12"/>
      <c r="G635" s="12"/>
      <c r="H635" s="12"/>
      <c r="I635" s="12"/>
      <c r="J635" s="194"/>
      <c r="K635" s="194"/>
      <c r="L635" s="12"/>
      <c r="M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94"/>
      <c r="C636" s="17"/>
      <c r="D636" s="17"/>
      <c r="E636" s="12"/>
      <c r="F636" s="12"/>
      <c r="G636" s="12"/>
      <c r="H636" s="12"/>
      <c r="I636" s="12"/>
      <c r="J636" s="194"/>
      <c r="K636" s="194"/>
      <c r="L636" s="12"/>
      <c r="M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94"/>
      <c r="C637" s="17"/>
      <c r="D637" s="17"/>
      <c r="E637" s="12"/>
      <c r="F637" s="12"/>
      <c r="G637" s="12"/>
      <c r="H637" s="12"/>
      <c r="I637" s="12"/>
      <c r="J637" s="194"/>
      <c r="K637" s="194"/>
      <c r="L637" s="12"/>
      <c r="M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94"/>
      <c r="C638" s="17"/>
      <c r="D638" s="17"/>
      <c r="E638" s="12"/>
      <c r="F638" s="12"/>
      <c r="G638" s="12"/>
      <c r="H638" s="12"/>
      <c r="I638" s="12"/>
      <c r="J638" s="194"/>
      <c r="K638" s="194"/>
      <c r="L638" s="12"/>
      <c r="M638" s="12"/>
      <c r="N638" s="11"/>
      <c r="O638" s="11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94"/>
      <c r="C639" s="17"/>
      <c r="D639" s="17"/>
      <c r="E639" s="12"/>
      <c r="F639" s="12"/>
      <c r="G639" s="12"/>
      <c r="H639" s="12"/>
      <c r="I639" s="12"/>
      <c r="J639" s="194"/>
      <c r="K639" s="194"/>
      <c r="L639" s="12"/>
      <c r="M639" s="12"/>
      <c r="N639" s="11"/>
      <c r="O639" s="11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94"/>
      <c r="C640" s="17"/>
      <c r="D640" s="17"/>
      <c r="E640" s="12"/>
      <c r="F640" s="12"/>
      <c r="G640" s="12"/>
      <c r="H640" s="12"/>
      <c r="I640" s="12"/>
      <c r="J640" s="194"/>
      <c r="K640" s="194"/>
      <c r="L640" s="12"/>
      <c r="M640" s="12"/>
      <c r="N640" s="11"/>
      <c r="O640" s="11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94"/>
      <c r="C641" s="17"/>
      <c r="D641" s="17"/>
      <c r="E641" s="12"/>
      <c r="F641" s="12"/>
      <c r="G641" s="12"/>
      <c r="H641" s="12"/>
      <c r="I641" s="12"/>
      <c r="J641" s="194"/>
      <c r="K641" s="194"/>
      <c r="L641" s="12"/>
      <c r="M641" s="12"/>
      <c r="N641" s="11"/>
      <c r="O641" s="11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94"/>
      <c r="C642" s="17"/>
      <c r="D642" s="17"/>
      <c r="E642" s="12"/>
      <c r="F642" s="12"/>
      <c r="G642" s="12"/>
      <c r="H642" s="12"/>
      <c r="I642" s="12"/>
      <c r="J642" s="194"/>
      <c r="K642" s="194"/>
      <c r="L642" s="12"/>
      <c r="M642" s="12"/>
      <c r="N642" s="11"/>
      <c r="O642" s="11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94"/>
      <c r="C643" s="17"/>
      <c r="D643" s="17"/>
      <c r="E643" s="12"/>
      <c r="F643" s="12"/>
      <c r="G643" s="12"/>
      <c r="H643" s="12"/>
      <c r="I643" s="12"/>
      <c r="J643" s="194"/>
      <c r="K643" s="194"/>
      <c r="L643" s="12"/>
      <c r="M643" s="12"/>
      <c r="N643" s="11"/>
      <c r="O643" s="11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94"/>
      <c r="C644" s="17"/>
      <c r="D644" s="17"/>
      <c r="E644" s="12"/>
      <c r="F644" s="12"/>
      <c r="G644" s="12"/>
      <c r="H644" s="12"/>
      <c r="I644" s="12"/>
      <c r="J644" s="194"/>
      <c r="K644" s="194"/>
      <c r="L644" s="12"/>
      <c r="M644" s="12"/>
      <c r="N644" s="11"/>
      <c r="O644" s="11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94"/>
      <c r="C645" s="17"/>
      <c r="D645" s="17"/>
      <c r="E645" s="12"/>
      <c r="F645" s="12"/>
      <c r="G645" s="12"/>
      <c r="H645" s="12"/>
      <c r="I645" s="12"/>
      <c r="J645" s="194"/>
      <c r="K645" s="194"/>
      <c r="L645" s="12"/>
      <c r="M645" s="12"/>
      <c r="N645" s="11"/>
      <c r="O645" s="11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94"/>
      <c r="C646" s="17"/>
      <c r="D646" s="17"/>
      <c r="E646" s="12"/>
      <c r="F646" s="12"/>
      <c r="G646" s="12"/>
      <c r="H646" s="12"/>
      <c r="I646" s="12"/>
      <c r="J646" s="194"/>
      <c r="K646" s="194"/>
      <c r="L646" s="12"/>
      <c r="M646" s="12"/>
      <c r="N646" s="11"/>
      <c r="O646" s="11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94"/>
      <c r="C647" s="17"/>
      <c r="D647" s="17"/>
      <c r="E647" s="12"/>
      <c r="F647" s="12"/>
      <c r="G647" s="12"/>
      <c r="H647" s="12"/>
      <c r="I647" s="12"/>
      <c r="J647" s="194"/>
      <c r="K647" s="194"/>
      <c r="L647" s="12"/>
      <c r="M647" s="12"/>
      <c r="N647" s="11"/>
      <c r="O647" s="11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94"/>
      <c r="C648" s="17"/>
      <c r="D648" s="17"/>
      <c r="E648" s="12"/>
      <c r="F648" s="12"/>
      <c r="G648" s="12"/>
      <c r="H648" s="12"/>
      <c r="I648" s="12"/>
      <c r="J648" s="194"/>
      <c r="K648" s="194"/>
      <c r="L648" s="12"/>
      <c r="M648" s="12"/>
      <c r="N648" s="49"/>
      <c r="O648" s="49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94"/>
      <c r="C649" s="17"/>
      <c r="D649" s="17"/>
      <c r="E649" s="12"/>
      <c r="F649" s="12"/>
      <c r="G649" s="12"/>
      <c r="H649" s="12"/>
      <c r="I649" s="12"/>
      <c r="J649" s="194"/>
      <c r="K649" s="194"/>
      <c r="L649" s="12"/>
      <c r="M649" s="12"/>
      <c r="N649" s="49"/>
      <c r="O649" s="49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94"/>
      <c r="C650" s="17"/>
      <c r="D650" s="17"/>
      <c r="E650" s="12"/>
      <c r="F650" s="12"/>
      <c r="G650" s="12"/>
      <c r="H650" s="12"/>
      <c r="I650" s="12"/>
      <c r="J650" s="194"/>
      <c r="K650" s="194"/>
      <c r="L650" s="12"/>
      <c r="M650" s="12"/>
      <c r="N650" s="11"/>
      <c r="O650" s="11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94"/>
      <c r="C651" s="17"/>
      <c r="D651" s="17"/>
      <c r="E651" s="12"/>
      <c r="F651" s="12"/>
      <c r="G651" s="12"/>
      <c r="H651" s="12"/>
      <c r="I651" s="12"/>
      <c r="J651" s="194"/>
      <c r="K651" s="194"/>
      <c r="L651" s="12"/>
      <c r="M651" s="12"/>
      <c r="N651" s="11"/>
      <c r="O651" s="11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94"/>
      <c r="C652" s="17"/>
      <c r="D652" s="17"/>
      <c r="E652" s="12"/>
      <c r="F652" s="12"/>
      <c r="G652" s="12"/>
      <c r="H652" s="12"/>
      <c r="I652" s="12"/>
      <c r="J652" s="194"/>
      <c r="K652" s="194"/>
      <c r="L652" s="12"/>
      <c r="M652" s="12"/>
      <c r="N652" s="11"/>
      <c r="O652" s="11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94"/>
      <c r="C653" s="17"/>
      <c r="D653" s="17"/>
      <c r="E653" s="12"/>
      <c r="F653" s="12"/>
      <c r="G653" s="12"/>
      <c r="H653" s="12"/>
      <c r="I653" s="12"/>
      <c r="J653" s="194"/>
      <c r="K653" s="194"/>
      <c r="L653" s="12"/>
      <c r="M653" s="12"/>
      <c r="N653" s="11"/>
      <c r="O653" s="11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94"/>
      <c r="C654" s="17"/>
      <c r="D654" s="17"/>
      <c r="E654" s="12"/>
      <c r="F654" s="12"/>
      <c r="G654" s="12"/>
      <c r="H654" s="12"/>
      <c r="I654" s="12"/>
      <c r="J654" s="194"/>
      <c r="K654" s="194"/>
      <c r="L654" s="12"/>
      <c r="M654" s="12"/>
      <c r="N654" s="11"/>
      <c r="O654" s="11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94"/>
      <c r="C655" s="17"/>
      <c r="D655" s="17"/>
      <c r="E655" s="12"/>
      <c r="F655" s="12"/>
      <c r="G655" s="12"/>
      <c r="H655" s="12"/>
      <c r="I655" s="12"/>
      <c r="J655" s="194"/>
      <c r="K655" s="194"/>
      <c r="L655" s="12"/>
      <c r="M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94"/>
      <c r="C656" s="17"/>
      <c r="D656" s="17"/>
      <c r="E656" s="12"/>
      <c r="F656" s="12"/>
      <c r="G656" s="12"/>
      <c r="H656" s="12"/>
      <c r="I656" s="12"/>
      <c r="J656" s="194"/>
      <c r="K656" s="194"/>
      <c r="L656" s="12"/>
      <c r="M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94"/>
      <c r="C657" s="17"/>
      <c r="D657" s="17"/>
      <c r="E657" s="12"/>
      <c r="F657" s="12"/>
      <c r="G657" s="12"/>
      <c r="H657" s="12"/>
      <c r="I657" s="12"/>
      <c r="J657" s="194"/>
      <c r="K657" s="194"/>
      <c r="L657" s="12"/>
      <c r="M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94"/>
      <c r="C658" s="17"/>
      <c r="D658" s="17"/>
      <c r="E658" s="12"/>
      <c r="F658" s="12"/>
      <c r="G658" s="12"/>
      <c r="H658" s="12"/>
      <c r="I658" s="12"/>
      <c r="J658" s="194"/>
      <c r="K658" s="194"/>
      <c r="L658" s="12"/>
      <c r="M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94"/>
      <c r="C659" s="17"/>
      <c r="D659" s="17"/>
      <c r="E659" s="12"/>
      <c r="F659" s="12"/>
      <c r="G659" s="12"/>
      <c r="H659" s="12"/>
      <c r="I659" s="12"/>
      <c r="J659" s="194"/>
      <c r="K659" s="194"/>
      <c r="L659" s="12"/>
      <c r="M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94"/>
      <c r="C660" s="17"/>
      <c r="D660" s="17"/>
      <c r="E660" s="12"/>
      <c r="F660" s="12"/>
      <c r="G660" s="12"/>
      <c r="H660" s="12"/>
      <c r="I660" s="12"/>
      <c r="J660" s="194"/>
      <c r="K660" s="194"/>
      <c r="L660" s="12"/>
      <c r="M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94"/>
      <c r="C661" s="17"/>
      <c r="D661" s="17"/>
      <c r="E661" s="12"/>
      <c r="F661" s="12"/>
      <c r="G661" s="12"/>
      <c r="H661" s="12"/>
      <c r="I661" s="12"/>
      <c r="J661" s="194"/>
      <c r="K661" s="194"/>
      <c r="L661" s="12"/>
      <c r="M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94"/>
      <c r="C662" s="17"/>
      <c r="D662" s="17"/>
      <c r="E662" s="12"/>
      <c r="F662" s="12"/>
      <c r="G662" s="12"/>
      <c r="H662" s="12"/>
      <c r="I662" s="12"/>
      <c r="J662" s="194"/>
      <c r="K662" s="194"/>
      <c r="L662" s="12"/>
      <c r="M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94"/>
      <c r="C663" s="17"/>
      <c r="D663" s="17"/>
      <c r="E663" s="12"/>
      <c r="F663" s="12"/>
      <c r="G663" s="12"/>
      <c r="H663" s="12"/>
      <c r="I663" s="12"/>
      <c r="J663" s="194"/>
      <c r="K663" s="194"/>
      <c r="L663" s="12"/>
      <c r="M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94"/>
      <c r="C664" s="17"/>
      <c r="D664" s="17"/>
      <c r="E664" s="12"/>
      <c r="F664" s="12"/>
      <c r="G664" s="12"/>
      <c r="H664" s="12"/>
      <c r="I664" s="12"/>
      <c r="J664" s="194"/>
      <c r="K664" s="194"/>
      <c r="L664" s="12"/>
      <c r="M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94"/>
      <c r="C665" s="17"/>
      <c r="D665" s="17"/>
      <c r="E665" s="12"/>
      <c r="F665" s="12"/>
      <c r="G665" s="12"/>
      <c r="H665" s="12"/>
      <c r="I665" s="12"/>
      <c r="J665" s="194"/>
      <c r="K665" s="194"/>
      <c r="L665" s="12"/>
      <c r="M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94"/>
      <c r="C666" s="17"/>
      <c r="D666" s="17"/>
      <c r="E666" s="12"/>
      <c r="F666" s="12"/>
      <c r="G666" s="12"/>
      <c r="H666" s="12"/>
      <c r="I666" s="12"/>
      <c r="J666" s="194"/>
      <c r="K666" s="194"/>
      <c r="L666" s="12"/>
      <c r="M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94"/>
      <c r="C667" s="17"/>
      <c r="D667" s="17"/>
      <c r="E667" s="12"/>
      <c r="F667" s="12"/>
      <c r="G667" s="12"/>
      <c r="H667" s="12"/>
      <c r="I667" s="12"/>
      <c r="J667" s="194"/>
      <c r="K667" s="194"/>
      <c r="L667" s="12"/>
      <c r="M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94"/>
      <c r="C668" s="17"/>
      <c r="D668" s="17"/>
      <c r="E668" s="12"/>
      <c r="F668" s="12"/>
      <c r="G668" s="12"/>
      <c r="H668" s="12"/>
      <c r="I668" s="12"/>
      <c r="J668" s="194"/>
      <c r="K668" s="194"/>
      <c r="L668" s="12"/>
      <c r="M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94"/>
      <c r="C669" s="17"/>
      <c r="D669" s="17"/>
      <c r="E669" s="12"/>
      <c r="F669" s="12"/>
      <c r="G669" s="12"/>
      <c r="H669" s="12"/>
      <c r="I669" s="12"/>
      <c r="J669" s="194"/>
      <c r="K669" s="194"/>
      <c r="L669" s="12"/>
      <c r="M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94"/>
      <c r="C670" s="17"/>
      <c r="D670" s="17"/>
      <c r="E670" s="12"/>
      <c r="F670" s="12"/>
      <c r="G670" s="12"/>
      <c r="H670" s="12"/>
      <c r="I670" s="12"/>
      <c r="J670" s="194"/>
      <c r="K670" s="194"/>
      <c r="L670" s="12"/>
      <c r="M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94"/>
      <c r="C671" s="17"/>
      <c r="D671" s="17"/>
      <c r="E671" s="12"/>
      <c r="F671" s="12"/>
      <c r="G671" s="12"/>
      <c r="H671" s="12"/>
      <c r="I671" s="12"/>
      <c r="J671" s="194"/>
      <c r="K671" s="194"/>
      <c r="L671" s="12"/>
      <c r="M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94"/>
      <c r="C672" s="17"/>
      <c r="D672" s="17"/>
      <c r="E672" s="12"/>
      <c r="F672" s="12"/>
      <c r="G672" s="12"/>
      <c r="H672" s="12"/>
      <c r="I672" s="12"/>
      <c r="J672" s="194"/>
      <c r="K672" s="194"/>
      <c r="L672" s="12"/>
      <c r="M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94"/>
      <c r="C673" s="17"/>
      <c r="D673" s="17"/>
      <c r="E673" s="12"/>
      <c r="F673" s="12"/>
      <c r="G673" s="12"/>
      <c r="H673" s="12"/>
      <c r="I673" s="12"/>
      <c r="J673" s="194"/>
      <c r="K673" s="194"/>
      <c r="L673" s="12"/>
      <c r="M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94"/>
      <c r="C674" s="17"/>
      <c r="D674" s="17"/>
      <c r="E674" s="12"/>
      <c r="F674" s="12"/>
      <c r="G674" s="12"/>
      <c r="H674" s="12"/>
      <c r="I674" s="12"/>
      <c r="J674" s="194"/>
      <c r="K674" s="194"/>
      <c r="L674" s="12"/>
      <c r="M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94"/>
      <c r="C675" s="17"/>
      <c r="D675" s="17"/>
      <c r="E675" s="12"/>
      <c r="F675" s="12"/>
      <c r="G675" s="12"/>
      <c r="H675" s="12"/>
      <c r="I675" s="12"/>
      <c r="J675" s="194"/>
      <c r="K675" s="194"/>
      <c r="L675" s="12"/>
      <c r="M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94"/>
      <c r="C676" s="17"/>
      <c r="D676" s="17"/>
      <c r="E676" s="12"/>
      <c r="F676" s="12"/>
      <c r="G676" s="12"/>
      <c r="H676" s="12"/>
      <c r="I676" s="12"/>
      <c r="J676" s="194"/>
      <c r="K676" s="194"/>
      <c r="L676" s="12"/>
      <c r="M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94"/>
      <c r="C677" s="17"/>
      <c r="D677" s="17"/>
      <c r="E677" s="12"/>
      <c r="F677" s="12"/>
      <c r="G677" s="12"/>
      <c r="H677" s="12"/>
      <c r="I677" s="12"/>
      <c r="J677" s="194"/>
      <c r="K677" s="194"/>
      <c r="L677" s="12"/>
      <c r="M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94"/>
      <c r="C678" s="17"/>
      <c r="D678" s="17"/>
      <c r="E678" s="12"/>
      <c r="F678" s="12"/>
      <c r="G678" s="12"/>
      <c r="H678" s="12"/>
      <c r="I678" s="12"/>
      <c r="J678" s="194"/>
      <c r="K678" s="194"/>
      <c r="L678" s="12"/>
      <c r="M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94"/>
      <c r="C679" s="17"/>
      <c r="D679" s="17"/>
      <c r="E679" s="12"/>
      <c r="F679" s="12"/>
      <c r="G679" s="12"/>
      <c r="H679" s="12"/>
      <c r="I679" s="12"/>
      <c r="J679" s="194"/>
      <c r="K679" s="194"/>
      <c r="L679" s="12"/>
      <c r="M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94"/>
      <c r="C680" s="17"/>
      <c r="D680" s="17"/>
      <c r="E680" s="12"/>
      <c r="F680" s="12"/>
      <c r="G680" s="12"/>
      <c r="H680" s="12"/>
      <c r="I680" s="12"/>
      <c r="J680" s="194"/>
      <c r="K680" s="194"/>
      <c r="L680" s="12"/>
      <c r="M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94"/>
      <c r="C681" s="17"/>
      <c r="D681" s="17"/>
      <c r="E681" s="12"/>
      <c r="F681" s="12"/>
      <c r="G681" s="12"/>
      <c r="H681" s="12"/>
      <c r="I681" s="12"/>
      <c r="J681" s="194"/>
      <c r="K681" s="194"/>
      <c r="L681" s="12"/>
      <c r="M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94"/>
      <c r="C682" s="17"/>
      <c r="D682" s="17"/>
      <c r="E682" s="12"/>
      <c r="F682" s="12"/>
      <c r="G682" s="12"/>
      <c r="H682" s="12"/>
      <c r="I682" s="12"/>
      <c r="J682" s="194"/>
      <c r="K682" s="194"/>
      <c r="L682" s="12"/>
      <c r="M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94"/>
      <c r="C683" s="17"/>
      <c r="D683" s="17"/>
      <c r="E683" s="12"/>
      <c r="F683" s="12"/>
      <c r="G683" s="12"/>
      <c r="H683" s="12"/>
      <c r="I683" s="12"/>
      <c r="J683" s="194"/>
      <c r="K683" s="194"/>
      <c r="L683" s="12"/>
      <c r="M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94"/>
      <c r="C684" s="17"/>
      <c r="D684" s="17"/>
      <c r="E684" s="12"/>
      <c r="F684" s="12"/>
      <c r="G684" s="12"/>
      <c r="H684" s="12"/>
      <c r="I684" s="12"/>
      <c r="J684" s="194"/>
      <c r="K684" s="194"/>
      <c r="L684" s="12"/>
      <c r="M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94"/>
      <c r="C685" s="17"/>
      <c r="D685" s="17"/>
      <c r="E685" s="12"/>
      <c r="F685" s="12"/>
      <c r="G685" s="12"/>
      <c r="H685" s="12"/>
      <c r="I685" s="12"/>
      <c r="J685" s="194"/>
      <c r="K685" s="194"/>
      <c r="L685" s="12"/>
      <c r="M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94"/>
      <c r="C686" s="17"/>
      <c r="D686" s="17"/>
      <c r="E686" s="12"/>
      <c r="F686" s="12"/>
      <c r="G686" s="12"/>
      <c r="H686" s="12"/>
      <c r="I686" s="12"/>
      <c r="J686" s="194"/>
      <c r="K686" s="194"/>
      <c r="L686" s="12"/>
      <c r="M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94"/>
      <c r="C687" s="17"/>
      <c r="D687" s="17"/>
      <c r="E687" s="12"/>
      <c r="F687" s="12"/>
      <c r="G687" s="12"/>
      <c r="H687" s="12"/>
      <c r="I687" s="12"/>
      <c r="J687" s="194"/>
      <c r="K687" s="194"/>
      <c r="L687" s="12"/>
      <c r="M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94"/>
      <c r="C688" s="17"/>
      <c r="D688" s="17"/>
      <c r="E688" s="12"/>
      <c r="F688" s="12"/>
      <c r="G688" s="12"/>
      <c r="H688" s="12"/>
      <c r="I688" s="12"/>
      <c r="J688" s="194"/>
      <c r="K688" s="194"/>
      <c r="L688" s="12"/>
      <c r="M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94"/>
      <c r="C689" s="17"/>
      <c r="D689" s="17"/>
      <c r="E689" s="12"/>
      <c r="F689" s="12"/>
      <c r="G689" s="12"/>
      <c r="H689" s="12"/>
      <c r="I689" s="12"/>
      <c r="J689" s="194"/>
      <c r="K689" s="194"/>
      <c r="L689" s="12"/>
      <c r="M689" s="12"/>
      <c r="N689" s="11"/>
      <c r="O689" s="11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94"/>
      <c r="C690" s="17"/>
      <c r="D690" s="17"/>
      <c r="E690" s="12"/>
      <c r="F690" s="12"/>
      <c r="G690" s="12"/>
      <c r="H690" s="12"/>
      <c r="I690" s="12"/>
      <c r="J690" s="194"/>
      <c r="K690" s="194"/>
      <c r="L690" s="12"/>
      <c r="M690" s="12"/>
      <c r="N690" s="11"/>
      <c r="O690" s="11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94"/>
      <c r="C691" s="17"/>
      <c r="D691" s="17"/>
      <c r="E691" s="12"/>
      <c r="F691" s="12"/>
      <c r="G691" s="12"/>
      <c r="H691" s="12"/>
      <c r="I691" s="12"/>
      <c r="J691" s="194"/>
      <c r="K691" s="194"/>
      <c r="L691" s="12"/>
      <c r="M691" s="12"/>
      <c r="N691" s="11"/>
      <c r="O691" s="11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94"/>
      <c r="C692" s="17"/>
      <c r="D692" s="17"/>
      <c r="E692" s="12"/>
      <c r="F692" s="12"/>
      <c r="G692" s="12"/>
      <c r="H692" s="12"/>
      <c r="I692" s="12"/>
      <c r="J692" s="194"/>
      <c r="K692" s="194"/>
      <c r="L692" s="12"/>
      <c r="M692" s="12"/>
      <c r="N692" s="11"/>
      <c r="O692" s="11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94"/>
      <c r="C693" s="17"/>
      <c r="D693" s="17"/>
      <c r="E693" s="12"/>
      <c r="F693" s="12"/>
      <c r="G693" s="12"/>
      <c r="H693" s="12"/>
      <c r="I693" s="12"/>
      <c r="J693" s="194"/>
      <c r="K693" s="194"/>
      <c r="L693" s="12"/>
      <c r="M693" s="12"/>
      <c r="N693" s="11"/>
      <c r="O693" s="11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94"/>
      <c r="C694" s="17"/>
      <c r="D694" s="17"/>
      <c r="E694" s="12"/>
      <c r="F694" s="12"/>
      <c r="G694" s="12"/>
      <c r="H694" s="12"/>
      <c r="I694" s="12"/>
      <c r="J694" s="194"/>
      <c r="K694" s="194"/>
      <c r="L694" s="12"/>
      <c r="M694" s="12"/>
      <c r="N694" s="11"/>
      <c r="O694" s="11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94"/>
      <c r="C695" s="17"/>
      <c r="D695" s="17"/>
      <c r="E695" s="12"/>
      <c r="F695" s="12"/>
      <c r="G695" s="12"/>
      <c r="H695" s="12"/>
      <c r="I695" s="12"/>
      <c r="J695" s="194"/>
      <c r="K695" s="194"/>
      <c r="L695" s="12"/>
      <c r="M695" s="12"/>
      <c r="N695" s="11"/>
      <c r="O695" s="11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94"/>
      <c r="C696" s="17"/>
      <c r="D696" s="17"/>
      <c r="E696" s="12"/>
      <c r="F696" s="12"/>
      <c r="G696" s="12"/>
      <c r="H696" s="12"/>
      <c r="I696" s="12"/>
      <c r="J696" s="194"/>
      <c r="K696" s="194"/>
      <c r="L696" s="12"/>
      <c r="M696" s="12"/>
      <c r="N696" s="11"/>
      <c r="O696" s="11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94"/>
      <c r="C697" s="17"/>
      <c r="D697" s="17"/>
      <c r="E697" s="12"/>
      <c r="F697" s="12"/>
      <c r="G697" s="12"/>
      <c r="H697" s="12"/>
      <c r="I697" s="12"/>
      <c r="J697" s="194"/>
      <c r="K697" s="194"/>
      <c r="L697" s="12"/>
      <c r="M697" s="12"/>
      <c r="N697" s="11"/>
      <c r="O697" s="11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94"/>
      <c r="C698" s="17"/>
      <c r="D698" s="17"/>
      <c r="E698" s="12"/>
      <c r="F698" s="12"/>
      <c r="G698" s="12"/>
      <c r="H698" s="12"/>
      <c r="I698" s="12"/>
      <c r="J698" s="194"/>
      <c r="K698" s="194"/>
      <c r="L698" s="12"/>
      <c r="M698" s="12"/>
      <c r="N698" s="11"/>
      <c r="O698" s="11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94"/>
      <c r="C699" s="17"/>
      <c r="D699" s="17"/>
      <c r="E699" s="12"/>
      <c r="F699" s="12"/>
      <c r="G699" s="12"/>
      <c r="H699" s="12"/>
      <c r="I699" s="12"/>
      <c r="J699" s="194"/>
      <c r="K699" s="194"/>
      <c r="L699" s="12"/>
      <c r="M699" s="12"/>
      <c r="N699" s="11"/>
      <c r="O699" s="11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94"/>
      <c r="C700" s="17"/>
      <c r="D700" s="17"/>
      <c r="E700" s="12"/>
      <c r="F700" s="12"/>
      <c r="G700" s="12"/>
      <c r="H700" s="12"/>
      <c r="I700" s="12"/>
      <c r="J700" s="194"/>
      <c r="K700" s="194"/>
      <c r="L700" s="12"/>
      <c r="M700" s="12"/>
      <c r="N700" s="11"/>
      <c r="O700" s="11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94"/>
      <c r="C701" s="17"/>
      <c r="D701" s="17"/>
      <c r="E701" s="12"/>
      <c r="F701" s="12"/>
      <c r="G701" s="12"/>
      <c r="H701" s="12"/>
      <c r="I701" s="12"/>
      <c r="J701" s="194"/>
      <c r="K701" s="194"/>
      <c r="L701" s="12"/>
      <c r="M701" s="12"/>
      <c r="N701" s="11"/>
      <c r="O701" s="11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94"/>
      <c r="C702" s="17"/>
      <c r="D702" s="17"/>
      <c r="E702" s="12"/>
      <c r="F702" s="12"/>
      <c r="G702" s="12"/>
      <c r="H702" s="12"/>
      <c r="I702" s="12"/>
      <c r="J702" s="194"/>
      <c r="K702" s="194"/>
      <c r="L702" s="12"/>
      <c r="M702" s="12"/>
      <c r="N702" s="11"/>
      <c r="O702" s="11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94"/>
      <c r="C703" s="17"/>
      <c r="D703" s="17"/>
      <c r="E703" s="12"/>
      <c r="F703" s="12"/>
      <c r="G703" s="12"/>
      <c r="H703" s="12"/>
      <c r="I703" s="12"/>
      <c r="J703" s="194"/>
      <c r="K703" s="194"/>
      <c r="L703" s="12"/>
      <c r="M703" s="12"/>
      <c r="N703" s="11"/>
      <c r="O703" s="11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94"/>
      <c r="C704" s="17"/>
      <c r="D704" s="17"/>
      <c r="E704" s="12"/>
      <c r="F704" s="12"/>
      <c r="G704" s="12"/>
      <c r="H704" s="12"/>
      <c r="I704" s="12"/>
      <c r="J704" s="194"/>
      <c r="K704" s="194"/>
      <c r="L704" s="12"/>
      <c r="M704" s="12"/>
      <c r="N704" s="11"/>
      <c r="O704" s="11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94"/>
      <c r="C705" s="17"/>
      <c r="D705" s="17"/>
      <c r="E705" s="12"/>
      <c r="F705" s="12"/>
      <c r="G705" s="12"/>
      <c r="H705" s="12"/>
      <c r="I705" s="12"/>
      <c r="J705" s="194"/>
      <c r="K705" s="194"/>
      <c r="L705" s="12"/>
      <c r="M705" s="12"/>
      <c r="N705" s="11"/>
      <c r="O705" s="11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94"/>
      <c r="C706" s="17"/>
      <c r="D706" s="17"/>
      <c r="E706" s="12"/>
      <c r="F706" s="12"/>
      <c r="G706" s="12"/>
      <c r="H706" s="12"/>
      <c r="I706" s="12"/>
      <c r="J706" s="194"/>
      <c r="K706" s="194"/>
      <c r="L706" s="12"/>
      <c r="M706" s="12"/>
      <c r="N706" s="11"/>
      <c r="O706" s="11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94"/>
      <c r="C707" s="17"/>
      <c r="D707" s="17"/>
      <c r="E707" s="12"/>
      <c r="F707" s="12"/>
      <c r="G707" s="12"/>
      <c r="H707" s="12"/>
      <c r="I707" s="12"/>
      <c r="J707" s="194"/>
      <c r="K707" s="194"/>
      <c r="L707" s="12"/>
      <c r="M707" s="12"/>
      <c r="N707" s="11"/>
      <c r="O707" s="11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94"/>
      <c r="C708" s="17"/>
      <c r="D708" s="17"/>
      <c r="E708" s="12"/>
      <c r="F708" s="12"/>
      <c r="G708" s="12"/>
      <c r="H708" s="12"/>
      <c r="I708" s="12"/>
      <c r="J708" s="194"/>
      <c r="K708" s="194"/>
      <c r="L708" s="12"/>
      <c r="M708" s="12"/>
      <c r="N708" s="11"/>
      <c r="O708" s="11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94"/>
      <c r="C709" s="17"/>
      <c r="D709" s="17"/>
      <c r="E709" s="12"/>
      <c r="F709" s="12"/>
      <c r="G709" s="12"/>
      <c r="H709" s="12"/>
      <c r="I709" s="12"/>
      <c r="J709" s="194"/>
      <c r="K709" s="194"/>
      <c r="L709" s="12"/>
      <c r="M709" s="12"/>
      <c r="N709" s="11"/>
      <c r="O709" s="11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94"/>
      <c r="C710" s="17"/>
      <c r="D710" s="17"/>
      <c r="E710" s="12"/>
      <c r="F710" s="12"/>
      <c r="G710" s="12"/>
      <c r="H710" s="12"/>
      <c r="I710" s="12"/>
      <c r="J710" s="194"/>
      <c r="K710" s="194"/>
      <c r="L710" s="12"/>
      <c r="M710" s="12"/>
      <c r="N710" s="11"/>
      <c r="O710" s="11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94"/>
      <c r="C711" s="17"/>
      <c r="D711" s="17"/>
      <c r="E711" s="12"/>
      <c r="F711" s="12"/>
      <c r="G711" s="12"/>
      <c r="H711" s="12"/>
      <c r="I711" s="12"/>
      <c r="J711" s="194"/>
      <c r="K711" s="194"/>
      <c r="L711" s="12"/>
      <c r="M711" s="12"/>
      <c r="N711" s="11"/>
      <c r="O711" s="11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94"/>
      <c r="C712" s="17"/>
      <c r="D712" s="17"/>
      <c r="E712" s="12"/>
      <c r="F712" s="12"/>
      <c r="G712" s="12"/>
      <c r="H712" s="12"/>
      <c r="I712" s="12"/>
      <c r="J712" s="194"/>
      <c r="K712" s="194"/>
      <c r="L712" s="12"/>
      <c r="M712" s="12"/>
      <c r="N712" s="11"/>
      <c r="O712" s="11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94"/>
      <c r="C713" s="17"/>
      <c r="D713" s="17"/>
      <c r="E713" s="12"/>
      <c r="F713" s="12"/>
      <c r="G713" s="12"/>
      <c r="H713" s="12"/>
      <c r="I713" s="12"/>
      <c r="J713" s="194"/>
      <c r="K713" s="194"/>
      <c r="L713" s="12"/>
      <c r="M713" s="12"/>
      <c r="N713" s="11"/>
      <c r="O713" s="11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94"/>
      <c r="C714" s="17"/>
      <c r="D714" s="17"/>
      <c r="E714" s="12"/>
      <c r="F714" s="12"/>
      <c r="G714" s="12"/>
      <c r="H714" s="12"/>
      <c r="I714" s="12"/>
      <c r="J714" s="194"/>
      <c r="K714" s="194"/>
      <c r="L714" s="12"/>
      <c r="M714" s="12"/>
      <c r="N714" s="11"/>
      <c r="O714" s="11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94"/>
      <c r="C715" s="17"/>
      <c r="D715" s="17"/>
      <c r="E715" s="12"/>
      <c r="F715" s="12"/>
      <c r="G715" s="12"/>
      <c r="H715" s="12"/>
      <c r="I715" s="12"/>
      <c r="J715" s="194"/>
      <c r="K715" s="194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94"/>
      <c r="C716" s="17"/>
      <c r="D716" s="17"/>
      <c r="E716" s="12"/>
      <c r="F716" s="12"/>
      <c r="G716" s="12"/>
      <c r="H716" s="12"/>
      <c r="I716" s="12"/>
      <c r="J716" s="194"/>
      <c r="K716" s="194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94"/>
      <c r="C717" s="17"/>
      <c r="D717" s="17"/>
      <c r="E717" s="12"/>
      <c r="F717" s="12"/>
      <c r="G717" s="12"/>
      <c r="H717" s="12"/>
      <c r="I717" s="12"/>
      <c r="J717" s="194"/>
      <c r="K717" s="194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94"/>
      <c r="C718" s="17"/>
      <c r="D718" s="17"/>
      <c r="E718" s="12"/>
      <c r="F718" s="12"/>
      <c r="G718" s="12"/>
      <c r="H718" s="12"/>
      <c r="I718" s="12"/>
      <c r="J718" s="194"/>
      <c r="K718" s="194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94"/>
      <c r="C719" s="17"/>
      <c r="D719" s="17"/>
      <c r="E719" s="12"/>
      <c r="F719" s="12"/>
      <c r="G719" s="12"/>
      <c r="H719" s="12"/>
      <c r="I719" s="12"/>
      <c r="J719" s="194"/>
      <c r="K719" s="194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94"/>
      <c r="C720" s="17"/>
      <c r="D720" s="17"/>
      <c r="E720" s="12"/>
      <c r="F720" s="12"/>
      <c r="G720" s="12"/>
      <c r="H720" s="12"/>
      <c r="I720" s="12"/>
      <c r="J720" s="194"/>
      <c r="K720" s="194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94"/>
      <c r="C721" s="17"/>
      <c r="D721" s="17"/>
      <c r="E721" s="12"/>
      <c r="F721" s="12"/>
      <c r="G721" s="12"/>
      <c r="H721" s="12"/>
      <c r="I721" s="12"/>
      <c r="J721" s="194"/>
      <c r="K721" s="194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94"/>
      <c r="C722" s="17"/>
      <c r="D722" s="17"/>
      <c r="E722" s="12"/>
      <c r="F722" s="12"/>
      <c r="G722" s="12"/>
      <c r="H722" s="12"/>
      <c r="I722" s="12"/>
      <c r="J722" s="194"/>
      <c r="K722" s="194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94"/>
      <c r="C723" s="17"/>
      <c r="D723" s="17"/>
      <c r="E723" s="12"/>
      <c r="F723" s="12"/>
      <c r="G723" s="12"/>
      <c r="H723" s="12"/>
      <c r="I723" s="12"/>
      <c r="J723" s="194"/>
      <c r="K723" s="194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94"/>
      <c r="C724" s="17"/>
      <c r="D724" s="17"/>
      <c r="E724" s="12"/>
      <c r="F724" s="12"/>
      <c r="G724" s="12"/>
      <c r="H724" s="12"/>
      <c r="I724" s="12"/>
      <c r="J724" s="194"/>
      <c r="K724" s="194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94"/>
      <c r="C725" s="17"/>
      <c r="D725" s="17"/>
      <c r="E725" s="12"/>
      <c r="F725" s="12"/>
      <c r="G725" s="12"/>
      <c r="H725" s="12"/>
      <c r="I725" s="12"/>
      <c r="J725" s="194"/>
      <c r="K725" s="194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94"/>
      <c r="C726" s="17"/>
      <c r="D726" s="17"/>
      <c r="E726" s="12"/>
      <c r="F726" s="12"/>
      <c r="G726" s="12"/>
      <c r="H726" s="12"/>
      <c r="I726" s="12"/>
      <c r="J726" s="194"/>
      <c r="K726" s="194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94"/>
      <c r="C727" s="17"/>
      <c r="D727" s="17"/>
      <c r="E727" s="12"/>
      <c r="F727" s="12"/>
      <c r="G727" s="12"/>
      <c r="H727" s="12"/>
      <c r="I727" s="12"/>
      <c r="J727" s="194"/>
      <c r="K727" s="194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94"/>
      <c r="C728" s="17"/>
      <c r="D728" s="17"/>
      <c r="E728" s="12"/>
      <c r="F728" s="12"/>
      <c r="G728" s="12"/>
      <c r="H728" s="12"/>
      <c r="I728" s="12"/>
      <c r="J728" s="194"/>
      <c r="K728" s="194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94"/>
      <c r="C729" s="17"/>
      <c r="D729" s="17"/>
      <c r="E729" s="12"/>
      <c r="F729" s="12"/>
      <c r="G729" s="12"/>
      <c r="H729" s="12"/>
      <c r="I729" s="12"/>
      <c r="J729" s="194"/>
      <c r="K729" s="194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94"/>
      <c r="C730" s="17"/>
      <c r="D730" s="17"/>
      <c r="E730" s="12"/>
      <c r="F730" s="12"/>
      <c r="G730" s="12"/>
      <c r="H730" s="12"/>
      <c r="I730" s="12"/>
      <c r="J730" s="194"/>
      <c r="K730" s="194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94"/>
      <c r="C731" s="17"/>
      <c r="D731" s="17"/>
      <c r="E731" s="12"/>
      <c r="F731" s="12"/>
      <c r="G731" s="12"/>
      <c r="H731" s="12"/>
      <c r="I731" s="12"/>
      <c r="J731" s="194"/>
      <c r="K731" s="194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94"/>
      <c r="C732" s="17"/>
      <c r="D732" s="17"/>
      <c r="E732" s="12"/>
      <c r="F732" s="12"/>
      <c r="G732" s="12"/>
      <c r="H732" s="12"/>
      <c r="I732" s="12"/>
      <c r="J732" s="194"/>
      <c r="K732" s="194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94"/>
      <c r="C733" s="17"/>
      <c r="D733" s="17"/>
      <c r="E733" s="12"/>
      <c r="F733" s="12"/>
      <c r="G733" s="12"/>
      <c r="H733" s="12"/>
      <c r="I733" s="12"/>
      <c r="J733" s="194"/>
      <c r="K733" s="194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94"/>
      <c r="C734" s="17"/>
      <c r="D734" s="17"/>
      <c r="E734" s="12"/>
      <c r="F734" s="12"/>
      <c r="G734" s="12"/>
      <c r="H734" s="12"/>
      <c r="I734" s="12"/>
      <c r="J734" s="194"/>
      <c r="K734" s="194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94"/>
      <c r="C735" s="17"/>
      <c r="D735" s="17"/>
      <c r="E735" s="12"/>
      <c r="F735" s="12"/>
      <c r="G735" s="12"/>
      <c r="H735" s="12"/>
      <c r="I735" s="12"/>
      <c r="J735" s="194"/>
      <c r="K735" s="194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94"/>
      <c r="C736" s="17"/>
      <c r="D736" s="17"/>
      <c r="E736" s="12"/>
      <c r="F736" s="12"/>
      <c r="G736" s="12"/>
      <c r="H736" s="12"/>
      <c r="I736" s="12"/>
      <c r="J736" s="194"/>
      <c r="K736" s="194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94"/>
      <c r="C737" s="17"/>
      <c r="D737" s="17"/>
      <c r="E737" s="12"/>
      <c r="F737" s="12"/>
      <c r="G737" s="12"/>
      <c r="H737" s="12"/>
      <c r="I737" s="12"/>
      <c r="J737" s="194"/>
      <c r="K737" s="194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94"/>
      <c r="C738" s="17"/>
      <c r="D738" s="17"/>
      <c r="E738" s="12"/>
      <c r="F738" s="12"/>
      <c r="G738" s="12"/>
      <c r="H738" s="12"/>
      <c r="I738" s="12"/>
      <c r="J738" s="194"/>
      <c r="K738" s="194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94"/>
      <c r="C739" s="17"/>
      <c r="D739" s="17"/>
      <c r="E739" s="12"/>
      <c r="F739" s="12"/>
      <c r="G739" s="12"/>
      <c r="H739" s="12"/>
      <c r="I739" s="12"/>
      <c r="J739" s="194"/>
      <c r="K739" s="194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94"/>
      <c r="C740" s="17"/>
      <c r="D740" s="17"/>
      <c r="E740" s="12"/>
      <c r="F740" s="12"/>
      <c r="G740" s="12"/>
      <c r="H740" s="12"/>
      <c r="I740" s="12"/>
      <c r="J740" s="194"/>
      <c r="K740" s="194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94"/>
      <c r="C741" s="17"/>
      <c r="D741" s="17"/>
      <c r="E741" s="12"/>
      <c r="F741" s="12"/>
      <c r="G741" s="12"/>
      <c r="H741" s="12"/>
      <c r="I741" s="12"/>
      <c r="J741" s="194"/>
      <c r="K741" s="194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94"/>
      <c r="C742" s="17"/>
      <c r="D742" s="17"/>
      <c r="E742" s="12"/>
      <c r="F742" s="12"/>
      <c r="G742" s="12"/>
      <c r="H742" s="12"/>
      <c r="I742" s="12"/>
      <c r="J742" s="194"/>
      <c r="K742" s="194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94"/>
      <c r="C743" s="17"/>
      <c r="D743" s="17"/>
      <c r="E743" s="12"/>
      <c r="F743" s="12"/>
      <c r="G743" s="12"/>
      <c r="H743" s="12"/>
      <c r="I743" s="12"/>
      <c r="J743" s="194"/>
      <c r="K743" s="194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94"/>
      <c r="C744" s="17"/>
      <c r="D744" s="17"/>
      <c r="E744" s="12"/>
      <c r="F744" s="12"/>
      <c r="G744" s="12"/>
      <c r="H744" s="12"/>
      <c r="I744" s="12"/>
      <c r="J744" s="194"/>
      <c r="K744" s="194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94"/>
      <c r="C745" s="17"/>
      <c r="D745" s="17"/>
      <c r="E745" s="12"/>
      <c r="F745" s="12"/>
      <c r="G745" s="12"/>
      <c r="H745" s="12"/>
      <c r="I745" s="12"/>
      <c r="J745" s="194"/>
      <c r="K745" s="194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94"/>
      <c r="C746" s="17"/>
      <c r="D746" s="17"/>
      <c r="E746" s="12"/>
      <c r="F746" s="12"/>
      <c r="G746" s="12"/>
      <c r="H746" s="12"/>
      <c r="I746" s="12"/>
      <c r="J746" s="194"/>
      <c r="K746" s="194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94"/>
      <c r="C747" s="17"/>
      <c r="D747" s="17"/>
      <c r="E747" s="12"/>
      <c r="F747" s="12"/>
      <c r="G747" s="12"/>
      <c r="H747" s="12"/>
      <c r="I747" s="12"/>
      <c r="J747" s="194"/>
      <c r="K747" s="194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94"/>
      <c r="C748" s="17"/>
      <c r="D748" s="17"/>
      <c r="E748" s="12"/>
      <c r="F748" s="12"/>
      <c r="G748" s="12"/>
      <c r="H748" s="12"/>
      <c r="I748" s="12"/>
      <c r="J748" s="194"/>
      <c r="K748" s="194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94"/>
      <c r="C749" s="17"/>
      <c r="D749" s="17"/>
      <c r="E749" s="12"/>
      <c r="F749" s="12"/>
      <c r="G749" s="12"/>
      <c r="H749" s="12"/>
      <c r="I749" s="12"/>
      <c r="J749" s="194"/>
      <c r="K749" s="194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94"/>
      <c r="C750" s="17"/>
      <c r="D750" s="17"/>
      <c r="E750" s="12"/>
      <c r="F750" s="12"/>
      <c r="G750" s="12"/>
      <c r="H750" s="12"/>
      <c r="I750" s="12"/>
      <c r="J750" s="194"/>
      <c r="K750" s="194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94"/>
      <c r="C751" s="17"/>
      <c r="D751" s="17"/>
      <c r="E751" s="12"/>
      <c r="F751" s="12"/>
      <c r="G751" s="12"/>
      <c r="H751" s="12"/>
      <c r="I751" s="12"/>
      <c r="J751" s="194"/>
      <c r="K751" s="194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94"/>
      <c r="C752" s="17"/>
      <c r="D752" s="17"/>
      <c r="E752" s="12"/>
      <c r="F752" s="12"/>
      <c r="G752" s="12"/>
      <c r="H752" s="12"/>
      <c r="I752" s="12"/>
      <c r="J752" s="194"/>
      <c r="K752" s="194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94"/>
      <c r="C753" s="17"/>
      <c r="D753" s="17"/>
      <c r="E753" s="12"/>
      <c r="F753" s="12"/>
      <c r="G753" s="12"/>
      <c r="H753" s="12"/>
      <c r="I753" s="12"/>
      <c r="J753" s="194"/>
      <c r="K753" s="194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94"/>
      <c r="C754" s="17"/>
      <c r="D754" s="17"/>
      <c r="E754" s="12"/>
      <c r="F754" s="12"/>
      <c r="G754" s="12"/>
      <c r="H754" s="12"/>
      <c r="I754" s="12"/>
      <c r="J754" s="194"/>
      <c r="K754" s="194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94"/>
      <c r="C755" s="17"/>
      <c r="D755" s="17"/>
      <c r="E755" s="12"/>
      <c r="F755" s="12"/>
      <c r="G755" s="12"/>
      <c r="H755" s="12"/>
      <c r="I755" s="12"/>
      <c r="J755" s="194"/>
      <c r="K755" s="194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94"/>
      <c r="C756" s="17"/>
      <c r="D756" s="17"/>
      <c r="E756" s="12"/>
      <c r="F756" s="12"/>
      <c r="G756" s="12"/>
      <c r="H756" s="12"/>
      <c r="I756" s="12"/>
      <c r="J756" s="194"/>
      <c r="K756" s="194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94"/>
      <c r="C757" s="17"/>
      <c r="D757" s="17"/>
      <c r="E757" s="12"/>
      <c r="F757" s="12"/>
      <c r="G757" s="12"/>
      <c r="H757" s="12"/>
      <c r="I757" s="12"/>
      <c r="J757" s="194"/>
      <c r="K757" s="194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94"/>
      <c r="C758" s="17"/>
      <c r="D758" s="17"/>
      <c r="E758" s="12"/>
      <c r="F758" s="12"/>
      <c r="G758" s="12"/>
      <c r="H758" s="12"/>
      <c r="I758" s="12"/>
      <c r="J758" s="194"/>
      <c r="K758" s="194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94"/>
      <c r="C759" s="17"/>
      <c r="D759" s="17"/>
      <c r="E759" s="12"/>
      <c r="F759" s="12"/>
      <c r="G759" s="12"/>
      <c r="H759" s="12"/>
      <c r="I759" s="12"/>
      <c r="J759" s="194"/>
      <c r="K759" s="194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94"/>
      <c r="C760" s="17"/>
      <c r="D760" s="17"/>
      <c r="E760" s="12"/>
      <c r="F760" s="12"/>
      <c r="G760" s="12"/>
      <c r="H760" s="12"/>
      <c r="I760" s="12"/>
      <c r="J760" s="194"/>
      <c r="K760" s="194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94"/>
      <c r="C761" s="17"/>
      <c r="D761" s="17"/>
      <c r="E761" s="12"/>
      <c r="F761" s="12"/>
      <c r="G761" s="12"/>
      <c r="H761" s="12"/>
      <c r="I761" s="12"/>
      <c r="J761" s="194"/>
      <c r="K761" s="194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94"/>
      <c r="C762" s="17"/>
      <c r="D762" s="17"/>
      <c r="E762" s="12"/>
      <c r="F762" s="12"/>
      <c r="G762" s="12"/>
      <c r="H762" s="12"/>
      <c r="I762" s="12"/>
      <c r="J762" s="194"/>
      <c r="K762" s="194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94"/>
      <c r="C763" s="17"/>
      <c r="D763" s="17"/>
      <c r="E763" s="12"/>
      <c r="F763" s="12"/>
      <c r="G763" s="12"/>
      <c r="H763" s="12"/>
      <c r="I763" s="12"/>
      <c r="J763" s="194"/>
      <c r="K763" s="194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94"/>
      <c r="C764" s="17"/>
      <c r="D764" s="17"/>
      <c r="E764" s="12"/>
      <c r="F764" s="12"/>
      <c r="G764" s="12"/>
      <c r="H764" s="12"/>
      <c r="I764" s="12"/>
      <c r="J764" s="194"/>
      <c r="K764" s="194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94"/>
      <c r="C765" s="17"/>
      <c r="D765" s="17"/>
      <c r="E765" s="12"/>
      <c r="F765" s="12"/>
      <c r="G765" s="12"/>
      <c r="H765" s="12"/>
      <c r="I765" s="12"/>
      <c r="J765" s="194"/>
      <c r="K765" s="194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94"/>
      <c r="C766" s="17"/>
      <c r="D766" s="17"/>
      <c r="E766" s="12"/>
      <c r="F766" s="12"/>
      <c r="G766" s="12"/>
      <c r="H766" s="12"/>
      <c r="I766" s="12"/>
      <c r="J766" s="194"/>
      <c r="K766" s="194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94"/>
      <c r="C767" s="17"/>
      <c r="D767" s="17"/>
      <c r="E767" s="12"/>
      <c r="F767" s="12"/>
      <c r="G767" s="12"/>
      <c r="H767" s="12"/>
      <c r="I767" s="12"/>
      <c r="J767" s="194"/>
      <c r="K767" s="194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94"/>
      <c r="C768" s="17"/>
      <c r="D768" s="17"/>
      <c r="E768" s="12"/>
      <c r="F768" s="12"/>
      <c r="G768" s="12"/>
      <c r="H768" s="12"/>
      <c r="I768" s="12"/>
      <c r="J768" s="194"/>
      <c r="K768" s="194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94"/>
      <c r="C769" s="17"/>
      <c r="D769" s="17"/>
      <c r="E769" s="12"/>
      <c r="F769" s="12"/>
      <c r="G769" s="12"/>
      <c r="H769" s="12"/>
      <c r="I769" s="12"/>
      <c r="J769" s="194"/>
      <c r="K769" s="194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94"/>
      <c r="C770" s="17"/>
      <c r="D770" s="17"/>
      <c r="E770" s="12"/>
      <c r="F770" s="12"/>
      <c r="G770" s="12"/>
      <c r="H770" s="12"/>
      <c r="I770" s="12"/>
      <c r="J770" s="194"/>
      <c r="K770" s="194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94"/>
      <c r="C771" s="17"/>
      <c r="D771" s="17"/>
      <c r="E771" s="12"/>
      <c r="F771" s="12"/>
      <c r="G771" s="12"/>
      <c r="H771" s="12"/>
      <c r="I771" s="12"/>
      <c r="J771" s="194"/>
      <c r="K771" s="194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94"/>
      <c r="C772" s="17"/>
      <c r="D772" s="17"/>
      <c r="E772" s="12"/>
      <c r="F772" s="12"/>
      <c r="G772" s="12"/>
      <c r="H772" s="12"/>
      <c r="I772" s="12"/>
      <c r="J772" s="194"/>
      <c r="K772" s="194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94"/>
      <c r="C773" s="17"/>
      <c r="D773" s="17"/>
      <c r="E773" s="12"/>
      <c r="F773" s="12"/>
      <c r="G773" s="12"/>
      <c r="H773" s="12"/>
      <c r="I773" s="12"/>
      <c r="J773" s="194"/>
      <c r="K773" s="194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94"/>
      <c r="C774" s="17"/>
      <c r="D774" s="17"/>
      <c r="E774" s="12"/>
      <c r="F774" s="12"/>
      <c r="G774" s="12"/>
      <c r="H774" s="12"/>
      <c r="I774" s="12"/>
      <c r="J774" s="194"/>
      <c r="K774" s="194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94"/>
      <c r="C775" s="17"/>
      <c r="D775" s="17"/>
      <c r="E775" s="12"/>
      <c r="F775" s="12"/>
      <c r="G775" s="12"/>
      <c r="H775" s="12"/>
      <c r="I775" s="12"/>
      <c r="J775" s="194"/>
      <c r="K775" s="194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94"/>
      <c r="C776" s="17"/>
      <c r="D776" s="17"/>
      <c r="E776" s="12"/>
      <c r="F776" s="12"/>
      <c r="G776" s="12"/>
      <c r="H776" s="12"/>
      <c r="I776" s="12"/>
      <c r="J776" s="194"/>
      <c r="K776" s="194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94"/>
      <c r="C777" s="17"/>
      <c r="D777" s="17"/>
      <c r="E777" s="12"/>
      <c r="F777" s="12"/>
      <c r="G777" s="12"/>
      <c r="H777" s="12"/>
      <c r="I777" s="12"/>
      <c r="J777" s="194"/>
      <c r="K777" s="194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94"/>
      <c r="C778" s="17"/>
      <c r="D778" s="17"/>
      <c r="E778" s="12"/>
      <c r="F778" s="12"/>
      <c r="G778" s="12"/>
      <c r="H778" s="12"/>
      <c r="I778" s="12"/>
      <c r="J778" s="194"/>
      <c r="K778" s="194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94"/>
      <c r="C779" s="17"/>
      <c r="D779" s="17"/>
      <c r="E779" s="12"/>
      <c r="F779" s="12"/>
      <c r="G779" s="12"/>
      <c r="H779" s="12"/>
      <c r="I779" s="12"/>
      <c r="J779" s="194"/>
      <c r="K779" s="194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94"/>
      <c r="C780" s="17"/>
      <c r="D780" s="17"/>
      <c r="E780" s="12"/>
      <c r="F780" s="12"/>
      <c r="G780" s="12"/>
      <c r="H780" s="12"/>
      <c r="I780" s="12"/>
      <c r="J780" s="194"/>
      <c r="K780" s="194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94"/>
      <c r="C781" s="17"/>
      <c r="D781" s="17"/>
      <c r="E781" s="12"/>
      <c r="F781" s="12"/>
      <c r="G781" s="12"/>
      <c r="H781" s="12"/>
      <c r="I781" s="12"/>
      <c r="J781" s="194"/>
      <c r="K781" s="194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94"/>
      <c r="C782" s="17"/>
      <c r="D782" s="17"/>
      <c r="E782" s="12"/>
      <c r="F782" s="12"/>
      <c r="G782" s="12"/>
      <c r="H782" s="12"/>
      <c r="I782" s="12"/>
      <c r="J782" s="194"/>
      <c r="K782" s="194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94"/>
      <c r="C783" s="17"/>
      <c r="D783" s="17"/>
      <c r="E783" s="12"/>
      <c r="F783" s="12"/>
      <c r="G783" s="12"/>
      <c r="H783" s="12"/>
      <c r="I783" s="12"/>
      <c r="J783" s="194"/>
      <c r="K783" s="194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94"/>
      <c r="C784" s="17"/>
      <c r="D784" s="17"/>
      <c r="E784" s="12"/>
      <c r="F784" s="12"/>
      <c r="G784" s="12"/>
      <c r="H784" s="12"/>
      <c r="I784" s="12"/>
      <c r="J784" s="194"/>
      <c r="K784" s="194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94"/>
      <c r="C785" s="17"/>
      <c r="D785" s="17"/>
      <c r="E785" s="12"/>
      <c r="F785" s="12"/>
      <c r="G785" s="12"/>
      <c r="H785" s="12"/>
      <c r="I785" s="12"/>
      <c r="J785" s="194"/>
      <c r="K785" s="194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94"/>
      <c r="C786" s="17"/>
      <c r="D786" s="17"/>
      <c r="E786" s="12"/>
      <c r="F786" s="12"/>
      <c r="G786" s="12"/>
      <c r="H786" s="12"/>
      <c r="I786" s="12"/>
      <c r="J786" s="194"/>
      <c r="K786" s="194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94"/>
      <c r="C787" s="17"/>
      <c r="D787" s="17"/>
      <c r="E787" s="12"/>
      <c r="F787" s="12"/>
      <c r="G787" s="12"/>
      <c r="H787" s="12"/>
      <c r="I787" s="12"/>
      <c r="J787" s="194"/>
      <c r="K787" s="194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94"/>
      <c r="C788" s="17"/>
      <c r="D788" s="17"/>
      <c r="E788" s="12"/>
      <c r="F788" s="12"/>
      <c r="G788" s="12"/>
      <c r="H788" s="12"/>
      <c r="I788" s="12"/>
      <c r="J788" s="194"/>
      <c r="K788" s="194"/>
      <c r="L788" s="12"/>
      <c r="M788" s="12"/>
      <c r="N788" s="53"/>
      <c r="O788" s="53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94"/>
      <c r="C789" s="17"/>
      <c r="D789" s="17"/>
      <c r="E789" s="12"/>
      <c r="F789" s="12"/>
      <c r="G789" s="12"/>
      <c r="H789" s="12"/>
      <c r="I789" s="12"/>
      <c r="J789" s="194"/>
      <c r="K789" s="194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94"/>
      <c r="C790" s="17"/>
      <c r="D790" s="17"/>
      <c r="E790" s="12"/>
      <c r="F790" s="12"/>
      <c r="G790" s="12"/>
      <c r="H790" s="12"/>
      <c r="I790" s="12"/>
      <c r="J790" s="194"/>
      <c r="K790" s="194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94"/>
      <c r="C791" s="17"/>
      <c r="D791" s="17"/>
      <c r="E791" s="12"/>
      <c r="F791" s="12"/>
      <c r="G791" s="12"/>
      <c r="H791" s="12"/>
      <c r="I791" s="12"/>
      <c r="J791" s="194"/>
      <c r="K791" s="194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94"/>
      <c r="C792" s="17"/>
      <c r="D792" s="17"/>
      <c r="E792" s="12"/>
      <c r="F792" s="12"/>
      <c r="G792" s="12"/>
      <c r="H792" s="12"/>
      <c r="I792" s="12"/>
      <c r="J792" s="194"/>
      <c r="K792" s="194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94"/>
      <c r="C793" s="17"/>
      <c r="D793" s="17"/>
      <c r="E793" s="12"/>
      <c r="F793" s="12"/>
      <c r="G793" s="12"/>
      <c r="H793" s="12"/>
      <c r="I793" s="12"/>
      <c r="J793" s="194"/>
      <c r="K793" s="194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94"/>
      <c r="C794" s="17"/>
      <c r="D794" s="17"/>
      <c r="E794" s="12"/>
      <c r="F794" s="12"/>
      <c r="G794" s="12"/>
      <c r="H794" s="12"/>
      <c r="I794" s="12"/>
      <c r="J794" s="194"/>
      <c r="K794" s="194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94"/>
      <c r="C795" s="17"/>
      <c r="D795" s="17"/>
      <c r="E795" s="12"/>
      <c r="F795" s="12"/>
      <c r="G795" s="12"/>
      <c r="H795" s="12"/>
      <c r="I795" s="12"/>
      <c r="J795" s="194"/>
      <c r="K795" s="194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94"/>
      <c r="C796" s="17"/>
      <c r="D796" s="17"/>
      <c r="E796" s="12"/>
      <c r="F796" s="12"/>
      <c r="G796" s="12"/>
      <c r="H796" s="12"/>
      <c r="I796" s="12"/>
      <c r="J796" s="194"/>
      <c r="K796" s="194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94"/>
      <c r="C797" s="17"/>
      <c r="D797" s="17"/>
      <c r="E797" s="12"/>
      <c r="F797" s="12"/>
      <c r="G797" s="12"/>
      <c r="H797" s="12"/>
      <c r="I797" s="12"/>
      <c r="J797" s="194"/>
      <c r="K797" s="194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94"/>
      <c r="C798" s="17"/>
      <c r="D798" s="17"/>
      <c r="E798" s="12"/>
      <c r="F798" s="12"/>
      <c r="G798" s="12"/>
      <c r="H798" s="12"/>
      <c r="I798" s="12"/>
      <c r="J798" s="194"/>
      <c r="K798" s="194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94"/>
      <c r="C799" s="17"/>
      <c r="D799" s="17"/>
      <c r="E799" s="12"/>
      <c r="F799" s="12"/>
      <c r="G799" s="12"/>
      <c r="H799" s="12"/>
      <c r="I799" s="12"/>
      <c r="J799" s="194"/>
      <c r="K799" s="194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94"/>
      <c r="C800" s="17"/>
      <c r="D800" s="17"/>
      <c r="E800" s="12"/>
      <c r="F800" s="12"/>
      <c r="G800" s="12"/>
      <c r="H800" s="12"/>
      <c r="I800" s="12"/>
      <c r="J800" s="194"/>
      <c r="K800" s="194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94"/>
      <c r="C801" s="17"/>
      <c r="D801" s="17"/>
      <c r="E801" s="12"/>
      <c r="F801" s="12"/>
      <c r="G801" s="12"/>
      <c r="H801" s="12"/>
      <c r="I801" s="12"/>
      <c r="J801" s="194"/>
      <c r="K801" s="194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94"/>
      <c r="C802" s="17"/>
      <c r="D802" s="17"/>
      <c r="E802" s="12"/>
      <c r="F802" s="12"/>
      <c r="G802" s="12"/>
      <c r="H802" s="12"/>
      <c r="I802" s="12"/>
      <c r="J802" s="194"/>
      <c r="K802" s="194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94"/>
      <c r="C803" s="17"/>
      <c r="D803" s="17"/>
      <c r="E803" s="12"/>
      <c r="F803" s="12"/>
      <c r="G803" s="12"/>
      <c r="H803" s="12"/>
      <c r="I803" s="12"/>
      <c r="J803" s="194"/>
      <c r="K803" s="194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94"/>
      <c r="C804" s="17"/>
      <c r="D804" s="17"/>
      <c r="E804" s="12"/>
      <c r="F804" s="12"/>
      <c r="G804" s="12"/>
      <c r="H804" s="12"/>
      <c r="I804" s="12"/>
      <c r="J804" s="194"/>
      <c r="K804" s="194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94"/>
      <c r="C805" s="17"/>
      <c r="D805" s="17"/>
      <c r="E805" s="12"/>
      <c r="F805" s="12"/>
      <c r="G805" s="12"/>
      <c r="H805" s="12"/>
      <c r="I805" s="12"/>
      <c r="J805" s="194"/>
      <c r="K805" s="194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94"/>
      <c r="C806" s="17"/>
      <c r="D806" s="17"/>
      <c r="E806" s="12"/>
      <c r="F806" s="12"/>
      <c r="G806" s="12"/>
      <c r="H806" s="12"/>
      <c r="I806" s="12"/>
      <c r="J806" s="194"/>
      <c r="K806" s="194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94"/>
      <c r="C807" s="17"/>
      <c r="D807" s="17"/>
      <c r="E807" s="12"/>
      <c r="F807" s="12"/>
      <c r="G807" s="12"/>
      <c r="H807" s="12"/>
      <c r="I807" s="12"/>
      <c r="J807" s="194"/>
      <c r="K807" s="194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94"/>
      <c r="C808" s="17"/>
      <c r="D808" s="17"/>
      <c r="E808" s="12"/>
      <c r="F808" s="12"/>
      <c r="G808" s="12"/>
      <c r="H808" s="12"/>
      <c r="I808" s="12"/>
      <c r="J808" s="194"/>
      <c r="K808" s="194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94"/>
      <c r="C809" s="17"/>
      <c r="D809" s="17"/>
      <c r="E809" s="12"/>
      <c r="F809" s="12"/>
      <c r="G809" s="12"/>
      <c r="H809" s="12"/>
      <c r="I809" s="12"/>
      <c r="J809" s="194"/>
      <c r="K809" s="194"/>
      <c r="L809" s="12"/>
      <c r="M809" s="12"/>
      <c r="N809" s="53"/>
      <c r="O809" s="53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94"/>
      <c r="C810" s="17"/>
      <c r="D810" s="17"/>
      <c r="E810" s="12"/>
      <c r="F810" s="12"/>
      <c r="G810" s="12"/>
      <c r="H810" s="12"/>
      <c r="I810" s="12"/>
      <c r="J810" s="194"/>
      <c r="K810" s="194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94"/>
      <c r="C811" s="17"/>
      <c r="D811" s="17"/>
      <c r="E811" s="12"/>
      <c r="F811" s="12"/>
      <c r="G811" s="12"/>
      <c r="H811" s="12"/>
      <c r="I811" s="12"/>
      <c r="J811" s="194"/>
      <c r="K811" s="194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94"/>
      <c r="C812" s="17"/>
      <c r="D812" s="17"/>
      <c r="E812" s="12"/>
      <c r="F812" s="12"/>
      <c r="G812" s="12"/>
      <c r="H812" s="12"/>
      <c r="I812" s="12"/>
      <c r="J812" s="194"/>
      <c r="K812" s="194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94"/>
      <c r="C813" s="17"/>
      <c r="D813" s="17"/>
      <c r="E813" s="12"/>
      <c r="F813" s="12"/>
      <c r="G813" s="12"/>
      <c r="H813" s="12"/>
      <c r="I813" s="12"/>
      <c r="J813" s="194"/>
      <c r="K813" s="194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94"/>
      <c r="C814" s="17"/>
      <c r="D814" s="17"/>
      <c r="E814" s="12"/>
      <c r="F814" s="12"/>
      <c r="G814" s="12"/>
      <c r="H814" s="12"/>
      <c r="I814" s="12"/>
      <c r="J814" s="194"/>
      <c r="K814" s="194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94"/>
      <c r="C815" s="17"/>
      <c r="D815" s="17"/>
      <c r="E815" s="12"/>
      <c r="F815" s="12"/>
      <c r="G815" s="12"/>
      <c r="H815" s="12"/>
      <c r="I815" s="12"/>
      <c r="J815" s="194"/>
      <c r="K815" s="194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94"/>
      <c r="C816" s="17"/>
      <c r="D816" s="17"/>
      <c r="E816" s="12"/>
      <c r="F816" s="12"/>
      <c r="G816" s="12"/>
      <c r="H816" s="12"/>
      <c r="I816" s="12"/>
      <c r="J816" s="194"/>
      <c r="K816" s="194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94"/>
      <c r="C817" s="17"/>
      <c r="D817" s="17"/>
      <c r="E817" s="12"/>
      <c r="F817" s="12"/>
      <c r="G817" s="12"/>
      <c r="H817" s="12"/>
      <c r="I817" s="12"/>
      <c r="J817" s="194"/>
      <c r="K817" s="194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94"/>
      <c r="C818" s="17"/>
      <c r="D818" s="17"/>
      <c r="E818" s="12"/>
      <c r="F818" s="12"/>
      <c r="G818" s="12"/>
      <c r="H818" s="12"/>
      <c r="I818" s="12"/>
      <c r="J818" s="194"/>
      <c r="K818" s="194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94"/>
      <c r="C819" s="17"/>
      <c r="D819" s="17"/>
      <c r="E819" s="12"/>
      <c r="F819" s="12"/>
      <c r="G819" s="12"/>
      <c r="H819" s="12"/>
      <c r="I819" s="12"/>
      <c r="J819" s="194"/>
      <c r="K819" s="194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94"/>
      <c r="C820" s="17"/>
      <c r="D820" s="17"/>
      <c r="E820" s="12"/>
      <c r="F820" s="12"/>
      <c r="G820" s="12"/>
      <c r="H820" s="12"/>
      <c r="I820" s="12"/>
      <c r="J820" s="194"/>
      <c r="K820" s="194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94"/>
      <c r="C821" s="17"/>
      <c r="D821" s="17"/>
      <c r="E821" s="12"/>
      <c r="F821" s="12"/>
      <c r="G821" s="12"/>
      <c r="H821" s="12"/>
      <c r="I821" s="12"/>
      <c r="J821" s="194"/>
      <c r="K821" s="194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94"/>
      <c r="C822" s="17"/>
      <c r="D822" s="17"/>
      <c r="E822" s="12"/>
      <c r="F822" s="12"/>
      <c r="G822" s="12"/>
      <c r="H822" s="12"/>
      <c r="I822" s="12"/>
      <c r="J822" s="194"/>
      <c r="K822" s="194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94"/>
      <c r="C823" s="17"/>
      <c r="D823" s="17"/>
      <c r="E823" s="12"/>
      <c r="F823" s="12"/>
      <c r="G823" s="12"/>
      <c r="H823" s="12"/>
      <c r="I823" s="12"/>
      <c r="J823" s="194"/>
      <c r="K823" s="194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94"/>
      <c r="C824" s="17"/>
      <c r="D824" s="17"/>
      <c r="E824" s="12"/>
      <c r="F824" s="12"/>
      <c r="G824" s="12"/>
      <c r="H824" s="12"/>
      <c r="I824" s="12"/>
      <c r="J824" s="194"/>
      <c r="K824" s="194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94"/>
      <c r="C825" s="17"/>
      <c r="D825" s="17"/>
      <c r="E825" s="12"/>
      <c r="F825" s="12"/>
      <c r="G825" s="12"/>
      <c r="H825" s="12"/>
      <c r="I825" s="12"/>
      <c r="J825" s="194"/>
      <c r="K825" s="194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94"/>
      <c r="C826" s="17"/>
      <c r="D826" s="17"/>
      <c r="E826" s="12"/>
      <c r="F826" s="12"/>
      <c r="G826" s="12"/>
      <c r="H826" s="12"/>
      <c r="I826" s="12"/>
      <c r="J826" s="194"/>
      <c r="K826" s="194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94"/>
      <c r="C827" s="17"/>
      <c r="D827" s="17"/>
      <c r="E827" s="12"/>
      <c r="F827" s="12"/>
      <c r="G827" s="12"/>
      <c r="H827" s="12"/>
      <c r="I827" s="12"/>
      <c r="J827" s="194"/>
      <c r="K827" s="194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94"/>
      <c r="C828" s="17"/>
      <c r="D828" s="17"/>
      <c r="E828" s="12"/>
      <c r="F828" s="12"/>
      <c r="G828" s="12"/>
      <c r="H828" s="12"/>
      <c r="I828" s="12"/>
      <c r="J828" s="194"/>
      <c r="K828" s="194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94"/>
      <c r="C829" s="17"/>
      <c r="D829" s="17"/>
      <c r="E829" s="12"/>
      <c r="F829" s="12"/>
      <c r="G829" s="12"/>
      <c r="H829" s="12"/>
      <c r="I829" s="12"/>
      <c r="J829" s="194"/>
      <c r="K829" s="194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94"/>
      <c r="C830" s="17"/>
      <c r="D830" s="17"/>
      <c r="E830" s="12"/>
      <c r="F830" s="12"/>
      <c r="G830" s="12"/>
      <c r="H830" s="12"/>
      <c r="I830" s="12"/>
      <c r="J830" s="194"/>
      <c r="K830" s="194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94"/>
      <c r="C831" s="17"/>
      <c r="D831" s="17"/>
      <c r="E831" s="12"/>
      <c r="F831" s="12"/>
      <c r="G831" s="12"/>
      <c r="H831" s="12"/>
      <c r="I831" s="12"/>
      <c r="J831" s="194"/>
      <c r="K831" s="194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94"/>
      <c r="C832" s="17"/>
      <c r="D832" s="17"/>
      <c r="E832" s="12"/>
      <c r="F832" s="12"/>
      <c r="G832" s="12"/>
      <c r="H832" s="12"/>
      <c r="I832" s="12"/>
      <c r="J832" s="194"/>
      <c r="K832" s="194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94"/>
      <c r="C833" s="17"/>
      <c r="D833" s="17"/>
      <c r="E833" s="12"/>
      <c r="F833" s="12"/>
      <c r="G833" s="12"/>
      <c r="H833" s="12"/>
      <c r="I833" s="12"/>
      <c r="J833" s="194"/>
      <c r="K833" s="194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94"/>
      <c r="C834" s="17"/>
      <c r="D834" s="17"/>
      <c r="E834" s="12"/>
      <c r="F834" s="12"/>
      <c r="G834" s="12"/>
      <c r="H834" s="12"/>
      <c r="I834" s="12"/>
      <c r="J834" s="194"/>
      <c r="K834" s="194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94"/>
      <c r="C835" s="17"/>
      <c r="D835" s="17"/>
      <c r="E835" s="12"/>
      <c r="F835" s="12"/>
      <c r="G835" s="12"/>
      <c r="H835" s="12"/>
      <c r="I835" s="12"/>
      <c r="J835" s="194"/>
      <c r="K835" s="194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94"/>
      <c r="C836" s="17"/>
      <c r="D836" s="17"/>
      <c r="E836" s="12"/>
      <c r="F836" s="12"/>
      <c r="G836" s="12"/>
      <c r="H836" s="12"/>
      <c r="I836" s="12"/>
      <c r="J836" s="194"/>
      <c r="K836" s="194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94"/>
      <c r="C837" s="17"/>
      <c r="D837" s="17"/>
      <c r="E837" s="12"/>
      <c r="F837" s="12"/>
      <c r="G837" s="12"/>
      <c r="H837" s="12"/>
      <c r="I837" s="12"/>
      <c r="J837" s="194"/>
      <c r="K837" s="194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94"/>
      <c r="C838" s="17"/>
      <c r="D838" s="17"/>
      <c r="E838" s="12"/>
      <c r="F838" s="12"/>
      <c r="G838" s="12"/>
      <c r="H838" s="12"/>
      <c r="I838" s="12"/>
      <c r="J838" s="194"/>
      <c r="K838" s="194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94"/>
      <c r="C839" s="17"/>
      <c r="D839" s="17"/>
      <c r="E839" s="12"/>
      <c r="F839" s="12"/>
      <c r="G839" s="12"/>
      <c r="H839" s="12"/>
      <c r="I839" s="12"/>
      <c r="J839" s="194"/>
      <c r="K839" s="194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94"/>
      <c r="C840" s="17"/>
      <c r="D840" s="17"/>
      <c r="E840" s="12"/>
      <c r="F840" s="12"/>
      <c r="G840" s="12"/>
      <c r="H840" s="12"/>
      <c r="I840" s="12"/>
      <c r="J840" s="194"/>
      <c r="K840" s="194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94"/>
      <c r="C841" s="17"/>
      <c r="D841" s="17"/>
      <c r="E841" s="12"/>
      <c r="F841" s="12"/>
      <c r="G841" s="12"/>
      <c r="H841" s="12"/>
      <c r="I841" s="12"/>
      <c r="J841" s="194"/>
      <c r="K841" s="194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94"/>
      <c r="C842" s="17"/>
      <c r="D842" s="17"/>
      <c r="E842" s="12"/>
      <c r="F842" s="12"/>
      <c r="G842" s="12"/>
      <c r="H842" s="12"/>
      <c r="I842" s="12"/>
      <c r="J842" s="194"/>
      <c r="K842" s="194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94"/>
      <c r="C843" s="17"/>
      <c r="D843" s="17"/>
      <c r="E843" s="12"/>
      <c r="F843" s="12"/>
      <c r="G843" s="12"/>
      <c r="H843" s="12"/>
      <c r="I843" s="12"/>
      <c r="J843" s="194"/>
      <c r="K843" s="194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94"/>
      <c r="C844" s="17"/>
      <c r="D844" s="17"/>
      <c r="E844" s="12"/>
      <c r="F844" s="12"/>
      <c r="G844" s="12"/>
      <c r="H844" s="12"/>
      <c r="I844" s="12"/>
      <c r="J844" s="194"/>
      <c r="K844" s="194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94"/>
      <c r="C845" s="17"/>
      <c r="D845" s="17"/>
      <c r="E845" s="12"/>
      <c r="F845" s="12"/>
      <c r="G845" s="12"/>
      <c r="H845" s="12"/>
      <c r="I845" s="12"/>
      <c r="J845" s="194"/>
      <c r="K845" s="194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94"/>
      <c r="C846" s="17"/>
      <c r="D846" s="17"/>
      <c r="E846" s="12"/>
      <c r="F846" s="12"/>
      <c r="G846" s="12"/>
      <c r="H846" s="12"/>
      <c r="I846" s="12"/>
      <c r="J846" s="194"/>
      <c r="K846" s="194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94"/>
      <c r="C847" s="17"/>
      <c r="D847" s="17"/>
      <c r="E847" s="12"/>
      <c r="F847" s="12"/>
      <c r="G847" s="12"/>
      <c r="H847" s="12"/>
      <c r="I847" s="12"/>
      <c r="J847" s="194"/>
      <c r="K847" s="194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94"/>
      <c r="C848" s="17"/>
      <c r="D848" s="17"/>
      <c r="E848" s="12"/>
      <c r="F848" s="12"/>
      <c r="G848" s="12"/>
      <c r="H848" s="12"/>
      <c r="I848" s="12"/>
      <c r="J848" s="194"/>
      <c r="K848" s="194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94"/>
      <c r="C849" s="17"/>
      <c r="D849" s="17"/>
      <c r="E849" s="12"/>
      <c r="F849" s="12"/>
      <c r="G849" s="12"/>
      <c r="H849" s="12"/>
      <c r="I849" s="12"/>
      <c r="J849" s="194"/>
      <c r="K849" s="194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94"/>
      <c r="C850" s="17"/>
      <c r="D850" s="17"/>
      <c r="E850" s="12"/>
      <c r="F850" s="12"/>
      <c r="G850" s="12"/>
      <c r="H850" s="12"/>
      <c r="I850" s="12"/>
      <c r="J850" s="194"/>
      <c r="K850" s="194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94"/>
      <c r="C851" s="17"/>
      <c r="D851" s="17"/>
      <c r="E851" s="12"/>
      <c r="F851" s="12"/>
      <c r="G851" s="12"/>
      <c r="H851" s="12"/>
      <c r="I851" s="12"/>
      <c r="J851" s="194"/>
      <c r="K851" s="194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94"/>
      <c r="C852" s="17"/>
      <c r="D852" s="17"/>
      <c r="E852" s="12"/>
      <c r="F852" s="12"/>
      <c r="G852" s="12"/>
      <c r="H852" s="12"/>
      <c r="I852" s="12"/>
      <c r="J852" s="194"/>
      <c r="K852" s="194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94"/>
      <c r="C853" s="17"/>
      <c r="D853" s="17"/>
      <c r="E853" s="12"/>
      <c r="F853" s="12"/>
      <c r="G853" s="12"/>
      <c r="H853" s="12"/>
      <c r="I853" s="12"/>
      <c r="J853" s="194"/>
      <c r="K853" s="194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94"/>
      <c r="C854" s="17"/>
      <c r="D854" s="17"/>
      <c r="E854" s="12"/>
      <c r="F854" s="12"/>
      <c r="G854" s="12"/>
      <c r="H854" s="12"/>
      <c r="I854" s="12"/>
      <c r="J854" s="194"/>
      <c r="K854" s="194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94"/>
      <c r="C855" s="17"/>
      <c r="D855" s="17"/>
      <c r="E855" s="12"/>
      <c r="F855" s="12"/>
      <c r="G855" s="12"/>
      <c r="H855" s="12"/>
      <c r="I855" s="12"/>
      <c r="J855" s="194"/>
      <c r="K855" s="194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94"/>
      <c r="C856" s="17"/>
      <c r="D856" s="17"/>
      <c r="E856" s="12"/>
      <c r="F856" s="12"/>
      <c r="G856" s="12"/>
      <c r="H856" s="12"/>
      <c r="I856" s="12"/>
      <c r="J856" s="194"/>
      <c r="K856" s="194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94"/>
      <c r="C857" s="17"/>
      <c r="D857" s="17"/>
      <c r="E857" s="12"/>
      <c r="F857" s="12"/>
      <c r="G857" s="12"/>
      <c r="H857" s="12"/>
      <c r="I857" s="12"/>
      <c r="J857" s="194"/>
      <c r="K857" s="194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94"/>
      <c r="C858" s="17"/>
      <c r="D858" s="17"/>
      <c r="E858" s="12"/>
      <c r="F858" s="12"/>
      <c r="G858" s="12"/>
      <c r="H858" s="12"/>
      <c r="I858" s="12"/>
      <c r="J858" s="194"/>
      <c r="K858" s="194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94"/>
      <c r="C859" s="17"/>
      <c r="D859" s="17"/>
      <c r="E859" s="12"/>
      <c r="F859" s="12"/>
      <c r="G859" s="12"/>
      <c r="H859" s="12"/>
      <c r="I859" s="12"/>
      <c r="J859" s="194"/>
      <c r="K859" s="194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94"/>
      <c r="C860" s="17"/>
      <c r="D860" s="17"/>
      <c r="E860" s="12"/>
      <c r="F860" s="12"/>
      <c r="G860" s="12"/>
      <c r="H860" s="12"/>
      <c r="I860" s="12"/>
      <c r="J860" s="194"/>
      <c r="K860" s="194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94"/>
      <c r="C861" s="17"/>
      <c r="D861" s="17"/>
      <c r="E861" s="12"/>
      <c r="F861" s="12"/>
      <c r="G861" s="12"/>
      <c r="H861" s="12"/>
      <c r="I861" s="12"/>
      <c r="J861" s="194"/>
      <c r="K861" s="194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94"/>
      <c r="C862" s="17"/>
      <c r="D862" s="17"/>
      <c r="E862" s="12"/>
      <c r="F862" s="12"/>
      <c r="G862" s="12"/>
      <c r="H862" s="12"/>
      <c r="I862" s="12"/>
      <c r="J862" s="194"/>
      <c r="K862" s="194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94"/>
      <c r="C863" s="17"/>
      <c r="D863" s="17"/>
      <c r="E863" s="12"/>
      <c r="F863" s="12"/>
      <c r="G863" s="12"/>
      <c r="H863" s="12"/>
      <c r="I863" s="12"/>
      <c r="J863" s="194"/>
      <c r="K863" s="194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94"/>
      <c r="C864" s="17"/>
      <c r="D864" s="17"/>
      <c r="E864" s="12"/>
      <c r="F864" s="12"/>
      <c r="G864" s="12"/>
      <c r="H864" s="12"/>
      <c r="I864" s="12"/>
      <c r="J864" s="194"/>
      <c r="K864" s="194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94"/>
      <c r="C865" s="17"/>
      <c r="D865" s="17"/>
      <c r="E865" s="12"/>
      <c r="F865" s="12"/>
      <c r="G865" s="12"/>
      <c r="H865" s="12"/>
      <c r="I865" s="12"/>
      <c r="J865" s="194"/>
      <c r="K865" s="194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94"/>
      <c r="C866" s="17"/>
      <c r="D866" s="17"/>
      <c r="E866" s="12"/>
      <c r="F866" s="12"/>
      <c r="G866" s="12"/>
      <c r="H866" s="12"/>
      <c r="I866" s="12"/>
      <c r="J866" s="194"/>
      <c r="K866" s="194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94"/>
      <c r="C867" s="17"/>
      <c r="D867" s="17"/>
      <c r="E867" s="12"/>
      <c r="F867" s="12"/>
      <c r="G867" s="12"/>
      <c r="H867" s="12"/>
      <c r="I867" s="12"/>
      <c r="J867" s="194"/>
      <c r="K867" s="194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94"/>
      <c r="C868" s="17"/>
      <c r="D868" s="17"/>
      <c r="E868" s="12"/>
      <c r="F868" s="12"/>
      <c r="G868" s="12"/>
      <c r="H868" s="12"/>
      <c r="I868" s="12"/>
      <c r="J868" s="194"/>
      <c r="K868" s="194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94"/>
      <c r="C869" s="17"/>
      <c r="D869" s="17"/>
      <c r="E869" s="12"/>
      <c r="F869" s="12"/>
      <c r="G869" s="12"/>
      <c r="H869" s="12"/>
      <c r="I869" s="12"/>
      <c r="J869" s="194"/>
      <c r="K869" s="194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94"/>
      <c r="C870" s="17"/>
      <c r="D870" s="17"/>
      <c r="E870" s="12"/>
      <c r="F870" s="12"/>
      <c r="G870" s="12"/>
      <c r="H870" s="12"/>
      <c r="I870" s="12"/>
      <c r="J870" s="194"/>
      <c r="K870" s="194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94"/>
      <c r="C871" s="17"/>
      <c r="D871" s="17"/>
      <c r="E871" s="12"/>
      <c r="F871" s="12"/>
      <c r="G871" s="12"/>
      <c r="H871" s="12"/>
      <c r="I871" s="12"/>
      <c r="J871" s="194"/>
      <c r="K871" s="194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94"/>
      <c r="C872" s="17"/>
      <c r="D872" s="17"/>
      <c r="E872" s="12"/>
      <c r="F872" s="12"/>
      <c r="G872" s="12"/>
      <c r="H872" s="12"/>
      <c r="I872" s="12"/>
      <c r="J872" s="194"/>
      <c r="K872" s="194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94"/>
      <c r="C873" s="17"/>
      <c r="D873" s="17"/>
      <c r="E873" s="12"/>
      <c r="F873" s="12"/>
      <c r="G873" s="12"/>
      <c r="H873" s="12"/>
      <c r="I873" s="12"/>
      <c r="J873" s="194"/>
      <c r="K873" s="194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94"/>
      <c r="C874" s="17"/>
      <c r="D874" s="17"/>
      <c r="E874" s="12"/>
      <c r="F874" s="12"/>
      <c r="G874" s="12"/>
      <c r="H874" s="12"/>
      <c r="I874" s="12"/>
      <c r="J874" s="194"/>
      <c r="K874" s="194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94"/>
      <c r="C875" s="17"/>
      <c r="D875" s="17"/>
      <c r="E875" s="12"/>
      <c r="F875" s="12"/>
      <c r="G875" s="12"/>
      <c r="H875" s="12"/>
      <c r="I875" s="12"/>
      <c r="J875" s="194"/>
      <c r="K875" s="194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94"/>
      <c r="C876" s="17"/>
      <c r="D876" s="17"/>
      <c r="E876" s="12"/>
      <c r="F876" s="12"/>
      <c r="G876" s="12"/>
      <c r="H876" s="12"/>
      <c r="I876" s="12"/>
      <c r="J876" s="194"/>
      <c r="K876" s="194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94"/>
      <c r="C877" s="17"/>
      <c r="D877" s="17"/>
      <c r="E877" s="12"/>
      <c r="F877" s="12"/>
      <c r="G877" s="12"/>
      <c r="H877" s="12"/>
      <c r="I877" s="12"/>
      <c r="J877" s="194"/>
      <c r="K877" s="194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94"/>
      <c r="C878" s="17"/>
      <c r="D878" s="17"/>
      <c r="E878" s="12"/>
      <c r="F878" s="12"/>
      <c r="G878" s="12"/>
      <c r="H878" s="12"/>
      <c r="I878" s="12"/>
      <c r="J878" s="194"/>
      <c r="K878" s="194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94"/>
      <c r="C879" s="17"/>
      <c r="D879" s="17"/>
      <c r="E879" s="12"/>
      <c r="F879" s="12"/>
      <c r="G879" s="12"/>
      <c r="H879" s="12"/>
      <c r="I879" s="12"/>
      <c r="J879" s="194"/>
      <c r="K879" s="194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94"/>
      <c r="C880" s="17"/>
      <c r="D880" s="17"/>
      <c r="E880" s="12"/>
      <c r="F880" s="12"/>
      <c r="G880" s="12"/>
      <c r="H880" s="12"/>
      <c r="I880" s="12"/>
      <c r="J880" s="194"/>
      <c r="K880" s="194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94"/>
      <c r="C881" s="17"/>
      <c r="D881" s="17"/>
      <c r="E881" s="12"/>
      <c r="F881" s="12"/>
      <c r="G881" s="12"/>
      <c r="H881" s="12"/>
      <c r="I881" s="12"/>
      <c r="J881" s="194"/>
      <c r="K881" s="194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94"/>
      <c r="C882" s="17"/>
      <c r="D882" s="17"/>
      <c r="E882" s="12"/>
      <c r="F882" s="12"/>
      <c r="G882" s="12"/>
      <c r="H882" s="12"/>
      <c r="I882" s="12"/>
      <c r="J882" s="194"/>
      <c r="K882" s="194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94"/>
      <c r="C883" s="17"/>
      <c r="D883" s="17"/>
      <c r="E883" s="12"/>
      <c r="F883" s="12"/>
      <c r="G883" s="12"/>
      <c r="H883" s="12"/>
      <c r="I883" s="12"/>
      <c r="J883" s="194"/>
      <c r="K883" s="194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94"/>
      <c r="C884" s="17"/>
      <c r="D884" s="17"/>
      <c r="E884" s="12"/>
      <c r="F884" s="12"/>
      <c r="G884" s="12"/>
      <c r="H884" s="12"/>
      <c r="I884" s="12"/>
      <c r="J884" s="194"/>
      <c r="K884" s="194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94"/>
      <c r="C885" s="17"/>
      <c r="D885" s="17"/>
      <c r="E885" s="12"/>
      <c r="F885" s="12"/>
      <c r="G885" s="12"/>
      <c r="H885" s="12"/>
      <c r="I885" s="12"/>
      <c r="J885" s="194"/>
      <c r="K885" s="194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94"/>
      <c r="C886" s="17"/>
      <c r="D886" s="17"/>
      <c r="E886" s="12"/>
      <c r="F886" s="12"/>
      <c r="G886" s="12"/>
      <c r="H886" s="12"/>
      <c r="I886" s="12"/>
      <c r="J886" s="194"/>
      <c r="K886" s="194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94"/>
      <c r="C887" s="17"/>
      <c r="D887" s="17"/>
      <c r="E887" s="12"/>
      <c r="F887" s="12"/>
      <c r="G887" s="12"/>
      <c r="H887" s="12"/>
      <c r="I887" s="12"/>
      <c r="J887" s="194"/>
      <c r="K887" s="194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94"/>
      <c r="C888" s="17"/>
      <c r="D888" s="17"/>
      <c r="E888" s="12"/>
      <c r="F888" s="12"/>
      <c r="G888" s="12"/>
      <c r="H888" s="12"/>
      <c r="I888" s="12"/>
      <c r="J888" s="194"/>
      <c r="K888" s="194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94"/>
      <c r="C889" s="17"/>
      <c r="D889" s="17"/>
      <c r="E889" s="12"/>
      <c r="F889" s="12"/>
      <c r="G889" s="12"/>
      <c r="H889" s="12"/>
      <c r="I889" s="12"/>
      <c r="J889" s="194"/>
      <c r="K889" s="194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94"/>
      <c r="C890" s="17"/>
      <c r="D890" s="17"/>
      <c r="E890" s="12"/>
      <c r="F890" s="12"/>
      <c r="G890" s="12"/>
      <c r="H890" s="12"/>
      <c r="I890" s="12"/>
      <c r="J890" s="194"/>
      <c r="K890" s="194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94"/>
      <c r="C891" s="17"/>
      <c r="D891" s="17"/>
      <c r="E891" s="12"/>
      <c r="F891" s="12"/>
      <c r="G891" s="12"/>
      <c r="H891" s="12"/>
      <c r="I891" s="12"/>
      <c r="J891" s="194"/>
      <c r="K891" s="194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94"/>
      <c r="C892" s="17"/>
      <c r="D892" s="17"/>
      <c r="E892" s="12"/>
      <c r="F892" s="12"/>
      <c r="G892" s="12"/>
      <c r="H892" s="12"/>
      <c r="I892" s="12"/>
      <c r="J892" s="194"/>
      <c r="K892" s="194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94"/>
      <c r="C893" s="17"/>
      <c r="D893" s="17"/>
      <c r="E893" s="12"/>
      <c r="F893" s="12"/>
      <c r="G893" s="12"/>
      <c r="H893" s="12"/>
      <c r="I893" s="12"/>
      <c r="J893" s="194"/>
      <c r="K893" s="194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94"/>
      <c r="C894" s="17"/>
      <c r="D894" s="17"/>
      <c r="E894" s="12"/>
      <c r="F894" s="12"/>
      <c r="G894" s="12"/>
      <c r="H894" s="12"/>
      <c r="I894" s="12"/>
      <c r="J894" s="194"/>
      <c r="K894" s="194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94"/>
      <c r="C895" s="17"/>
      <c r="D895" s="17"/>
      <c r="E895" s="12"/>
      <c r="F895" s="12"/>
      <c r="G895" s="12"/>
      <c r="H895" s="12"/>
      <c r="I895" s="12"/>
      <c r="J895" s="194"/>
      <c r="K895" s="194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94"/>
      <c r="C896" s="17"/>
      <c r="D896" s="17"/>
      <c r="E896" s="12"/>
      <c r="F896" s="12"/>
      <c r="G896" s="12"/>
      <c r="H896" s="12"/>
      <c r="I896" s="12"/>
      <c r="J896" s="194"/>
      <c r="K896" s="194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94"/>
      <c r="C897" s="17"/>
      <c r="D897" s="17"/>
      <c r="E897" s="12"/>
      <c r="F897" s="12"/>
      <c r="G897" s="12"/>
      <c r="H897" s="12"/>
      <c r="I897" s="12"/>
      <c r="J897" s="194"/>
      <c r="K897" s="194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94"/>
      <c r="C898" s="17"/>
      <c r="D898" s="17"/>
      <c r="E898" s="12"/>
      <c r="F898" s="12"/>
      <c r="G898" s="12"/>
      <c r="H898" s="12"/>
      <c r="I898" s="12"/>
      <c r="J898" s="194"/>
      <c r="K898" s="194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94"/>
      <c r="C899" s="17"/>
      <c r="D899" s="17"/>
      <c r="E899" s="12"/>
      <c r="F899" s="12"/>
      <c r="G899" s="12"/>
      <c r="H899" s="12"/>
      <c r="I899" s="12"/>
      <c r="J899" s="194"/>
      <c r="K899" s="194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94"/>
      <c r="C900" s="17"/>
      <c r="D900" s="17"/>
      <c r="E900" s="12"/>
      <c r="F900" s="12"/>
      <c r="G900" s="12"/>
      <c r="H900" s="12"/>
      <c r="I900" s="12"/>
      <c r="J900" s="194"/>
      <c r="K900" s="194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94"/>
      <c r="C901" s="17"/>
      <c r="D901" s="17"/>
      <c r="E901" s="12"/>
      <c r="F901" s="12"/>
      <c r="G901" s="12"/>
      <c r="H901" s="12"/>
      <c r="I901" s="12"/>
      <c r="J901" s="194"/>
      <c r="K901" s="194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94"/>
      <c r="C902" s="17"/>
      <c r="D902" s="17"/>
      <c r="E902" s="12"/>
      <c r="F902" s="12"/>
      <c r="G902" s="12"/>
      <c r="H902" s="12"/>
      <c r="I902" s="12"/>
      <c r="J902" s="194"/>
      <c r="K902" s="194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94"/>
      <c r="C903" s="17"/>
      <c r="D903" s="17"/>
      <c r="E903" s="12"/>
      <c r="F903" s="12"/>
      <c r="G903" s="12"/>
      <c r="H903" s="12"/>
      <c r="I903" s="12"/>
      <c r="J903" s="194"/>
      <c r="K903" s="194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94"/>
      <c r="C904" s="17"/>
      <c r="D904" s="17"/>
      <c r="E904" s="12"/>
      <c r="F904" s="12"/>
      <c r="G904" s="12"/>
      <c r="H904" s="12"/>
      <c r="I904" s="12"/>
      <c r="J904" s="194"/>
      <c r="K904" s="194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94"/>
      <c r="C905" s="17"/>
      <c r="D905" s="17"/>
      <c r="E905" s="12"/>
      <c r="F905" s="12"/>
      <c r="G905" s="12"/>
      <c r="H905" s="12"/>
      <c r="I905" s="12"/>
      <c r="J905" s="194"/>
      <c r="K905" s="194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94"/>
      <c r="C906" s="17"/>
      <c r="D906" s="17"/>
      <c r="E906" s="12"/>
      <c r="F906" s="12"/>
      <c r="G906" s="12"/>
      <c r="H906" s="12"/>
      <c r="I906" s="12"/>
      <c r="J906" s="194"/>
      <c r="K906" s="194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94"/>
      <c r="C907" s="17"/>
      <c r="D907" s="17"/>
      <c r="E907" s="12"/>
      <c r="F907" s="12"/>
      <c r="G907" s="12"/>
      <c r="H907" s="12"/>
      <c r="I907" s="12"/>
      <c r="J907" s="194"/>
      <c r="K907" s="194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94"/>
      <c r="C908" s="17"/>
      <c r="D908" s="17"/>
      <c r="E908" s="12"/>
      <c r="F908" s="12"/>
      <c r="G908" s="12"/>
      <c r="H908" s="12"/>
      <c r="I908" s="12"/>
      <c r="J908" s="194"/>
      <c r="K908" s="194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94"/>
      <c r="C909" s="17"/>
      <c r="D909" s="17"/>
      <c r="E909" s="12"/>
      <c r="F909" s="12"/>
      <c r="G909" s="12"/>
      <c r="H909" s="12"/>
      <c r="I909" s="12"/>
      <c r="J909" s="194"/>
      <c r="K909" s="194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94"/>
      <c r="C910" s="17"/>
      <c r="D910" s="17"/>
      <c r="E910" s="12"/>
      <c r="F910" s="12"/>
      <c r="G910" s="12"/>
      <c r="H910" s="12"/>
      <c r="I910" s="12"/>
      <c r="J910" s="194"/>
      <c r="K910" s="194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94"/>
      <c r="C911" s="17"/>
      <c r="D911" s="17"/>
      <c r="E911" s="12"/>
      <c r="F911" s="12"/>
      <c r="G911" s="12"/>
      <c r="H911" s="12"/>
      <c r="I911" s="12"/>
      <c r="J911" s="194"/>
      <c r="K911" s="194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94"/>
      <c r="C912" s="17"/>
      <c r="D912" s="17"/>
      <c r="E912" s="12"/>
      <c r="F912" s="12"/>
      <c r="G912" s="12"/>
      <c r="H912" s="12"/>
      <c r="I912" s="12"/>
      <c r="J912" s="194"/>
      <c r="K912" s="194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94"/>
      <c r="C913" s="17"/>
      <c r="D913" s="17"/>
      <c r="E913" s="12"/>
      <c r="F913" s="12"/>
      <c r="G913" s="12"/>
      <c r="H913" s="12"/>
      <c r="I913" s="12"/>
      <c r="J913" s="194"/>
      <c r="K913" s="194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94"/>
      <c r="C914" s="17"/>
      <c r="D914" s="17"/>
      <c r="E914" s="12"/>
      <c r="F914" s="12"/>
      <c r="G914" s="12"/>
      <c r="H914" s="12"/>
      <c r="I914" s="12"/>
      <c r="J914" s="194"/>
      <c r="K914" s="194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94"/>
      <c r="C915" s="17"/>
      <c r="D915" s="17"/>
      <c r="E915" s="12"/>
      <c r="F915" s="12"/>
      <c r="G915" s="12"/>
      <c r="H915" s="12"/>
      <c r="I915" s="12"/>
      <c r="J915" s="194"/>
      <c r="K915" s="194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94"/>
      <c r="C916" s="17"/>
      <c r="D916" s="17"/>
      <c r="E916" s="12"/>
      <c r="F916" s="12"/>
      <c r="G916" s="12"/>
      <c r="H916" s="12"/>
      <c r="I916" s="12"/>
      <c r="J916" s="194"/>
      <c r="K916" s="194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94"/>
      <c r="C917" s="17"/>
      <c r="D917" s="17"/>
      <c r="E917" s="12"/>
      <c r="F917" s="12"/>
      <c r="G917" s="12"/>
      <c r="H917" s="12"/>
      <c r="I917" s="12"/>
      <c r="J917" s="194"/>
      <c r="K917" s="194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94"/>
      <c r="C918" s="17"/>
      <c r="D918" s="17"/>
      <c r="E918" s="12"/>
      <c r="F918" s="12"/>
      <c r="G918" s="12"/>
      <c r="H918" s="12"/>
      <c r="I918" s="12"/>
      <c r="J918" s="194"/>
      <c r="K918" s="194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94"/>
      <c r="C919" s="17"/>
      <c r="D919" s="17"/>
      <c r="E919" s="12"/>
      <c r="F919" s="12"/>
      <c r="G919" s="12"/>
      <c r="H919" s="12"/>
      <c r="I919" s="12"/>
      <c r="J919" s="194"/>
      <c r="K919" s="194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94"/>
      <c r="C920" s="17"/>
      <c r="D920" s="17"/>
      <c r="E920" s="12"/>
      <c r="F920" s="12"/>
      <c r="G920" s="12"/>
      <c r="H920" s="12"/>
      <c r="I920" s="12"/>
      <c r="J920" s="194"/>
      <c r="K920" s="194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94"/>
      <c r="C921" s="17"/>
      <c r="D921" s="17"/>
      <c r="E921" s="12"/>
      <c r="F921" s="12"/>
      <c r="G921" s="12"/>
      <c r="H921" s="12"/>
      <c r="I921" s="12"/>
      <c r="J921" s="194"/>
      <c r="K921" s="194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94"/>
      <c r="C922" s="17"/>
      <c r="D922" s="17"/>
      <c r="E922" s="12"/>
      <c r="F922" s="12"/>
      <c r="G922" s="12"/>
      <c r="H922" s="12"/>
      <c r="I922" s="12"/>
      <c r="J922" s="194"/>
      <c r="K922" s="194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94"/>
      <c r="C923" s="17"/>
      <c r="D923" s="17"/>
      <c r="E923" s="12"/>
      <c r="F923" s="12"/>
      <c r="G923" s="12"/>
      <c r="H923" s="12"/>
      <c r="I923" s="12"/>
      <c r="J923" s="194"/>
      <c r="K923" s="194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94"/>
      <c r="C924" s="17"/>
      <c r="D924" s="17"/>
      <c r="E924" s="12"/>
      <c r="F924" s="12"/>
      <c r="G924" s="12"/>
      <c r="H924" s="12"/>
      <c r="I924" s="12"/>
      <c r="J924" s="194"/>
      <c r="K924" s="194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94"/>
      <c r="C925" s="17"/>
      <c r="D925" s="17"/>
      <c r="E925" s="12"/>
      <c r="F925" s="12"/>
      <c r="G925" s="12"/>
      <c r="H925" s="12"/>
      <c r="I925" s="12"/>
      <c r="J925" s="194"/>
      <c r="K925" s="194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94"/>
      <c r="C926" s="17"/>
      <c r="D926" s="17"/>
      <c r="E926" s="12"/>
      <c r="F926" s="12"/>
      <c r="G926" s="12"/>
      <c r="H926" s="12"/>
      <c r="I926" s="12"/>
      <c r="J926" s="194"/>
      <c r="K926" s="194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94"/>
      <c r="C927" s="17"/>
      <c r="D927" s="17"/>
      <c r="E927" s="12"/>
      <c r="F927" s="12"/>
      <c r="G927" s="12"/>
      <c r="H927" s="12"/>
      <c r="I927" s="12"/>
      <c r="J927" s="194"/>
      <c r="K927" s="194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94"/>
      <c r="C928" s="17"/>
      <c r="D928" s="17"/>
      <c r="E928" s="12"/>
      <c r="F928" s="12"/>
      <c r="G928" s="12"/>
      <c r="H928" s="12"/>
      <c r="I928" s="12"/>
      <c r="J928" s="194"/>
      <c r="K928" s="194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94"/>
      <c r="C929" s="17"/>
      <c r="D929" s="17"/>
      <c r="E929" s="12"/>
      <c r="F929" s="12"/>
      <c r="G929" s="12"/>
      <c r="H929" s="12"/>
      <c r="I929" s="12"/>
      <c r="J929" s="194"/>
      <c r="K929" s="194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94"/>
      <c r="C930" s="17"/>
      <c r="D930" s="17"/>
      <c r="E930" s="12"/>
      <c r="F930" s="12"/>
      <c r="G930" s="12"/>
      <c r="H930" s="12"/>
      <c r="I930" s="12"/>
      <c r="J930" s="194"/>
      <c r="K930" s="194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94"/>
      <c r="C931" s="17"/>
      <c r="D931" s="17"/>
      <c r="E931" s="12"/>
      <c r="F931" s="12"/>
      <c r="G931" s="12"/>
      <c r="H931" s="12"/>
      <c r="I931" s="12"/>
      <c r="J931" s="194"/>
      <c r="K931" s="194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94"/>
      <c r="C932" s="17"/>
      <c r="D932" s="17"/>
      <c r="E932" s="12"/>
      <c r="F932" s="12"/>
      <c r="G932" s="12"/>
      <c r="H932" s="12"/>
      <c r="I932" s="12"/>
      <c r="J932" s="194"/>
      <c r="K932" s="194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94"/>
      <c r="C933" s="17"/>
      <c r="D933" s="17"/>
      <c r="E933" s="12"/>
      <c r="F933" s="12"/>
      <c r="G933" s="12"/>
      <c r="H933" s="12"/>
      <c r="I933" s="12"/>
      <c r="J933" s="194"/>
      <c r="K933" s="194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94"/>
      <c r="C934" s="17"/>
      <c r="D934" s="17"/>
      <c r="E934" s="12"/>
      <c r="F934" s="12"/>
      <c r="G934" s="12"/>
      <c r="H934" s="12"/>
      <c r="I934" s="12"/>
      <c r="J934" s="194"/>
      <c r="K934" s="194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94"/>
      <c r="C935" s="17"/>
      <c r="D935" s="17"/>
      <c r="E935" s="12"/>
      <c r="F935" s="12"/>
      <c r="G935" s="12"/>
      <c r="H935" s="12"/>
      <c r="I935" s="12"/>
      <c r="J935" s="194"/>
      <c r="K935" s="194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94"/>
      <c r="C936" s="17"/>
      <c r="D936" s="17"/>
      <c r="E936" s="12"/>
      <c r="F936" s="12"/>
      <c r="G936" s="12"/>
      <c r="H936" s="12"/>
      <c r="I936" s="12"/>
      <c r="J936" s="194"/>
      <c r="K936" s="194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94"/>
      <c r="C937" s="17"/>
      <c r="D937" s="17"/>
      <c r="E937" s="12"/>
      <c r="F937" s="12"/>
      <c r="G937" s="12"/>
      <c r="H937" s="12"/>
      <c r="I937" s="12"/>
      <c r="J937" s="194"/>
      <c r="K937" s="194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94"/>
      <c r="C938" s="17"/>
      <c r="D938" s="17"/>
      <c r="E938" s="12"/>
      <c r="F938" s="12"/>
      <c r="G938" s="12"/>
      <c r="H938" s="12"/>
      <c r="I938" s="12"/>
      <c r="J938" s="194"/>
      <c r="K938" s="194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94"/>
      <c r="C939" s="17"/>
      <c r="D939" s="17"/>
      <c r="E939" s="12"/>
      <c r="F939" s="12"/>
      <c r="G939" s="12"/>
      <c r="H939" s="12"/>
      <c r="I939" s="12"/>
      <c r="J939" s="194"/>
      <c r="K939" s="194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94"/>
      <c r="C940" s="17"/>
      <c r="D940" s="17"/>
      <c r="E940" s="12"/>
      <c r="F940" s="12"/>
      <c r="G940" s="12"/>
      <c r="H940" s="12"/>
      <c r="I940" s="12"/>
      <c r="J940" s="194"/>
      <c r="K940" s="194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94"/>
      <c r="C941" s="17"/>
      <c r="D941" s="17"/>
      <c r="E941" s="12"/>
      <c r="F941" s="12"/>
      <c r="G941" s="12"/>
      <c r="H941" s="12"/>
      <c r="I941" s="12"/>
      <c r="J941" s="194"/>
      <c r="K941" s="194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94"/>
      <c r="C942" s="17"/>
      <c r="D942" s="17"/>
      <c r="E942" s="12"/>
      <c r="F942" s="12"/>
      <c r="G942" s="12"/>
      <c r="H942" s="12"/>
      <c r="I942" s="12"/>
      <c r="J942" s="194"/>
      <c r="K942" s="194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94"/>
      <c r="C943" s="17"/>
      <c r="D943" s="17"/>
      <c r="E943" s="12"/>
      <c r="F943" s="12"/>
      <c r="G943" s="12"/>
      <c r="H943" s="12"/>
      <c r="I943" s="12"/>
      <c r="J943" s="194"/>
      <c r="K943" s="194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94"/>
      <c r="C944" s="17"/>
      <c r="D944" s="17"/>
      <c r="E944" s="12"/>
      <c r="F944" s="12"/>
      <c r="G944" s="12"/>
      <c r="H944" s="12"/>
      <c r="I944" s="12"/>
      <c r="J944" s="194"/>
      <c r="K944" s="194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94"/>
      <c r="C945" s="17"/>
      <c r="D945" s="17"/>
      <c r="E945" s="12"/>
      <c r="F945" s="12"/>
      <c r="G945" s="12"/>
      <c r="H945" s="12"/>
      <c r="I945" s="12"/>
      <c r="J945" s="194"/>
      <c r="K945" s="194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94"/>
      <c r="C946" s="17"/>
      <c r="D946" s="17"/>
      <c r="E946" s="12"/>
      <c r="F946" s="12"/>
      <c r="G946" s="12"/>
      <c r="H946" s="12"/>
      <c r="I946" s="12"/>
      <c r="J946" s="194"/>
      <c r="K946" s="194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94"/>
      <c r="C947" s="17"/>
      <c r="D947" s="17"/>
      <c r="E947" s="12"/>
      <c r="F947" s="12"/>
      <c r="G947" s="12"/>
      <c r="H947" s="12"/>
      <c r="I947" s="12"/>
      <c r="J947" s="194"/>
      <c r="K947" s="194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94"/>
      <c r="C948" s="17"/>
      <c r="D948" s="17"/>
      <c r="E948" s="12"/>
      <c r="F948" s="12"/>
      <c r="G948" s="12"/>
      <c r="H948" s="12"/>
      <c r="I948" s="12"/>
      <c r="J948" s="194"/>
      <c r="K948" s="194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94"/>
      <c r="C949" s="17"/>
      <c r="D949" s="17"/>
      <c r="E949" s="12"/>
      <c r="F949" s="12"/>
      <c r="G949" s="12"/>
      <c r="H949" s="12"/>
      <c r="I949" s="12"/>
      <c r="J949" s="194"/>
      <c r="K949" s="194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94"/>
      <c r="C950" s="17"/>
      <c r="D950" s="17"/>
      <c r="E950" s="12"/>
      <c r="F950" s="12"/>
      <c r="G950" s="12"/>
      <c r="H950" s="12"/>
      <c r="I950" s="12"/>
      <c r="J950" s="194"/>
      <c r="K950" s="194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94"/>
      <c r="C951" s="17"/>
      <c r="D951" s="17"/>
      <c r="E951" s="12"/>
      <c r="F951" s="12"/>
      <c r="G951" s="12"/>
      <c r="H951" s="12"/>
      <c r="I951" s="12"/>
      <c r="J951" s="194"/>
      <c r="K951" s="194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94"/>
      <c r="C952" s="17"/>
      <c r="D952" s="17"/>
      <c r="E952" s="12"/>
      <c r="F952" s="12"/>
      <c r="G952" s="12"/>
      <c r="H952" s="12"/>
      <c r="I952" s="12"/>
      <c r="J952" s="194"/>
      <c r="K952" s="194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94"/>
      <c r="C953" s="17"/>
      <c r="D953" s="17"/>
      <c r="E953" s="12"/>
      <c r="F953" s="12"/>
      <c r="G953" s="12"/>
      <c r="H953" s="12"/>
      <c r="I953" s="12"/>
      <c r="J953" s="194"/>
      <c r="K953" s="194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94"/>
      <c r="C954" s="17"/>
      <c r="D954" s="17"/>
      <c r="E954" s="12"/>
      <c r="F954" s="12"/>
      <c r="G954" s="12"/>
      <c r="H954" s="12"/>
      <c r="I954" s="12"/>
      <c r="J954" s="194"/>
      <c r="K954" s="194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94"/>
      <c r="C955" s="17"/>
      <c r="D955" s="17"/>
      <c r="E955" s="12"/>
      <c r="F955" s="12"/>
      <c r="G955" s="12"/>
      <c r="H955" s="12"/>
      <c r="I955" s="12"/>
      <c r="J955" s="194"/>
      <c r="K955" s="194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94"/>
      <c r="C956" s="17"/>
      <c r="D956" s="17"/>
      <c r="E956" s="12"/>
      <c r="F956" s="12"/>
      <c r="G956" s="12"/>
      <c r="H956" s="12"/>
      <c r="I956" s="12"/>
      <c r="J956" s="194"/>
      <c r="K956" s="194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94"/>
      <c r="C957" s="17"/>
      <c r="D957" s="17"/>
      <c r="E957" s="12"/>
      <c r="F957" s="12"/>
      <c r="G957" s="12"/>
      <c r="H957" s="12"/>
      <c r="I957" s="12"/>
      <c r="J957" s="194"/>
      <c r="K957" s="194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94"/>
      <c r="C958" s="17"/>
      <c r="D958" s="17"/>
      <c r="E958" s="12"/>
      <c r="F958" s="12"/>
      <c r="G958" s="12"/>
      <c r="H958" s="12"/>
      <c r="I958" s="12"/>
      <c r="J958" s="194"/>
      <c r="K958" s="194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94"/>
      <c r="C959" s="17"/>
      <c r="D959" s="17"/>
      <c r="E959" s="12"/>
      <c r="F959" s="12"/>
      <c r="G959" s="12"/>
      <c r="H959" s="12"/>
      <c r="I959" s="12"/>
      <c r="J959" s="194"/>
      <c r="K959" s="194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94"/>
      <c r="C960" s="17"/>
      <c r="D960" s="17"/>
      <c r="E960" s="12"/>
      <c r="F960" s="12"/>
      <c r="G960" s="12"/>
      <c r="H960" s="12"/>
      <c r="I960" s="12"/>
      <c r="J960" s="194"/>
      <c r="K960" s="194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94"/>
      <c r="C961" s="17"/>
      <c r="D961" s="17"/>
      <c r="E961" s="12"/>
      <c r="F961" s="12"/>
      <c r="G961" s="12"/>
      <c r="H961" s="12"/>
      <c r="I961" s="12"/>
      <c r="J961" s="194"/>
      <c r="K961" s="194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94"/>
      <c r="C962" s="17"/>
      <c r="D962" s="17"/>
      <c r="E962" s="12"/>
      <c r="F962" s="12"/>
      <c r="G962" s="12"/>
      <c r="H962" s="12"/>
      <c r="I962" s="12"/>
      <c r="J962" s="194"/>
      <c r="K962" s="194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94"/>
      <c r="C963" s="17"/>
      <c r="D963" s="17"/>
      <c r="E963" s="12"/>
      <c r="F963" s="12"/>
      <c r="G963" s="12"/>
      <c r="H963" s="12"/>
      <c r="I963" s="12"/>
      <c r="J963" s="194"/>
      <c r="K963" s="194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94"/>
      <c r="C964" s="17"/>
      <c r="D964" s="17"/>
      <c r="E964" s="12"/>
      <c r="F964" s="12"/>
      <c r="G964" s="12"/>
      <c r="H964" s="12"/>
      <c r="I964" s="12"/>
      <c r="J964" s="194"/>
      <c r="K964" s="194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94"/>
      <c r="C965" s="17"/>
      <c r="D965" s="17"/>
      <c r="E965" s="12"/>
      <c r="F965" s="12"/>
      <c r="G965" s="12"/>
      <c r="H965" s="12"/>
      <c r="I965" s="12"/>
      <c r="J965" s="194"/>
      <c r="K965" s="194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94"/>
      <c r="C966" s="17"/>
      <c r="D966" s="17"/>
      <c r="E966" s="12"/>
      <c r="F966" s="12"/>
      <c r="G966" s="12"/>
      <c r="H966" s="12"/>
      <c r="I966" s="12"/>
      <c r="J966" s="194"/>
      <c r="K966" s="194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94"/>
      <c r="C967" s="17"/>
      <c r="D967" s="17"/>
      <c r="E967" s="12"/>
      <c r="F967" s="12"/>
      <c r="G967" s="12"/>
      <c r="H967" s="12"/>
      <c r="I967" s="12"/>
      <c r="J967" s="194"/>
      <c r="K967" s="194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94"/>
      <c r="C968" s="17"/>
      <c r="D968" s="17"/>
      <c r="E968" s="12"/>
      <c r="F968" s="12"/>
      <c r="G968" s="12"/>
      <c r="H968" s="12"/>
      <c r="I968" s="12"/>
      <c r="J968" s="194"/>
      <c r="K968" s="194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94"/>
      <c r="C969" s="17"/>
      <c r="D969" s="17"/>
      <c r="E969" s="12"/>
      <c r="F969" s="12"/>
      <c r="G969" s="12"/>
      <c r="H969" s="12"/>
      <c r="I969" s="12"/>
      <c r="J969" s="194"/>
      <c r="K969" s="194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94"/>
      <c r="C970" s="17"/>
      <c r="D970" s="17"/>
      <c r="E970" s="12"/>
      <c r="F970" s="12"/>
      <c r="G970" s="12"/>
      <c r="H970" s="12"/>
      <c r="I970" s="12"/>
      <c r="J970" s="194"/>
      <c r="K970" s="194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94"/>
      <c r="C971" s="17"/>
      <c r="D971" s="17"/>
      <c r="E971" s="12"/>
      <c r="F971" s="12"/>
      <c r="G971" s="12"/>
      <c r="H971" s="12"/>
      <c r="I971" s="12"/>
      <c r="J971" s="194"/>
      <c r="K971" s="194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94"/>
      <c r="C972" s="17"/>
      <c r="D972" s="17"/>
      <c r="E972" s="12"/>
      <c r="F972" s="12"/>
      <c r="G972" s="12"/>
      <c r="H972" s="12"/>
      <c r="I972" s="12"/>
      <c r="J972" s="194"/>
      <c r="K972" s="194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94"/>
      <c r="C973" s="17"/>
      <c r="D973" s="17"/>
      <c r="E973" s="12"/>
      <c r="F973" s="12"/>
      <c r="G973" s="12"/>
      <c r="H973" s="12"/>
      <c r="I973" s="12"/>
      <c r="J973" s="194"/>
      <c r="K973" s="194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94"/>
      <c r="C974" s="17"/>
      <c r="D974" s="17"/>
      <c r="E974" s="12"/>
      <c r="F974" s="12"/>
      <c r="G974" s="12"/>
      <c r="H974" s="12"/>
      <c r="I974" s="12"/>
      <c r="J974" s="194"/>
      <c r="K974" s="194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94"/>
      <c r="C975" s="17"/>
      <c r="D975" s="17"/>
      <c r="E975" s="12"/>
      <c r="F975" s="12"/>
      <c r="G975" s="12"/>
      <c r="H975" s="12"/>
      <c r="I975" s="12"/>
      <c r="J975" s="194"/>
      <c r="K975" s="194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94"/>
      <c r="C976" s="17"/>
      <c r="D976" s="17"/>
      <c r="E976" s="12"/>
      <c r="F976" s="12"/>
      <c r="G976" s="12"/>
      <c r="H976" s="12"/>
      <c r="I976" s="12"/>
      <c r="J976" s="194"/>
      <c r="K976" s="194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94"/>
      <c r="C977" s="17"/>
      <c r="D977" s="17"/>
      <c r="E977" s="12"/>
      <c r="F977" s="12"/>
      <c r="G977" s="12"/>
      <c r="H977" s="12"/>
      <c r="I977" s="12"/>
      <c r="J977" s="194"/>
      <c r="K977" s="194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94"/>
      <c r="C978" s="17"/>
      <c r="D978" s="17"/>
      <c r="E978" s="12"/>
      <c r="F978" s="12"/>
      <c r="G978" s="12"/>
      <c r="H978" s="12"/>
      <c r="I978" s="12"/>
      <c r="J978" s="194"/>
      <c r="K978" s="194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94"/>
      <c r="C979" s="17"/>
      <c r="D979" s="17"/>
      <c r="E979" s="12"/>
      <c r="F979" s="12"/>
      <c r="G979" s="12"/>
      <c r="H979" s="12"/>
      <c r="I979" s="12"/>
      <c r="J979" s="194"/>
      <c r="K979" s="194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94"/>
      <c r="C980" s="17"/>
      <c r="D980" s="17"/>
      <c r="E980" s="12"/>
      <c r="F980" s="12"/>
      <c r="G980" s="12"/>
      <c r="H980" s="12"/>
      <c r="I980" s="12"/>
      <c r="J980" s="194"/>
      <c r="K980" s="194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94"/>
      <c r="C981" s="17"/>
      <c r="D981" s="17"/>
      <c r="E981" s="12"/>
      <c r="F981" s="12"/>
      <c r="G981" s="12"/>
      <c r="H981" s="12"/>
      <c r="I981" s="12"/>
      <c r="J981" s="194"/>
      <c r="K981" s="194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94"/>
      <c r="C982" s="17"/>
      <c r="D982" s="17"/>
      <c r="E982" s="12"/>
      <c r="F982" s="12"/>
      <c r="G982" s="12"/>
      <c r="H982" s="12"/>
      <c r="I982" s="12"/>
      <c r="J982" s="194"/>
      <c r="K982" s="194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94"/>
      <c r="C983" s="17"/>
      <c r="D983" s="17"/>
      <c r="E983" s="12"/>
      <c r="F983" s="12"/>
      <c r="G983" s="12"/>
      <c r="H983" s="12"/>
      <c r="I983" s="12"/>
      <c r="J983" s="194"/>
      <c r="K983" s="194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94"/>
      <c r="C984" s="17"/>
      <c r="D984" s="17"/>
      <c r="E984" s="12"/>
      <c r="F984" s="12"/>
      <c r="G984" s="12"/>
      <c r="H984" s="12"/>
      <c r="I984" s="12"/>
      <c r="J984" s="194"/>
      <c r="K984" s="194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94"/>
      <c r="C985" s="17"/>
      <c r="D985" s="17"/>
      <c r="E985" s="12"/>
      <c r="F985" s="12"/>
      <c r="G985" s="12"/>
      <c r="H985" s="12"/>
      <c r="I985" s="12"/>
      <c r="J985" s="194"/>
      <c r="K985" s="194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94"/>
      <c r="C986" s="17"/>
      <c r="D986" s="17"/>
      <c r="E986" s="12"/>
      <c r="F986" s="12"/>
      <c r="G986" s="12"/>
      <c r="H986" s="12"/>
      <c r="I986" s="12"/>
      <c r="J986" s="194"/>
      <c r="K986" s="194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94"/>
      <c r="C987" s="17"/>
      <c r="D987" s="17"/>
      <c r="E987" s="12"/>
      <c r="F987" s="12"/>
      <c r="G987" s="12"/>
      <c r="H987" s="12"/>
      <c r="I987" s="12"/>
      <c r="J987" s="194"/>
      <c r="K987" s="194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94"/>
      <c r="C988" s="17"/>
      <c r="D988" s="17"/>
      <c r="E988" s="12"/>
      <c r="F988" s="12"/>
      <c r="G988" s="12"/>
      <c r="H988" s="12"/>
      <c r="I988" s="12"/>
      <c r="J988" s="194"/>
      <c r="K988" s="194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94"/>
      <c r="C989" s="17"/>
      <c r="D989" s="17"/>
      <c r="E989" s="12"/>
      <c r="F989" s="12"/>
      <c r="G989" s="12"/>
      <c r="H989" s="12"/>
      <c r="I989" s="12"/>
      <c r="J989" s="194"/>
      <c r="K989" s="194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94"/>
      <c r="C990" s="17"/>
      <c r="D990" s="17"/>
      <c r="E990" s="12"/>
      <c r="F990" s="12"/>
      <c r="G990" s="12"/>
      <c r="H990" s="12"/>
      <c r="I990" s="12"/>
      <c r="J990" s="194"/>
      <c r="K990" s="194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94"/>
      <c r="C991" s="17"/>
      <c r="D991" s="17"/>
      <c r="E991" s="12"/>
      <c r="F991" s="12"/>
      <c r="G991" s="12"/>
      <c r="H991" s="12"/>
      <c r="I991" s="12"/>
      <c r="J991" s="194"/>
      <c r="K991" s="194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2"/>
      <c r="B992" s="194"/>
      <c r="C992" s="17"/>
      <c r="D992" s="17"/>
      <c r="E992" s="12"/>
      <c r="F992" s="12"/>
      <c r="G992" s="12"/>
      <c r="H992" s="12"/>
      <c r="I992" s="12"/>
      <c r="J992" s="194"/>
      <c r="K992" s="194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2"/>
      <c r="B993" s="194"/>
      <c r="C993" s="17"/>
      <c r="D993" s="17"/>
      <c r="E993" s="12"/>
      <c r="F993" s="12"/>
      <c r="G993" s="12"/>
      <c r="H993" s="12"/>
      <c r="I993" s="12"/>
      <c r="J993" s="194"/>
      <c r="K993" s="194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2"/>
      <c r="B994" s="194"/>
      <c r="C994" s="17"/>
      <c r="D994" s="17"/>
      <c r="E994" s="12"/>
      <c r="F994" s="12"/>
      <c r="G994" s="12"/>
      <c r="H994" s="12"/>
      <c r="I994" s="12"/>
      <c r="J994" s="194"/>
      <c r="K994" s="194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2"/>
      <c r="B995" s="194"/>
      <c r="C995" s="17"/>
      <c r="D995" s="17"/>
      <c r="E995" s="12"/>
      <c r="F995" s="12"/>
      <c r="G995" s="12"/>
      <c r="H995" s="12"/>
      <c r="I995" s="12"/>
      <c r="J995" s="194"/>
      <c r="K995" s="194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2"/>
      <c r="B996" s="194"/>
      <c r="C996" s="17"/>
      <c r="D996" s="17"/>
      <c r="E996" s="12"/>
      <c r="F996" s="12"/>
      <c r="G996" s="12"/>
      <c r="H996" s="12"/>
      <c r="I996" s="12"/>
      <c r="J996" s="194"/>
      <c r="K996" s="194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2"/>
      <c r="B997" s="194"/>
      <c r="C997" s="17"/>
      <c r="D997" s="17"/>
      <c r="E997" s="12"/>
      <c r="F997" s="12"/>
      <c r="G997" s="12"/>
      <c r="H997" s="12"/>
      <c r="I997" s="12"/>
      <c r="J997" s="194"/>
      <c r="K997" s="194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2"/>
      <c r="B998" s="194"/>
      <c r="C998" s="17"/>
      <c r="D998" s="17"/>
      <c r="E998" s="12"/>
      <c r="F998" s="12"/>
      <c r="G998" s="12"/>
      <c r="H998" s="12"/>
      <c r="I998" s="12"/>
      <c r="J998" s="194"/>
      <c r="K998" s="194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2"/>
      <c r="B999" s="194"/>
      <c r="C999" s="17"/>
      <c r="D999" s="17"/>
      <c r="E999" s="12"/>
      <c r="F999" s="12"/>
      <c r="G999" s="12"/>
      <c r="H999" s="12"/>
      <c r="I999" s="12"/>
      <c r="J999" s="194"/>
      <c r="K999" s="194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2"/>
      <c r="B1000" s="194"/>
      <c r="C1000" s="17"/>
      <c r="D1000" s="17"/>
      <c r="E1000" s="12"/>
      <c r="F1000" s="12"/>
      <c r="G1000" s="12"/>
      <c r="H1000" s="12"/>
      <c r="I1000" s="12"/>
      <c r="J1000" s="194"/>
      <c r="K1000" s="194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>
      <c r="A1001" s="12"/>
      <c r="B1001" s="194"/>
      <c r="C1001" s="17"/>
      <c r="D1001" s="17"/>
      <c r="E1001" s="12"/>
      <c r="F1001" s="12"/>
      <c r="G1001" s="12"/>
      <c r="H1001" s="12"/>
      <c r="I1001" s="12"/>
      <c r="J1001" s="194"/>
      <c r="K1001" s="194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>
      <c r="A1002" s="12"/>
      <c r="B1002" s="194"/>
      <c r="C1002" s="17"/>
      <c r="D1002" s="17"/>
      <c r="E1002" s="12"/>
      <c r="F1002" s="12"/>
      <c r="G1002" s="12"/>
      <c r="H1002" s="12"/>
      <c r="I1002" s="12"/>
      <c r="J1002" s="194"/>
      <c r="K1002" s="194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>
      <c r="A1003" s="12"/>
      <c r="B1003" s="194"/>
      <c r="C1003" s="17"/>
      <c r="D1003" s="17"/>
      <c r="E1003" s="12"/>
      <c r="F1003" s="12"/>
      <c r="G1003" s="12"/>
      <c r="H1003" s="12"/>
      <c r="I1003" s="12"/>
      <c r="J1003" s="194"/>
      <c r="K1003" s="194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>
      <c r="A1004" s="12"/>
      <c r="B1004" s="194"/>
      <c r="C1004" s="17"/>
      <c r="D1004" s="17"/>
      <c r="E1004" s="12"/>
      <c r="F1004" s="12"/>
      <c r="G1004" s="12"/>
      <c r="H1004" s="12"/>
      <c r="I1004" s="12"/>
      <c r="J1004" s="194"/>
      <c r="K1004" s="194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>
      <c r="A1005" s="12"/>
      <c r="B1005" s="194"/>
      <c r="C1005" s="17"/>
      <c r="D1005" s="17"/>
      <c r="E1005" s="12"/>
      <c r="F1005" s="12"/>
      <c r="G1005" s="12"/>
      <c r="H1005" s="12"/>
      <c r="I1005" s="12"/>
      <c r="J1005" s="194"/>
      <c r="K1005" s="194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>
      <c r="A1006" s="12"/>
      <c r="B1006" s="194"/>
      <c r="C1006" s="17"/>
      <c r="D1006" s="17"/>
      <c r="E1006" s="12"/>
      <c r="F1006" s="12"/>
      <c r="G1006" s="12"/>
      <c r="H1006" s="12"/>
      <c r="I1006" s="12"/>
      <c r="J1006" s="194"/>
      <c r="K1006" s="194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>
      <c r="A1007" s="12"/>
      <c r="B1007" s="194"/>
      <c r="C1007" s="17"/>
      <c r="D1007" s="17"/>
      <c r="E1007" s="12"/>
      <c r="F1007" s="12"/>
      <c r="G1007" s="12"/>
      <c r="H1007" s="12"/>
      <c r="I1007" s="12"/>
      <c r="J1007" s="194"/>
      <c r="K1007" s="194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>
      <c r="A1008" s="12"/>
      <c r="B1008" s="194"/>
      <c r="C1008" s="17"/>
      <c r="D1008" s="17"/>
      <c r="E1008" s="12"/>
      <c r="F1008" s="12"/>
      <c r="G1008" s="12"/>
      <c r="H1008" s="12"/>
      <c r="I1008" s="12"/>
      <c r="J1008" s="194"/>
      <c r="K1008" s="194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>
      <c r="A1009" s="12"/>
      <c r="B1009" s="194"/>
      <c r="C1009" s="17"/>
      <c r="D1009" s="17"/>
      <c r="E1009" s="12"/>
      <c r="F1009" s="12"/>
      <c r="G1009" s="12"/>
      <c r="H1009" s="12"/>
      <c r="I1009" s="12"/>
      <c r="J1009" s="194"/>
      <c r="K1009" s="194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>
      <c r="A1010" s="12"/>
      <c r="B1010" s="194"/>
      <c r="C1010" s="17"/>
      <c r="D1010" s="17"/>
      <c r="E1010" s="12"/>
      <c r="F1010" s="12"/>
      <c r="G1010" s="12"/>
      <c r="H1010" s="12"/>
      <c r="I1010" s="12"/>
      <c r="J1010" s="194"/>
      <c r="K1010" s="194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>
      <c r="A1011" s="12"/>
      <c r="B1011" s="194"/>
      <c r="C1011" s="17"/>
      <c r="D1011" s="17"/>
      <c r="E1011" s="12"/>
      <c r="F1011" s="12"/>
      <c r="G1011" s="12"/>
      <c r="H1011" s="12"/>
      <c r="I1011" s="12"/>
      <c r="J1011" s="194"/>
      <c r="K1011" s="194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>
      <c r="A1012" s="12"/>
      <c r="B1012" s="194"/>
      <c r="C1012" s="17"/>
      <c r="D1012" s="17"/>
      <c r="E1012" s="12"/>
      <c r="F1012" s="12"/>
      <c r="G1012" s="12"/>
      <c r="H1012" s="12"/>
      <c r="I1012" s="12"/>
      <c r="J1012" s="194"/>
      <c r="K1012" s="194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>
      <c r="A1013" s="12"/>
      <c r="B1013" s="194"/>
      <c r="C1013" s="17"/>
      <c r="D1013" s="17"/>
      <c r="E1013" s="12"/>
      <c r="F1013" s="12"/>
      <c r="G1013" s="12"/>
      <c r="H1013" s="12"/>
      <c r="I1013" s="12"/>
      <c r="J1013" s="194"/>
      <c r="K1013" s="194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>
      <c r="A1014" s="12"/>
      <c r="B1014" s="194"/>
      <c r="C1014" s="17"/>
      <c r="D1014" s="17"/>
      <c r="E1014" s="12"/>
      <c r="F1014" s="12"/>
      <c r="G1014" s="12"/>
      <c r="H1014" s="12"/>
      <c r="I1014" s="12"/>
      <c r="J1014" s="194"/>
      <c r="K1014" s="194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>
      <c r="A1015" s="12"/>
      <c r="B1015" s="194"/>
      <c r="C1015" s="17"/>
      <c r="D1015" s="17"/>
      <c r="E1015" s="12"/>
      <c r="F1015" s="12"/>
      <c r="G1015" s="12"/>
      <c r="H1015" s="12"/>
      <c r="I1015" s="12"/>
      <c r="J1015" s="194"/>
      <c r="K1015" s="194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>
      <c r="A1016" s="12"/>
      <c r="B1016" s="194"/>
      <c r="C1016" s="17"/>
      <c r="D1016" s="17"/>
      <c r="E1016" s="12"/>
      <c r="F1016" s="12"/>
      <c r="G1016" s="12"/>
      <c r="H1016" s="12"/>
      <c r="I1016" s="12"/>
      <c r="J1016" s="194"/>
      <c r="K1016" s="194"/>
      <c r="L1016" s="12"/>
      <c r="M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>
      <c r="A1017" s="12"/>
      <c r="B1017" s="194"/>
      <c r="C1017" s="17"/>
      <c r="D1017" s="17"/>
      <c r="E1017" s="12"/>
      <c r="F1017" s="12"/>
      <c r="G1017" s="12"/>
      <c r="H1017" s="12"/>
      <c r="I1017" s="12"/>
      <c r="J1017" s="194"/>
      <c r="K1017" s="194"/>
      <c r="L1017" s="12"/>
      <c r="M1017" s="12"/>
      <c r="N1017" s="27"/>
      <c r="O1017" s="13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>
      <c r="A1018" s="12"/>
      <c r="B1018" s="194"/>
      <c r="C1018" s="17"/>
      <c r="D1018" s="17"/>
      <c r="E1018" s="12"/>
      <c r="F1018" s="12"/>
      <c r="G1018" s="12"/>
      <c r="H1018" s="12"/>
      <c r="I1018" s="12"/>
      <c r="J1018" s="194"/>
      <c r="K1018" s="194"/>
      <c r="L1018" s="12"/>
      <c r="M1018" s="12"/>
      <c r="N1018" s="27"/>
      <c r="O1018" s="13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>
      <c r="A1019" s="12"/>
      <c r="B1019" s="194"/>
      <c r="C1019" s="17"/>
      <c r="D1019" s="17"/>
      <c r="E1019" s="12"/>
      <c r="F1019" s="12"/>
      <c r="G1019" s="12"/>
      <c r="H1019" s="12"/>
      <c r="I1019" s="12"/>
      <c r="J1019" s="194"/>
      <c r="K1019" s="194"/>
      <c r="L1019" s="12"/>
      <c r="M1019" s="12"/>
      <c r="N1019" s="199"/>
      <c r="O1019" s="13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>
      <c r="A1020" s="12"/>
      <c r="B1020" s="194"/>
      <c r="C1020" s="17"/>
      <c r="D1020" s="17"/>
      <c r="E1020" s="12"/>
      <c r="F1020" s="12"/>
      <c r="G1020" s="12"/>
      <c r="H1020" s="12"/>
      <c r="I1020" s="12"/>
      <c r="J1020" s="194"/>
      <c r="K1020" s="194"/>
      <c r="L1020" s="12"/>
      <c r="M1020" s="12"/>
      <c r="N1020" s="27"/>
      <c r="O1020" s="13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>
      <c r="A1021" s="12"/>
      <c r="B1021" s="194"/>
      <c r="C1021" s="17"/>
      <c r="D1021" s="17"/>
      <c r="E1021" s="12"/>
      <c r="F1021" s="12"/>
      <c r="G1021" s="12"/>
      <c r="H1021" s="12"/>
      <c r="I1021" s="12"/>
      <c r="J1021" s="194"/>
      <c r="K1021" s="194"/>
      <c r="L1021" s="12"/>
      <c r="M1021" s="12"/>
      <c r="N1021" s="27"/>
      <c r="O1021" s="13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>
      <c r="A1022" s="12"/>
      <c r="B1022" s="194"/>
      <c r="C1022" s="17"/>
      <c r="D1022" s="17"/>
      <c r="E1022" s="12"/>
      <c r="F1022" s="12"/>
      <c r="G1022" s="12"/>
      <c r="H1022" s="12"/>
      <c r="I1022" s="12"/>
      <c r="J1022" s="194"/>
      <c r="K1022" s="194"/>
      <c r="L1022" s="12"/>
      <c r="M1022" s="12"/>
      <c r="N1022" s="27"/>
      <c r="O1022" s="13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>
      <c r="A1023" s="12"/>
      <c r="B1023" s="194"/>
      <c r="C1023" s="17"/>
      <c r="D1023" s="17"/>
      <c r="E1023" s="12"/>
      <c r="F1023" s="12"/>
      <c r="G1023" s="12"/>
      <c r="H1023" s="12"/>
      <c r="I1023" s="12"/>
      <c r="J1023" s="194"/>
      <c r="K1023" s="194"/>
      <c r="L1023" s="12"/>
      <c r="M1023" s="12"/>
      <c r="N1023" s="27"/>
      <c r="O1023" s="13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>
      <c r="A1024" s="12"/>
      <c r="B1024" s="194"/>
      <c r="C1024" s="17"/>
      <c r="D1024" s="17"/>
      <c r="E1024" s="12"/>
      <c r="F1024" s="12"/>
      <c r="G1024" s="12"/>
      <c r="H1024" s="12"/>
      <c r="I1024" s="12"/>
      <c r="J1024" s="194"/>
      <c r="K1024" s="194"/>
      <c r="L1024" s="12"/>
      <c r="M1024" s="12"/>
      <c r="N1024" s="27"/>
      <c r="O1024" s="13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>
      <c r="A1025" s="12"/>
      <c r="B1025" s="194"/>
      <c r="C1025" s="17"/>
      <c r="D1025" s="17"/>
      <c r="E1025" s="12"/>
      <c r="F1025" s="12"/>
      <c r="G1025" s="12"/>
      <c r="H1025" s="12"/>
      <c r="I1025" s="12"/>
      <c r="J1025" s="194"/>
      <c r="K1025" s="194"/>
      <c r="L1025" s="12"/>
      <c r="M1025" s="12"/>
      <c r="N1025" s="27"/>
      <c r="O1025" s="13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>
      <c r="A1026" s="12"/>
      <c r="B1026" s="194"/>
      <c r="C1026" s="17"/>
      <c r="D1026" s="17"/>
      <c r="E1026" s="12"/>
      <c r="F1026" s="12"/>
      <c r="G1026" s="12"/>
      <c r="H1026" s="12"/>
      <c r="I1026" s="12"/>
      <c r="J1026" s="194"/>
      <c r="K1026" s="194"/>
      <c r="L1026" s="12"/>
      <c r="M1026" s="12"/>
      <c r="N1026" s="11"/>
      <c r="O1026" s="11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>
      <c r="A1027" s="12"/>
      <c r="B1027" s="194"/>
      <c r="C1027" s="17"/>
      <c r="D1027" s="17"/>
      <c r="E1027" s="12"/>
      <c r="F1027" s="12"/>
      <c r="G1027" s="12"/>
      <c r="H1027" s="12"/>
      <c r="I1027" s="12"/>
      <c r="J1027" s="194"/>
      <c r="K1027" s="194"/>
      <c r="L1027" s="12"/>
      <c r="M1027" s="12"/>
      <c r="N1027" s="11"/>
      <c r="O1027" s="11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>
      <c r="A1028" s="12"/>
      <c r="B1028" s="194"/>
      <c r="C1028" s="17"/>
      <c r="D1028" s="17"/>
      <c r="E1028" s="12"/>
      <c r="F1028" s="12"/>
      <c r="G1028" s="12"/>
      <c r="H1028" s="12"/>
      <c r="I1028" s="12"/>
      <c r="J1028" s="194"/>
      <c r="K1028" s="194"/>
      <c r="L1028" s="12"/>
      <c r="M1028" s="12"/>
      <c r="N1028" s="11"/>
      <c r="O1028" s="11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>
      <c r="A1029" s="12"/>
      <c r="B1029" s="194"/>
      <c r="C1029" s="17"/>
      <c r="D1029" s="17"/>
      <c r="E1029" s="12"/>
      <c r="F1029" s="12"/>
      <c r="G1029" s="12"/>
      <c r="H1029" s="12"/>
      <c r="I1029" s="12"/>
      <c r="J1029" s="194"/>
      <c r="K1029" s="194"/>
      <c r="L1029" s="12"/>
      <c r="M1029" s="12"/>
      <c r="N1029" s="11"/>
      <c r="O1029" s="11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>
      <c r="A1030" s="12"/>
      <c r="B1030" s="194"/>
      <c r="C1030" s="17"/>
      <c r="D1030" s="17"/>
      <c r="E1030" s="12"/>
      <c r="F1030" s="12"/>
      <c r="G1030" s="12"/>
      <c r="H1030" s="12"/>
      <c r="I1030" s="12"/>
      <c r="J1030" s="194"/>
      <c r="K1030" s="194"/>
      <c r="L1030" s="12"/>
      <c r="M1030" s="12"/>
      <c r="N1030" s="11"/>
      <c r="O1030" s="11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>
      <c r="A1031" s="12"/>
      <c r="B1031" s="194"/>
      <c r="C1031" s="17"/>
      <c r="D1031" s="17"/>
      <c r="E1031" s="12"/>
      <c r="F1031" s="12"/>
      <c r="G1031" s="12"/>
      <c r="H1031" s="12"/>
      <c r="I1031" s="12"/>
      <c r="J1031" s="194"/>
      <c r="K1031" s="194"/>
      <c r="L1031" s="12"/>
      <c r="M1031" s="12"/>
      <c r="N1031" s="11"/>
      <c r="O1031" s="11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>
      <c r="A1032" s="12"/>
      <c r="B1032" s="194"/>
      <c r="C1032" s="17"/>
      <c r="D1032" s="17"/>
      <c r="E1032" s="12"/>
      <c r="F1032" s="12"/>
      <c r="G1032" s="12"/>
      <c r="H1032" s="12"/>
      <c r="I1032" s="12"/>
      <c r="J1032" s="194"/>
      <c r="K1032" s="194"/>
      <c r="L1032" s="12"/>
      <c r="M1032" s="12"/>
      <c r="N1032" s="11"/>
      <c r="O1032" s="11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>
      <c r="A1033" s="12"/>
      <c r="B1033" s="194"/>
      <c r="C1033" s="17"/>
      <c r="D1033" s="17"/>
      <c r="E1033" s="12"/>
      <c r="F1033" s="12"/>
      <c r="G1033" s="12"/>
      <c r="H1033" s="12"/>
      <c r="I1033" s="12"/>
      <c r="J1033" s="194"/>
      <c r="K1033" s="194"/>
      <c r="L1033" s="12"/>
      <c r="M1033" s="12"/>
      <c r="N1033" s="11"/>
      <c r="O1033" s="11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>
      <c r="A1034" s="12"/>
      <c r="B1034" s="194"/>
      <c r="C1034" s="17"/>
      <c r="D1034" s="17"/>
      <c r="E1034" s="12"/>
      <c r="F1034" s="12"/>
      <c r="G1034" s="12"/>
      <c r="H1034" s="12"/>
      <c r="I1034" s="12"/>
      <c r="J1034" s="194"/>
      <c r="K1034" s="194"/>
      <c r="L1034" s="12"/>
      <c r="M1034" s="12"/>
      <c r="N1034" s="11"/>
      <c r="O1034" s="11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>
      <c r="A1035" s="12"/>
      <c r="B1035" s="194"/>
      <c r="C1035" s="17"/>
      <c r="D1035" s="17"/>
      <c r="E1035" s="12"/>
      <c r="F1035" s="12"/>
      <c r="G1035" s="12"/>
      <c r="H1035" s="12"/>
      <c r="I1035" s="12"/>
      <c r="J1035" s="194"/>
      <c r="K1035" s="194"/>
      <c r="L1035" s="12"/>
      <c r="M1035" s="12"/>
      <c r="N1035" s="11"/>
      <c r="O1035" s="11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>
      <c r="A1036" s="12"/>
      <c r="B1036" s="194"/>
      <c r="C1036" s="17"/>
      <c r="D1036" s="17"/>
      <c r="E1036" s="12"/>
      <c r="F1036" s="12"/>
      <c r="G1036" s="12"/>
      <c r="H1036" s="12"/>
      <c r="I1036" s="12"/>
      <c r="J1036" s="194"/>
      <c r="K1036" s="194"/>
      <c r="L1036" s="12"/>
      <c r="M1036" s="12"/>
      <c r="N1036" s="11"/>
      <c r="O1036" s="11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>
      <c r="A1037" s="12"/>
      <c r="B1037" s="194"/>
      <c r="C1037" s="17"/>
      <c r="D1037" s="17"/>
      <c r="E1037" s="12"/>
      <c r="F1037" s="12"/>
      <c r="G1037" s="12"/>
      <c r="H1037" s="12"/>
      <c r="I1037" s="12"/>
      <c r="J1037" s="194"/>
      <c r="K1037" s="194"/>
      <c r="L1037" s="12"/>
      <c r="M1037" s="12"/>
      <c r="N1037" s="11"/>
      <c r="O1037" s="11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>
      <c r="A1038" s="12"/>
      <c r="B1038" s="194"/>
      <c r="C1038" s="17"/>
      <c r="D1038" s="17"/>
      <c r="E1038" s="12"/>
      <c r="F1038" s="12"/>
      <c r="G1038" s="12"/>
      <c r="H1038" s="12"/>
      <c r="I1038" s="12"/>
      <c r="J1038" s="194"/>
      <c r="K1038" s="194"/>
      <c r="L1038" s="12"/>
      <c r="M1038" s="12"/>
      <c r="N1038" s="11"/>
      <c r="O1038" s="11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</sheetData>
  <mergeCells count="4">
    <mergeCell ref="A274:C274"/>
    <mergeCell ref="A285:E285"/>
    <mergeCell ref="A295:E295"/>
    <mergeCell ref="A301:E30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3" max="3" width="13.13"/>
    <col customWidth="1" min="4" max="4" width="25.5"/>
    <col customWidth="1" min="5" max="5" width="13.13"/>
    <col customWidth="1" min="6" max="6" width="39.75"/>
    <col customWidth="1" min="7" max="7" width="13.13"/>
    <col customWidth="1" min="8" max="8" width="22.38"/>
    <col customWidth="1" min="9" max="9" width="13.13"/>
    <col customWidth="1" min="10" max="10" width="23.13"/>
  </cols>
  <sheetData>
    <row r="1">
      <c r="A1" s="130" t="s">
        <v>419</v>
      </c>
      <c r="B1" s="130" t="s">
        <v>3</v>
      </c>
      <c r="C1" s="130" t="s">
        <v>1</v>
      </c>
      <c r="D1" s="130" t="s">
        <v>420</v>
      </c>
      <c r="E1" s="130" t="s">
        <v>1</v>
      </c>
      <c r="F1" s="130" t="s">
        <v>421</v>
      </c>
      <c r="G1" s="130" t="s">
        <v>1</v>
      </c>
      <c r="H1" s="130" t="s">
        <v>422</v>
      </c>
      <c r="I1" s="130" t="s">
        <v>1</v>
      </c>
      <c r="J1" s="130" t="s">
        <v>6</v>
      </c>
    </row>
    <row r="2">
      <c r="A2" s="130" t="s">
        <v>157</v>
      </c>
      <c r="B2" s="200" t="s">
        <v>173</v>
      </c>
      <c r="C2" s="200">
        <v>2.038301408919E12</v>
      </c>
      <c r="D2" s="201" t="s">
        <v>170</v>
      </c>
      <c r="E2" s="201">
        <v>2.038674207638E12</v>
      </c>
      <c r="F2" s="202"/>
      <c r="G2" s="202"/>
      <c r="H2" s="202"/>
      <c r="I2" s="202"/>
      <c r="J2" s="130"/>
    </row>
    <row r="3">
      <c r="A3" s="130" t="s">
        <v>157</v>
      </c>
      <c r="B3" s="200" t="s">
        <v>288</v>
      </c>
      <c r="C3" s="200">
        <v>2.038301341797E12</v>
      </c>
      <c r="D3" s="203" t="s">
        <v>287</v>
      </c>
      <c r="E3" s="203">
        <v>4.631144115839E12</v>
      </c>
      <c r="F3" s="202"/>
      <c r="G3" s="202"/>
      <c r="H3" s="202"/>
      <c r="I3" s="202"/>
      <c r="J3" s="130"/>
    </row>
    <row r="4">
      <c r="A4" s="130" t="s">
        <v>157</v>
      </c>
      <c r="B4" s="200" t="s">
        <v>174</v>
      </c>
      <c r="C4" s="200">
        <v>2.038611263598E12</v>
      </c>
      <c r="D4" s="203" t="s">
        <v>172</v>
      </c>
      <c r="E4" s="203">
        <v>2.038674207621E12</v>
      </c>
      <c r="F4" s="202"/>
      <c r="G4" s="202"/>
      <c r="H4" s="202"/>
      <c r="I4" s="202"/>
      <c r="J4" s="130"/>
    </row>
    <row r="5">
      <c r="A5" s="130" t="s">
        <v>157</v>
      </c>
      <c r="B5" s="200" t="s">
        <v>319</v>
      </c>
      <c r="C5" s="200">
        <v>2.038301521588E12</v>
      </c>
      <c r="D5" s="203" t="s">
        <v>318</v>
      </c>
      <c r="E5" s="203">
        <v>4.631144673056E12</v>
      </c>
      <c r="F5" s="202"/>
      <c r="G5" s="202"/>
      <c r="H5" s="202"/>
      <c r="I5" s="202"/>
      <c r="J5" s="130"/>
    </row>
    <row r="6">
      <c r="A6" s="130" t="s">
        <v>157</v>
      </c>
      <c r="B6" s="200" t="s">
        <v>320</v>
      </c>
      <c r="C6" s="200">
        <v>2.038301524237E12</v>
      </c>
      <c r="D6" s="203" t="s">
        <v>318</v>
      </c>
      <c r="E6" s="203">
        <v>4.631144673056E12</v>
      </c>
      <c r="F6" s="202"/>
      <c r="G6" s="202"/>
      <c r="H6" s="202"/>
      <c r="I6" s="202"/>
      <c r="J6" s="130"/>
    </row>
    <row r="7">
      <c r="A7" s="130" t="s">
        <v>157</v>
      </c>
      <c r="B7" s="200" t="s">
        <v>307</v>
      </c>
      <c r="C7" s="200">
        <v>2.038611186927E12</v>
      </c>
      <c r="D7" s="203" t="s">
        <v>306</v>
      </c>
      <c r="E7" s="203">
        <v>4.631144673063E12</v>
      </c>
      <c r="F7" s="202"/>
      <c r="G7" s="202"/>
      <c r="H7" s="202"/>
      <c r="I7" s="202"/>
      <c r="J7" s="130"/>
    </row>
    <row r="8">
      <c r="A8" s="130" t="s">
        <v>157</v>
      </c>
      <c r="B8" s="200" t="s">
        <v>234</v>
      </c>
      <c r="C8" s="200">
        <v>2.038301460351E12</v>
      </c>
      <c r="D8" s="204" t="s">
        <v>233</v>
      </c>
      <c r="E8" s="203">
        <v>4.631159171028E12</v>
      </c>
      <c r="F8" s="202"/>
      <c r="G8" s="202"/>
      <c r="H8" s="202"/>
      <c r="I8" s="202"/>
      <c r="J8" s="130"/>
    </row>
    <row r="9">
      <c r="A9" s="130" t="s">
        <v>157</v>
      </c>
      <c r="B9" s="200" t="s">
        <v>235</v>
      </c>
      <c r="C9" s="200">
        <v>2.038301462911E12</v>
      </c>
      <c r="D9" s="204" t="s">
        <v>233</v>
      </c>
      <c r="E9" s="203">
        <v>4.631159171028E12</v>
      </c>
      <c r="F9" s="202"/>
      <c r="G9" s="202"/>
      <c r="H9" s="202"/>
      <c r="I9" s="202"/>
      <c r="J9" s="130"/>
    </row>
    <row r="10">
      <c r="A10" s="130" t="s">
        <v>157</v>
      </c>
      <c r="B10" s="200" t="s">
        <v>195</v>
      </c>
      <c r="C10" s="200">
        <v>2.038611139794E12</v>
      </c>
      <c r="D10" s="203" t="s">
        <v>194</v>
      </c>
      <c r="E10" s="205">
        <v>4.631141996004E12</v>
      </c>
      <c r="F10" s="202"/>
      <c r="G10" s="202"/>
      <c r="H10" s="202"/>
      <c r="I10" s="202"/>
      <c r="J10" s="130"/>
    </row>
    <row r="11">
      <c r="A11" s="130" t="s">
        <v>157</v>
      </c>
      <c r="B11" s="200" t="s">
        <v>248</v>
      </c>
      <c r="C11" s="200">
        <v>2.038611205284E12</v>
      </c>
      <c r="D11" s="206" t="s">
        <v>246</v>
      </c>
      <c r="E11" s="205">
        <v>4.627144543031E12</v>
      </c>
      <c r="F11" s="202"/>
      <c r="G11" s="202"/>
      <c r="H11" s="202"/>
      <c r="I11" s="202"/>
      <c r="J11" s="130"/>
    </row>
    <row r="12">
      <c r="A12" s="130" t="s">
        <v>157</v>
      </c>
      <c r="B12" s="200" t="s">
        <v>215</v>
      </c>
      <c r="C12" s="200">
        <v>2.038301429006E12</v>
      </c>
      <c r="D12" s="203" t="s">
        <v>214</v>
      </c>
      <c r="E12" s="201">
        <v>4.631143681571E12</v>
      </c>
      <c r="F12" s="202"/>
      <c r="G12" s="202"/>
      <c r="H12" s="202"/>
      <c r="I12" s="202"/>
      <c r="J12" s="130"/>
    </row>
    <row r="13">
      <c r="A13" s="130" t="s">
        <v>157</v>
      </c>
      <c r="B13" s="200" t="s">
        <v>216</v>
      </c>
      <c r="C13" s="200">
        <v>2.038301433485E12</v>
      </c>
      <c r="D13" s="203" t="s">
        <v>214</v>
      </c>
      <c r="E13" s="201">
        <v>4.631143681571E12</v>
      </c>
      <c r="F13" s="202"/>
      <c r="G13" s="202"/>
      <c r="H13" s="202"/>
      <c r="I13" s="202"/>
      <c r="J13" s="130"/>
    </row>
    <row r="14">
      <c r="A14" s="130" t="s">
        <v>157</v>
      </c>
      <c r="B14" s="200" t="s">
        <v>212</v>
      </c>
      <c r="C14" s="200">
        <v>2.038301488324E12</v>
      </c>
      <c r="D14" s="204" t="s">
        <v>423</v>
      </c>
      <c r="E14" s="201">
        <v>4.631136905059E12</v>
      </c>
      <c r="F14" s="202"/>
      <c r="G14" s="202"/>
      <c r="H14" s="202"/>
      <c r="I14" s="202"/>
      <c r="J14" s="130"/>
    </row>
    <row r="15">
      <c r="A15" s="130" t="s">
        <v>157</v>
      </c>
      <c r="B15" s="130" t="s">
        <v>166</v>
      </c>
      <c r="C15" s="130">
        <v>2.042302907722E12</v>
      </c>
      <c r="D15" s="166" t="s">
        <v>165</v>
      </c>
      <c r="E15" s="166">
        <v>4.681196490217E12</v>
      </c>
      <c r="F15" s="202"/>
      <c r="G15" s="202"/>
      <c r="H15" s="202"/>
      <c r="I15" s="202"/>
      <c r="J15" s="130"/>
    </row>
    <row r="16">
      <c r="A16" s="130" t="s">
        <v>157</v>
      </c>
      <c r="B16" s="130" t="s">
        <v>241</v>
      </c>
      <c r="C16" s="130">
        <v>4.629945399213E12</v>
      </c>
      <c r="D16" s="130" t="s">
        <v>424</v>
      </c>
      <c r="E16" s="130">
        <v>4.629945399213E12</v>
      </c>
      <c r="F16" s="130" t="s">
        <v>425</v>
      </c>
      <c r="G16" s="130" t="s">
        <v>426</v>
      </c>
      <c r="H16" s="202"/>
      <c r="I16" s="202"/>
      <c r="J16" s="130"/>
    </row>
    <row r="17">
      <c r="A17" s="130" t="s">
        <v>157</v>
      </c>
      <c r="B17" s="130" t="s">
        <v>264</v>
      </c>
      <c r="C17" s="130">
        <v>4.698878338125E12</v>
      </c>
      <c r="D17" s="130" t="s">
        <v>427</v>
      </c>
      <c r="E17" s="130">
        <v>4.698878338125E12</v>
      </c>
      <c r="F17" s="130" t="s">
        <v>428</v>
      </c>
      <c r="G17" s="130" t="s">
        <v>426</v>
      </c>
      <c r="H17" s="202"/>
      <c r="I17" s="202"/>
      <c r="J17" s="130"/>
    </row>
    <row r="18">
      <c r="A18" s="130" t="s">
        <v>157</v>
      </c>
      <c r="B18" s="166" t="s">
        <v>268</v>
      </c>
      <c r="C18" s="166">
        <v>4.656784976558E12</v>
      </c>
      <c r="D18" s="130" t="s">
        <v>252</v>
      </c>
      <c r="E18" s="23">
        <v>4.660417421582E12</v>
      </c>
      <c r="F18" s="130" t="s">
        <v>223</v>
      </c>
      <c r="G18" s="130">
        <v>4.670020497034E12</v>
      </c>
      <c r="H18" s="202"/>
      <c r="I18" s="202"/>
      <c r="J18" s="130"/>
    </row>
    <row r="19">
      <c r="A19" s="130" t="s">
        <v>157</v>
      </c>
      <c r="B19" s="166" t="s">
        <v>265</v>
      </c>
      <c r="C19" s="166">
        <v>4.646784974555E12</v>
      </c>
      <c r="D19" s="130" t="s">
        <v>158</v>
      </c>
      <c r="E19" s="130">
        <v>4.609893777394E12</v>
      </c>
      <c r="F19" s="130" t="s">
        <v>178</v>
      </c>
      <c r="G19" s="166">
        <v>4.685518825374E12</v>
      </c>
      <c r="H19" s="202"/>
      <c r="I19" s="202"/>
      <c r="J19" s="130"/>
    </row>
    <row r="20">
      <c r="A20" s="130" t="s">
        <v>157</v>
      </c>
      <c r="B20" s="207" t="s">
        <v>196</v>
      </c>
      <c r="C20" s="208">
        <v>4.607050974747E12</v>
      </c>
      <c r="D20" s="207" t="s">
        <v>429</v>
      </c>
      <c r="E20" s="208">
        <v>4.607050974747E12</v>
      </c>
      <c r="F20" s="130" t="s">
        <v>430</v>
      </c>
      <c r="G20" s="209"/>
      <c r="H20" s="130"/>
      <c r="I20" s="210"/>
      <c r="J20" s="202"/>
    </row>
    <row r="21">
      <c r="A21" s="130" t="s">
        <v>157</v>
      </c>
      <c r="B21" s="102" t="s">
        <v>197</v>
      </c>
      <c r="C21" s="102">
        <v>4.656887467946E12</v>
      </c>
      <c r="D21" s="37" t="s">
        <v>196</v>
      </c>
      <c r="E21" s="208">
        <v>4.607050974747E12</v>
      </c>
      <c r="F21" s="130" t="s">
        <v>431</v>
      </c>
      <c r="G21" s="38"/>
      <c r="H21" s="38"/>
      <c r="I21" s="38"/>
      <c r="J21" s="38"/>
    </row>
    <row r="22">
      <c r="A22" s="130" t="s">
        <v>157</v>
      </c>
      <c r="B22" s="37" t="s">
        <v>283</v>
      </c>
      <c r="C22" s="37">
        <v>2.042608266288E12</v>
      </c>
      <c r="D22" s="168" t="s">
        <v>282</v>
      </c>
      <c r="E22" s="37">
        <v>4.610030632476E12</v>
      </c>
      <c r="F22" s="38"/>
      <c r="G22" s="38"/>
      <c r="H22" s="38"/>
      <c r="I22" s="38"/>
      <c r="J22" s="38"/>
    </row>
    <row r="23">
      <c r="A23" s="130" t="s">
        <v>157</v>
      </c>
      <c r="B23" s="37" t="s">
        <v>256</v>
      </c>
      <c r="C23" s="23">
        <v>2.042608328689E12</v>
      </c>
      <c r="D23" s="69" t="s">
        <v>255</v>
      </c>
      <c r="E23" s="23">
        <v>4.63115187855E12</v>
      </c>
      <c r="F23" s="38"/>
      <c r="G23" s="38"/>
      <c r="H23" s="38"/>
      <c r="I23" s="38"/>
      <c r="J23" s="38"/>
    </row>
    <row r="24">
      <c r="A24" s="130" t="s">
        <v>157</v>
      </c>
      <c r="B24" s="37" t="s">
        <v>260</v>
      </c>
      <c r="C24" s="37">
        <v>2.042608334598E12</v>
      </c>
      <c r="D24" s="69" t="s">
        <v>259</v>
      </c>
      <c r="E24" s="23">
        <v>4.640012268409E12</v>
      </c>
      <c r="F24" s="38"/>
      <c r="G24" s="38"/>
      <c r="H24" s="38"/>
      <c r="I24" s="38"/>
      <c r="J24" s="38"/>
    </row>
    <row r="25">
      <c r="A25" s="130" t="s">
        <v>157</v>
      </c>
      <c r="B25" s="130" t="s">
        <v>177</v>
      </c>
      <c r="C25" s="37">
        <v>2.042827589663E12</v>
      </c>
      <c r="D25" s="37" t="s">
        <v>176</v>
      </c>
      <c r="E25" s="37">
        <v>4.610030633701E12</v>
      </c>
      <c r="F25" s="38"/>
      <c r="G25" s="38"/>
      <c r="H25" s="38"/>
      <c r="I25" s="38"/>
      <c r="J25" s="38"/>
    </row>
    <row r="26">
      <c r="A26" s="130" t="s">
        <v>157</v>
      </c>
      <c r="B26" s="130" t="s">
        <v>432</v>
      </c>
      <c r="C26" s="37">
        <v>4.660401460092E12</v>
      </c>
      <c r="D26" s="37" t="s">
        <v>373</v>
      </c>
      <c r="E26" s="37">
        <v>4.660417421759E12</v>
      </c>
      <c r="F26" s="37" t="s">
        <v>372</v>
      </c>
      <c r="G26" s="37">
        <v>4.660417421599E12</v>
      </c>
      <c r="H26" s="38"/>
      <c r="I26" s="38"/>
      <c r="J26" s="38"/>
    </row>
    <row r="27">
      <c r="A27" s="130" t="s">
        <v>157</v>
      </c>
      <c r="B27" s="130" t="s">
        <v>433</v>
      </c>
      <c r="C27" s="37">
        <v>4.660401460108E12</v>
      </c>
      <c r="D27" s="37" t="s">
        <v>373</v>
      </c>
      <c r="E27" s="37">
        <v>4.660417421759E12</v>
      </c>
      <c r="F27" s="37" t="s">
        <v>372</v>
      </c>
      <c r="G27" s="37">
        <v>4.660417421599E12</v>
      </c>
      <c r="H27" s="37" t="s">
        <v>371</v>
      </c>
      <c r="I27" s="37">
        <v>4.660417421605E12</v>
      </c>
      <c r="J27" s="38"/>
    </row>
    <row r="28">
      <c r="A28" s="130" t="s">
        <v>157</v>
      </c>
      <c r="B28" s="130" t="s">
        <v>434</v>
      </c>
      <c r="C28" s="37"/>
      <c r="D28" s="37" t="s">
        <v>175</v>
      </c>
      <c r="E28" s="37">
        <v>4.670020496747E12</v>
      </c>
      <c r="F28" s="37" t="s">
        <v>335</v>
      </c>
      <c r="G28" s="37">
        <v>4.603320465366E12</v>
      </c>
      <c r="H28" s="38"/>
      <c r="I28" s="38"/>
      <c r="J28" s="38"/>
    </row>
    <row r="29">
      <c r="A29" s="130" t="s">
        <v>435</v>
      </c>
      <c r="B29" s="207" t="s">
        <v>436</v>
      </c>
      <c r="C29" s="166">
        <v>4.680201379646E12</v>
      </c>
      <c r="D29" s="130" t="s">
        <v>437</v>
      </c>
      <c r="E29" s="201">
        <v>4.67011018552E12</v>
      </c>
      <c r="F29" s="130" t="s">
        <v>438</v>
      </c>
      <c r="G29" s="209">
        <v>4.630040228483E12</v>
      </c>
      <c r="H29" s="130" t="s">
        <v>399</v>
      </c>
      <c r="I29" s="210">
        <v>4.680162842333E12</v>
      </c>
      <c r="J29" s="202"/>
    </row>
    <row r="30">
      <c r="A30" s="130" t="s">
        <v>435</v>
      </c>
      <c r="B30" s="130" t="s">
        <v>439</v>
      </c>
      <c r="C30" s="166">
        <v>4.680201379677E12</v>
      </c>
      <c r="D30" s="130" t="s">
        <v>82</v>
      </c>
      <c r="E30" s="211">
        <v>4.620153903605E12</v>
      </c>
      <c r="F30" s="212" t="s">
        <v>52</v>
      </c>
      <c r="G30" s="213">
        <v>4.673722841006E12</v>
      </c>
      <c r="H30" s="130" t="s">
        <v>74</v>
      </c>
      <c r="I30" s="130">
        <v>4.63020514234E12</v>
      </c>
      <c r="J30" s="202"/>
    </row>
    <row r="31">
      <c r="A31" s="130" t="s">
        <v>435</v>
      </c>
      <c r="B31" s="130" t="s">
        <v>440</v>
      </c>
      <c r="C31" s="166">
        <v>4.680201379622E12</v>
      </c>
      <c r="D31" s="207" t="s">
        <v>49</v>
      </c>
      <c r="E31" s="213">
        <v>4.607025203049E12</v>
      </c>
      <c r="F31" s="130" t="s">
        <v>403</v>
      </c>
      <c r="G31" s="23">
        <v>4.63020514573E12</v>
      </c>
      <c r="H31" s="130" t="s">
        <v>441</v>
      </c>
      <c r="I31" s="23">
        <v>4.607025204398E12</v>
      </c>
      <c r="J31" s="202"/>
    </row>
    <row r="32">
      <c r="A32" s="130" t="s">
        <v>435</v>
      </c>
      <c r="B32" s="3" t="s">
        <v>25</v>
      </c>
      <c r="C32" s="3">
        <v>4.607050974815E12</v>
      </c>
      <c r="D32" s="3" t="s">
        <v>442</v>
      </c>
      <c r="E32" s="3">
        <v>4.607050974815E12</v>
      </c>
      <c r="F32" s="130" t="s">
        <v>430</v>
      </c>
      <c r="G32" s="202"/>
      <c r="H32" s="202"/>
      <c r="I32" s="202"/>
      <c r="J32" s="202"/>
    </row>
    <row r="33">
      <c r="A33" s="130" t="s">
        <v>435</v>
      </c>
      <c r="B33" s="130" t="s">
        <v>26</v>
      </c>
      <c r="C33" s="130">
        <v>4.680201377123E12</v>
      </c>
      <c r="D33" s="3" t="s">
        <v>25</v>
      </c>
      <c r="E33" s="3">
        <v>4.607050974815E12</v>
      </c>
      <c r="F33" s="130" t="s">
        <v>431</v>
      </c>
      <c r="G33" s="202"/>
      <c r="H33" s="202"/>
      <c r="I33" s="202"/>
      <c r="J33" s="202"/>
    </row>
    <row r="34">
      <c r="A34" s="130" t="s">
        <v>435</v>
      </c>
      <c r="B34" s="130" t="s">
        <v>443</v>
      </c>
      <c r="C34" s="214">
        <v>4.660401460146E12</v>
      </c>
      <c r="D34" s="130" t="s">
        <v>68</v>
      </c>
      <c r="E34" s="130">
        <v>4.63026390638E12</v>
      </c>
      <c r="F34" s="130" t="s">
        <v>50</v>
      </c>
      <c r="G34" s="130">
        <v>4.607025202875E12</v>
      </c>
      <c r="H34" s="202"/>
      <c r="I34" s="202"/>
      <c r="J34" s="202"/>
    </row>
    <row r="35">
      <c r="A35" s="130" t="s">
        <v>435</v>
      </c>
      <c r="B35" s="130" t="s">
        <v>444</v>
      </c>
      <c r="C35" s="215">
        <v>4.660401460122E12</v>
      </c>
      <c r="D35" s="130" t="s">
        <v>97</v>
      </c>
      <c r="E35" s="130">
        <v>4.620153902592E12</v>
      </c>
      <c r="F35" s="130" t="s">
        <v>23</v>
      </c>
      <c r="G35" s="130">
        <v>4.68016284276E12</v>
      </c>
      <c r="H35" s="202"/>
      <c r="I35" s="202"/>
      <c r="J35" s="202"/>
    </row>
    <row r="36">
      <c r="A36" s="130" t="s">
        <v>435</v>
      </c>
      <c r="B36" s="37" t="s">
        <v>445</v>
      </c>
      <c r="C36" s="215">
        <v>4.660401460139E12</v>
      </c>
      <c r="D36" s="37" t="s">
        <v>98</v>
      </c>
      <c r="E36" s="37">
        <v>4.620153906644E12</v>
      </c>
      <c r="F36" s="37" t="s">
        <v>49</v>
      </c>
      <c r="G36" s="37">
        <v>4.607025203049E12</v>
      </c>
      <c r="H36" s="38"/>
      <c r="I36" s="38"/>
      <c r="J36" s="38"/>
    </row>
    <row r="37">
      <c r="A37" s="216"/>
      <c r="B37" s="216"/>
      <c r="C37" s="216"/>
      <c r="D37" s="216"/>
      <c r="E37" s="216"/>
      <c r="F37" s="216"/>
      <c r="G37" s="216"/>
      <c r="H37" s="216"/>
      <c r="I37" s="216"/>
      <c r="J37" s="216"/>
    </row>
    <row r="38">
      <c r="A38" s="216"/>
      <c r="B38" s="216"/>
      <c r="C38" s="216"/>
      <c r="D38" s="216"/>
      <c r="E38" s="216"/>
      <c r="F38" s="216"/>
      <c r="G38" s="216"/>
      <c r="H38" s="216"/>
      <c r="I38" s="216"/>
      <c r="J38" s="216"/>
    </row>
    <row r="39">
      <c r="A39" s="216"/>
      <c r="B39" s="216"/>
      <c r="C39" s="216"/>
      <c r="D39" s="216"/>
      <c r="E39" s="216"/>
      <c r="F39" s="216"/>
      <c r="G39" s="216"/>
      <c r="H39" s="216"/>
      <c r="I39" s="216"/>
      <c r="J39" s="216"/>
    </row>
    <row r="40">
      <c r="A40" s="216"/>
      <c r="B40" s="216"/>
      <c r="C40" s="216"/>
      <c r="D40" s="216"/>
      <c r="E40" s="216"/>
      <c r="F40" s="216"/>
      <c r="G40" s="216"/>
      <c r="H40" s="216"/>
      <c r="I40" s="216"/>
      <c r="J40" s="216"/>
    </row>
    <row r="41">
      <c r="A41" s="216"/>
      <c r="B41" s="216"/>
      <c r="C41" s="216"/>
      <c r="D41" s="216"/>
      <c r="E41" s="216"/>
      <c r="F41" s="216"/>
      <c r="G41" s="216"/>
      <c r="H41" s="216"/>
      <c r="I41" s="216"/>
      <c r="J41" s="216"/>
    </row>
    <row r="42">
      <c r="A42" s="216"/>
      <c r="B42" s="216"/>
      <c r="C42" s="216"/>
      <c r="D42" s="216"/>
      <c r="E42" s="216"/>
      <c r="F42" s="216"/>
      <c r="G42" s="216"/>
      <c r="H42" s="216"/>
      <c r="I42" s="216"/>
      <c r="J42" s="216"/>
    </row>
    <row r="43">
      <c r="A43" s="216"/>
      <c r="B43" s="216"/>
      <c r="C43" s="216"/>
      <c r="D43" s="216"/>
      <c r="E43" s="216"/>
      <c r="F43" s="216"/>
      <c r="G43" s="216"/>
      <c r="H43" s="216"/>
      <c r="I43" s="216"/>
      <c r="J43" s="216"/>
    </row>
    <row r="44">
      <c r="A44" s="216"/>
      <c r="B44" s="216"/>
      <c r="C44" s="216"/>
      <c r="D44" s="216"/>
      <c r="E44" s="216"/>
      <c r="F44" s="216"/>
      <c r="G44" s="216"/>
      <c r="H44" s="216"/>
      <c r="I44" s="216"/>
      <c r="J44" s="216"/>
    </row>
    <row r="45">
      <c r="A45" s="216"/>
      <c r="B45" s="216"/>
      <c r="C45" s="216"/>
      <c r="D45" s="216"/>
      <c r="E45" s="216"/>
      <c r="F45" s="216"/>
      <c r="G45" s="216"/>
      <c r="H45" s="216"/>
      <c r="I45" s="216"/>
      <c r="J45" s="216"/>
    </row>
    <row r="46">
      <c r="A46" s="216"/>
      <c r="B46" s="216"/>
      <c r="C46" s="216"/>
      <c r="D46" s="216"/>
      <c r="E46" s="216"/>
      <c r="F46" s="216"/>
      <c r="G46" s="216"/>
      <c r="H46" s="216"/>
      <c r="I46" s="216"/>
      <c r="J46" s="216"/>
    </row>
    <row r="47">
      <c r="A47" s="216"/>
      <c r="B47" s="216"/>
      <c r="C47" s="216"/>
      <c r="D47" s="216"/>
      <c r="E47" s="216"/>
      <c r="F47" s="216"/>
      <c r="G47" s="216"/>
      <c r="H47" s="216"/>
      <c r="I47" s="216"/>
      <c r="J47" s="216"/>
    </row>
    <row r="48">
      <c r="A48" s="216"/>
      <c r="B48" s="216"/>
      <c r="C48" s="216"/>
      <c r="D48" s="216"/>
      <c r="E48" s="216"/>
      <c r="F48" s="216"/>
      <c r="G48" s="216"/>
      <c r="H48" s="216"/>
      <c r="I48" s="216"/>
      <c r="J48" s="216"/>
    </row>
    <row r="49">
      <c r="A49" s="216"/>
      <c r="B49" s="216"/>
      <c r="C49" s="216"/>
      <c r="D49" s="216"/>
      <c r="E49" s="216"/>
      <c r="F49" s="216"/>
      <c r="G49" s="216"/>
      <c r="H49" s="216"/>
      <c r="I49" s="216"/>
      <c r="J49" s="216"/>
    </row>
    <row r="50">
      <c r="A50" s="216"/>
      <c r="B50" s="216"/>
      <c r="C50" s="216"/>
      <c r="D50" s="216"/>
      <c r="E50" s="216"/>
      <c r="F50" s="216"/>
      <c r="G50" s="216"/>
      <c r="H50" s="216"/>
      <c r="I50" s="216"/>
      <c r="J50" s="216"/>
    </row>
    <row r="51">
      <c r="A51" s="216"/>
      <c r="B51" s="216"/>
      <c r="C51" s="216"/>
      <c r="D51" s="216"/>
      <c r="E51" s="216"/>
      <c r="F51" s="216"/>
      <c r="G51" s="216"/>
      <c r="H51" s="216"/>
      <c r="I51" s="216"/>
      <c r="J51" s="216"/>
    </row>
    <row r="52">
      <c r="A52" s="216"/>
      <c r="B52" s="216"/>
      <c r="C52" s="216"/>
      <c r="D52" s="216"/>
      <c r="E52" s="216"/>
      <c r="F52" s="216"/>
      <c r="G52" s="216"/>
      <c r="H52" s="216"/>
      <c r="I52" s="216"/>
      <c r="J52" s="216"/>
    </row>
    <row r="53">
      <c r="A53" s="216"/>
      <c r="B53" s="216"/>
      <c r="C53" s="216"/>
      <c r="D53" s="216"/>
      <c r="E53" s="216"/>
      <c r="F53" s="216"/>
      <c r="G53" s="216"/>
      <c r="H53" s="216"/>
      <c r="I53" s="216"/>
      <c r="J53" s="216"/>
    </row>
    <row r="54">
      <c r="A54" s="216"/>
      <c r="B54" s="216"/>
      <c r="C54" s="216"/>
      <c r="D54" s="216"/>
      <c r="E54" s="216"/>
      <c r="F54" s="216"/>
      <c r="G54" s="216"/>
      <c r="H54" s="216"/>
      <c r="I54" s="216"/>
      <c r="J54" s="216"/>
    </row>
    <row r="55">
      <c r="A55" s="216"/>
      <c r="B55" s="216"/>
      <c r="C55" s="216"/>
      <c r="D55" s="216"/>
      <c r="E55" s="216"/>
      <c r="F55" s="216"/>
      <c r="G55" s="216"/>
      <c r="H55" s="216"/>
      <c r="I55" s="216"/>
      <c r="J55" s="216"/>
    </row>
    <row r="56">
      <c r="A56" s="216"/>
      <c r="B56" s="216"/>
      <c r="C56" s="216"/>
      <c r="D56" s="216"/>
      <c r="E56" s="216"/>
      <c r="F56" s="216"/>
      <c r="G56" s="216"/>
      <c r="H56" s="216"/>
      <c r="I56" s="216"/>
      <c r="J56" s="216"/>
    </row>
    <row r="57">
      <c r="A57" s="216"/>
      <c r="B57" s="216"/>
      <c r="C57" s="216"/>
      <c r="D57" s="216"/>
      <c r="E57" s="216"/>
      <c r="F57" s="216"/>
      <c r="G57" s="216"/>
      <c r="H57" s="216"/>
      <c r="I57" s="216"/>
      <c r="J57" s="216"/>
    </row>
    <row r="58">
      <c r="A58" s="216"/>
      <c r="B58" s="216"/>
      <c r="C58" s="216"/>
      <c r="D58" s="216"/>
      <c r="E58" s="216"/>
      <c r="F58" s="216"/>
      <c r="G58" s="216"/>
      <c r="H58" s="216"/>
      <c r="I58" s="216"/>
      <c r="J58" s="216"/>
    </row>
    <row r="59">
      <c r="A59" s="216"/>
      <c r="B59" s="216"/>
      <c r="C59" s="216"/>
      <c r="D59" s="216"/>
      <c r="E59" s="216"/>
      <c r="F59" s="216"/>
      <c r="G59" s="216"/>
      <c r="H59" s="216"/>
      <c r="I59" s="216"/>
      <c r="J59" s="216"/>
    </row>
    <row r="60">
      <c r="A60" s="216"/>
      <c r="B60" s="216"/>
      <c r="C60" s="216"/>
      <c r="D60" s="216"/>
      <c r="E60" s="216"/>
      <c r="F60" s="216"/>
      <c r="G60" s="216"/>
      <c r="H60" s="216"/>
      <c r="I60" s="216"/>
      <c r="J60" s="216"/>
    </row>
    <row r="61">
      <c r="A61" s="216"/>
      <c r="B61" s="216"/>
      <c r="C61" s="216"/>
      <c r="D61" s="216"/>
      <c r="E61" s="216"/>
      <c r="F61" s="216"/>
      <c r="G61" s="216"/>
      <c r="H61" s="216"/>
      <c r="I61" s="216"/>
      <c r="J61" s="216"/>
    </row>
    <row r="62">
      <c r="A62" s="216"/>
      <c r="B62" s="216"/>
      <c r="C62" s="216"/>
      <c r="D62" s="216"/>
      <c r="E62" s="216"/>
      <c r="F62" s="216"/>
      <c r="G62" s="216"/>
      <c r="H62" s="216"/>
      <c r="I62" s="216"/>
      <c r="J62" s="216"/>
    </row>
    <row r="63">
      <c r="A63" s="216"/>
      <c r="B63" s="216"/>
      <c r="C63" s="216"/>
      <c r="D63" s="216"/>
      <c r="E63" s="216"/>
      <c r="F63" s="216"/>
      <c r="G63" s="216"/>
      <c r="H63" s="216"/>
      <c r="I63" s="216"/>
      <c r="J63" s="216"/>
    </row>
    <row r="64">
      <c r="A64" s="216"/>
      <c r="B64" s="216"/>
      <c r="C64" s="216"/>
      <c r="D64" s="216"/>
      <c r="E64" s="216"/>
      <c r="F64" s="216"/>
      <c r="G64" s="216"/>
      <c r="H64" s="216"/>
      <c r="I64" s="216"/>
      <c r="J64" s="216"/>
    </row>
    <row r="65">
      <c r="A65" s="216"/>
      <c r="B65" s="216"/>
      <c r="C65" s="216"/>
      <c r="D65" s="216"/>
      <c r="E65" s="216"/>
      <c r="F65" s="216"/>
      <c r="G65" s="216"/>
      <c r="H65" s="216"/>
      <c r="I65" s="216"/>
      <c r="J65" s="216"/>
    </row>
    <row r="66">
      <c r="A66" s="216"/>
      <c r="B66" s="216"/>
      <c r="C66" s="216"/>
      <c r="D66" s="216"/>
      <c r="E66" s="216"/>
      <c r="F66" s="216"/>
      <c r="G66" s="216"/>
      <c r="H66" s="216"/>
      <c r="I66" s="216"/>
      <c r="J66" s="216"/>
    </row>
    <row r="67">
      <c r="A67" s="216"/>
      <c r="B67" s="216"/>
      <c r="C67" s="216"/>
      <c r="D67" s="216"/>
      <c r="E67" s="216"/>
      <c r="F67" s="216"/>
      <c r="G67" s="216"/>
      <c r="H67" s="216"/>
      <c r="I67" s="216"/>
      <c r="J67" s="216"/>
    </row>
    <row r="68">
      <c r="A68" s="216"/>
      <c r="B68" s="216"/>
      <c r="C68" s="216"/>
      <c r="D68" s="216"/>
      <c r="E68" s="216"/>
      <c r="F68" s="216"/>
      <c r="G68" s="216"/>
      <c r="H68" s="216"/>
      <c r="I68" s="216"/>
      <c r="J68" s="216"/>
    </row>
    <row r="69">
      <c r="A69" s="216"/>
      <c r="B69" s="216"/>
      <c r="C69" s="216"/>
      <c r="D69" s="216"/>
      <c r="E69" s="216"/>
      <c r="F69" s="216"/>
      <c r="G69" s="216"/>
      <c r="H69" s="216"/>
      <c r="I69" s="216"/>
      <c r="J69" s="216"/>
    </row>
    <row r="70">
      <c r="A70" s="216"/>
      <c r="B70" s="216"/>
      <c r="C70" s="216"/>
      <c r="D70" s="216"/>
      <c r="E70" s="216"/>
      <c r="F70" s="216"/>
      <c r="G70" s="216"/>
      <c r="H70" s="216"/>
      <c r="I70" s="216"/>
      <c r="J70" s="216"/>
    </row>
    <row r="71">
      <c r="A71" s="216"/>
      <c r="B71" s="216"/>
      <c r="C71" s="216"/>
      <c r="D71" s="216"/>
      <c r="E71" s="216"/>
      <c r="F71" s="216"/>
      <c r="G71" s="216"/>
      <c r="H71" s="216"/>
      <c r="I71" s="216"/>
      <c r="J71" s="216"/>
    </row>
    <row r="72">
      <c r="A72" s="216"/>
      <c r="B72" s="216"/>
      <c r="C72" s="216"/>
      <c r="D72" s="216"/>
      <c r="E72" s="216"/>
      <c r="F72" s="216"/>
      <c r="G72" s="216"/>
      <c r="H72" s="216"/>
      <c r="I72" s="216"/>
      <c r="J72" s="216"/>
    </row>
    <row r="73">
      <c r="A73" s="216"/>
      <c r="B73" s="216"/>
      <c r="C73" s="216"/>
      <c r="D73" s="216"/>
      <c r="E73" s="216"/>
      <c r="F73" s="216"/>
      <c r="G73" s="216"/>
      <c r="H73" s="216"/>
      <c r="I73" s="216"/>
      <c r="J73" s="216"/>
    </row>
    <row r="74">
      <c r="A74" s="216"/>
      <c r="B74" s="216"/>
      <c r="C74" s="216"/>
      <c r="D74" s="216"/>
      <c r="E74" s="216"/>
      <c r="F74" s="216"/>
      <c r="G74" s="216"/>
      <c r="H74" s="216"/>
      <c r="I74" s="216"/>
      <c r="J74" s="216"/>
    </row>
    <row r="75">
      <c r="A75" s="216"/>
      <c r="B75" s="216"/>
      <c r="C75" s="216"/>
      <c r="D75" s="216"/>
      <c r="E75" s="216"/>
      <c r="F75" s="216"/>
      <c r="G75" s="216"/>
      <c r="H75" s="216"/>
      <c r="I75" s="216"/>
      <c r="J75" s="216"/>
    </row>
    <row r="76">
      <c r="A76" s="216"/>
      <c r="B76" s="216"/>
      <c r="C76" s="216"/>
      <c r="D76" s="216"/>
      <c r="E76" s="216"/>
      <c r="F76" s="216"/>
      <c r="G76" s="216"/>
      <c r="H76" s="216"/>
      <c r="I76" s="216"/>
      <c r="J76" s="216"/>
    </row>
    <row r="77">
      <c r="A77" s="216"/>
      <c r="B77" s="216"/>
      <c r="C77" s="216"/>
      <c r="D77" s="216"/>
      <c r="E77" s="216"/>
      <c r="F77" s="216"/>
      <c r="G77" s="216"/>
      <c r="H77" s="216"/>
      <c r="I77" s="216"/>
      <c r="J77" s="216"/>
    </row>
    <row r="78">
      <c r="A78" s="216"/>
      <c r="B78" s="216"/>
      <c r="C78" s="216"/>
      <c r="D78" s="216"/>
      <c r="E78" s="216"/>
      <c r="F78" s="216"/>
      <c r="G78" s="216"/>
      <c r="H78" s="216"/>
      <c r="I78" s="216"/>
      <c r="J78" s="216"/>
    </row>
    <row r="79">
      <c r="A79" s="216"/>
      <c r="B79" s="216"/>
      <c r="C79" s="216"/>
      <c r="D79" s="216"/>
      <c r="E79" s="216"/>
      <c r="F79" s="216"/>
      <c r="G79" s="216"/>
      <c r="H79" s="216"/>
      <c r="I79" s="216"/>
      <c r="J79" s="216"/>
    </row>
    <row r="80">
      <c r="A80" s="216"/>
      <c r="B80" s="216"/>
      <c r="C80" s="216"/>
      <c r="D80" s="216"/>
      <c r="E80" s="216"/>
      <c r="F80" s="216"/>
      <c r="G80" s="216"/>
      <c r="H80" s="216"/>
      <c r="I80" s="216"/>
      <c r="J80" s="216"/>
    </row>
    <row r="81">
      <c r="A81" s="216"/>
      <c r="B81" s="216"/>
      <c r="C81" s="216"/>
      <c r="D81" s="216"/>
      <c r="E81" s="216"/>
      <c r="F81" s="216"/>
      <c r="G81" s="216"/>
      <c r="H81" s="216"/>
      <c r="I81" s="216"/>
      <c r="J81" s="216"/>
    </row>
    <row r="82">
      <c r="A82" s="216"/>
      <c r="B82" s="216"/>
      <c r="C82" s="216"/>
      <c r="D82" s="216"/>
      <c r="E82" s="216"/>
      <c r="F82" s="216"/>
      <c r="G82" s="216"/>
      <c r="H82" s="216"/>
      <c r="I82" s="216"/>
      <c r="J82" s="216"/>
    </row>
    <row r="83">
      <c r="A83" s="216"/>
      <c r="B83" s="216"/>
      <c r="C83" s="216"/>
      <c r="D83" s="216"/>
      <c r="E83" s="216"/>
      <c r="F83" s="216"/>
      <c r="G83" s="216"/>
      <c r="H83" s="216"/>
      <c r="I83" s="216"/>
      <c r="J83" s="216"/>
    </row>
    <row r="84">
      <c r="A84" s="216"/>
      <c r="B84" s="216"/>
      <c r="C84" s="216"/>
      <c r="D84" s="216"/>
      <c r="E84" s="216"/>
      <c r="F84" s="216"/>
      <c r="G84" s="216"/>
      <c r="H84" s="216"/>
      <c r="I84" s="216"/>
      <c r="J84" s="216"/>
    </row>
    <row r="85">
      <c r="A85" s="216"/>
      <c r="B85" s="216"/>
      <c r="C85" s="216"/>
      <c r="D85" s="216"/>
      <c r="E85" s="216"/>
      <c r="F85" s="216"/>
      <c r="G85" s="216"/>
      <c r="H85" s="216"/>
      <c r="I85" s="216"/>
      <c r="J85" s="216"/>
    </row>
    <row r="86">
      <c r="A86" s="216"/>
      <c r="B86" s="216"/>
      <c r="C86" s="216"/>
      <c r="D86" s="216"/>
      <c r="E86" s="216"/>
      <c r="F86" s="216"/>
      <c r="G86" s="216"/>
      <c r="H86" s="216"/>
      <c r="I86" s="216"/>
      <c r="J86" s="216"/>
    </row>
    <row r="87">
      <c r="A87" s="216"/>
      <c r="B87" s="216"/>
      <c r="C87" s="216"/>
      <c r="D87" s="216"/>
      <c r="E87" s="216"/>
      <c r="F87" s="216"/>
      <c r="G87" s="216"/>
      <c r="H87" s="216"/>
      <c r="I87" s="216"/>
      <c r="J87" s="216"/>
    </row>
    <row r="88">
      <c r="A88" s="216"/>
      <c r="B88" s="216"/>
      <c r="C88" s="216"/>
      <c r="D88" s="216"/>
      <c r="E88" s="216"/>
      <c r="F88" s="216"/>
      <c r="G88" s="216"/>
      <c r="H88" s="216"/>
      <c r="I88" s="216"/>
      <c r="J88" s="216"/>
    </row>
    <row r="89">
      <c r="A89" s="216"/>
      <c r="B89" s="216"/>
      <c r="C89" s="216"/>
      <c r="D89" s="216"/>
      <c r="E89" s="216"/>
      <c r="F89" s="216"/>
      <c r="G89" s="216"/>
      <c r="H89" s="216"/>
      <c r="I89" s="216"/>
      <c r="J89" s="216"/>
    </row>
    <row r="90">
      <c r="A90" s="216"/>
      <c r="B90" s="216"/>
      <c r="C90" s="216"/>
      <c r="D90" s="216"/>
      <c r="E90" s="216"/>
      <c r="F90" s="216"/>
      <c r="G90" s="216"/>
      <c r="H90" s="216"/>
      <c r="I90" s="216"/>
      <c r="J90" s="216"/>
    </row>
    <row r="91">
      <c r="A91" s="216"/>
      <c r="B91" s="216"/>
      <c r="C91" s="216"/>
      <c r="D91" s="216"/>
      <c r="E91" s="216"/>
      <c r="F91" s="216"/>
      <c r="G91" s="216"/>
      <c r="H91" s="216"/>
      <c r="I91" s="216"/>
      <c r="J91" s="216"/>
    </row>
    <row r="92">
      <c r="A92" s="216"/>
      <c r="B92" s="216"/>
      <c r="C92" s="216"/>
      <c r="D92" s="216"/>
      <c r="E92" s="216"/>
      <c r="F92" s="216"/>
      <c r="G92" s="216"/>
      <c r="H92" s="216"/>
      <c r="I92" s="216"/>
      <c r="J92" s="216"/>
    </row>
    <row r="93">
      <c r="A93" s="216"/>
      <c r="B93" s="216"/>
      <c r="C93" s="216"/>
      <c r="D93" s="216"/>
      <c r="E93" s="216"/>
      <c r="F93" s="216"/>
      <c r="G93" s="216"/>
      <c r="H93" s="216"/>
      <c r="I93" s="216"/>
      <c r="J93" s="216"/>
    </row>
    <row r="94">
      <c r="A94" s="216"/>
      <c r="B94" s="216"/>
      <c r="C94" s="216"/>
      <c r="D94" s="216"/>
      <c r="E94" s="216"/>
      <c r="F94" s="216"/>
      <c r="G94" s="216"/>
      <c r="H94" s="216"/>
      <c r="I94" s="216"/>
      <c r="J94" s="216"/>
    </row>
    <row r="95">
      <c r="A95" s="216"/>
      <c r="B95" s="216"/>
      <c r="C95" s="216"/>
      <c r="D95" s="216"/>
      <c r="E95" s="216"/>
      <c r="F95" s="216"/>
      <c r="G95" s="216"/>
      <c r="H95" s="216"/>
      <c r="I95" s="216"/>
      <c r="J95" s="216"/>
    </row>
    <row r="96">
      <c r="A96" s="216"/>
      <c r="B96" s="216"/>
      <c r="C96" s="216"/>
      <c r="D96" s="216"/>
      <c r="E96" s="216"/>
      <c r="F96" s="216"/>
      <c r="G96" s="216"/>
      <c r="H96" s="216"/>
      <c r="I96" s="216"/>
      <c r="J96" s="216"/>
    </row>
    <row r="97">
      <c r="A97" s="216"/>
      <c r="B97" s="216"/>
      <c r="C97" s="216"/>
      <c r="D97" s="216"/>
      <c r="E97" s="216"/>
      <c r="F97" s="216"/>
      <c r="G97" s="216"/>
      <c r="H97" s="216"/>
      <c r="I97" s="216"/>
      <c r="J97" s="216"/>
    </row>
    <row r="98">
      <c r="A98" s="216"/>
      <c r="B98" s="216"/>
      <c r="C98" s="216"/>
      <c r="D98" s="216"/>
      <c r="E98" s="216"/>
      <c r="F98" s="216"/>
      <c r="G98" s="216"/>
      <c r="H98" s="216"/>
      <c r="I98" s="216"/>
      <c r="J98" s="216"/>
    </row>
    <row r="99">
      <c r="A99" s="216"/>
      <c r="B99" s="216"/>
      <c r="C99" s="216"/>
      <c r="D99" s="216"/>
      <c r="E99" s="216"/>
      <c r="F99" s="216"/>
      <c r="G99" s="216"/>
      <c r="H99" s="216"/>
      <c r="I99" s="216"/>
      <c r="J99" s="216"/>
    </row>
    <row r="100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</row>
    <row r="10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</row>
    <row r="102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</row>
    <row r="103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</row>
    <row r="104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</row>
    <row r="105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</row>
    <row r="106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</row>
    <row r="107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</row>
    <row r="108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</row>
    <row r="109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</row>
    <row r="110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</row>
    <row r="11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</row>
    <row r="112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</row>
    <row r="113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</row>
    <row r="114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</row>
    <row r="115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</row>
    <row r="116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</row>
    <row r="117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</row>
    <row r="118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</row>
    <row r="119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</row>
    <row r="120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</row>
    <row r="12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</row>
    <row r="122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</row>
    <row r="123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</row>
    <row r="124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</row>
    <row r="125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</row>
    <row r="126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</row>
    <row r="127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</row>
    <row r="128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</row>
    <row r="129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</row>
    <row r="130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</row>
    <row r="13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</row>
    <row r="132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</row>
    <row r="133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</row>
    <row r="134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</row>
    <row r="135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</row>
    <row r="136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</row>
    <row r="137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</row>
    <row r="138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</row>
    <row r="139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</row>
    <row r="140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</row>
    <row r="14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</row>
    <row r="142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</row>
    <row r="143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</row>
    <row r="144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</row>
    <row r="145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</row>
    <row r="146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</row>
    <row r="147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</row>
    <row r="148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</row>
    <row r="149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</row>
    <row r="150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</row>
    <row r="15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</row>
    <row r="152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</row>
    <row r="153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</row>
    <row r="154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</row>
    <row r="155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</row>
    <row r="156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</row>
    <row r="157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</row>
    <row r="158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</row>
    <row r="159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</row>
    <row r="160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</row>
    <row r="16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</row>
    <row r="162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</row>
    <row r="163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</row>
    <row r="164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</row>
    <row r="165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</row>
    <row r="166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</row>
    <row r="167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</row>
    <row r="168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</row>
    <row r="169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</row>
    <row r="170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</row>
    <row r="17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</row>
    <row r="172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</row>
    <row r="173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</row>
    <row r="174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</row>
    <row r="175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</row>
    <row r="176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</row>
    <row r="177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</row>
    <row r="178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</row>
    <row r="179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</row>
    <row r="180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</row>
    <row r="18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</row>
    <row r="182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</row>
    <row r="183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</row>
    <row r="184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</row>
    <row r="185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</row>
    <row r="186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</row>
    <row r="187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</row>
    <row r="188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</row>
    <row r="189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</row>
    <row r="190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</row>
    <row r="19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</row>
    <row r="192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</row>
    <row r="193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</row>
    <row r="194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</row>
    <row r="195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</row>
    <row r="196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</row>
    <row r="197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</row>
    <row r="198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</row>
    <row r="199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</row>
    <row r="200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</row>
    <row r="20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</row>
    <row r="202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</row>
    <row r="203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</row>
    <row r="204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</row>
    <row r="205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</row>
    <row r="206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</row>
    <row r="207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</row>
    <row r="208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</row>
    <row r="209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</row>
    <row r="210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</row>
    <row r="21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</row>
    <row r="212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</row>
    <row r="213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</row>
    <row r="214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</row>
    <row r="215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</row>
    <row r="216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</row>
    <row r="217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</row>
    <row r="218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</row>
    <row r="219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</row>
    <row r="220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</row>
    <row r="22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</row>
    <row r="222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</row>
    <row r="223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</row>
    <row r="224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</row>
    <row r="225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</row>
    <row r="226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</row>
    <row r="227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</row>
    <row r="228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</row>
    <row r="229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</row>
    <row r="230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</row>
    <row r="23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</row>
    <row r="232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</row>
    <row r="233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</row>
    <row r="234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</row>
    <row r="235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</row>
    <row r="236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</row>
    <row r="237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</row>
    <row r="238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</row>
    <row r="239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</row>
    <row r="240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</row>
    <row r="24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</row>
    <row r="242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</row>
    <row r="243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</row>
    <row r="244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</row>
    <row r="245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</row>
    <row r="246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</row>
    <row r="247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</row>
    <row r="248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</row>
    <row r="249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</row>
    <row r="250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</row>
    <row r="25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</row>
    <row r="252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</row>
    <row r="253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</row>
    <row r="254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</row>
    <row r="255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</row>
    <row r="256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</row>
    <row r="257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</row>
    <row r="258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</row>
    <row r="259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</row>
    <row r="260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</row>
    <row r="26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</row>
    <row r="262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</row>
    <row r="263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</row>
    <row r="264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</row>
    <row r="265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</row>
    <row r="266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</row>
    <row r="267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</row>
    <row r="268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</row>
    <row r="269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</row>
    <row r="270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</row>
    <row r="27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</row>
    <row r="272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</row>
    <row r="273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</row>
    <row r="274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</row>
    <row r="275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</row>
    <row r="276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</row>
    <row r="277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</row>
    <row r="278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</row>
    <row r="279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</row>
    <row r="280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</row>
    <row r="28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</row>
    <row r="282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</row>
    <row r="283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</row>
    <row r="284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</row>
    <row r="285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</row>
    <row r="286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</row>
    <row r="287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</row>
    <row r="288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</row>
    <row r="289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</row>
    <row r="290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</row>
    <row r="29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</row>
    <row r="292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</row>
    <row r="293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</row>
    <row r="294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</row>
    <row r="295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</row>
    <row r="296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</row>
    <row r="297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</row>
    <row r="298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</row>
    <row r="299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</row>
    <row r="300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</row>
    <row r="30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</row>
    <row r="302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</row>
    <row r="303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</row>
    <row r="304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</row>
    <row r="305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</row>
    <row r="306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</row>
    <row r="307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</row>
    <row r="308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</row>
    <row r="309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</row>
    <row r="310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</row>
    <row r="31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</row>
    <row r="312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</row>
    <row r="313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</row>
    <row r="314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</row>
    <row r="315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</row>
    <row r="316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</row>
    <row r="317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</row>
    <row r="318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</row>
    <row r="319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</row>
    <row r="320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</row>
    <row r="32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</row>
    <row r="322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</row>
    <row r="323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</row>
    <row r="324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</row>
    <row r="325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</row>
    <row r="326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</row>
    <row r="327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</row>
    <row r="328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</row>
    <row r="329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</row>
    <row r="330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</row>
    <row r="33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</row>
    <row r="332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</row>
    <row r="333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</row>
    <row r="334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</row>
    <row r="335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</row>
    <row r="336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</row>
    <row r="337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</row>
    <row r="338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</row>
    <row r="339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</row>
    <row r="340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</row>
    <row r="34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</row>
    <row r="342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</row>
    <row r="343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</row>
    <row r="344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</row>
    <row r="345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</row>
    <row r="346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</row>
    <row r="347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</row>
    <row r="348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</row>
    <row r="349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</row>
    <row r="350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</row>
    <row r="35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</row>
    <row r="352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</row>
    <row r="353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</row>
    <row r="354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</row>
    <row r="355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</row>
    <row r="356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</row>
    <row r="357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</row>
    <row r="358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</row>
    <row r="359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</row>
    <row r="360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</row>
    <row r="36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</row>
    <row r="362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</row>
    <row r="363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</row>
    <row r="364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</row>
    <row r="365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</row>
    <row r="366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</row>
    <row r="367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</row>
    <row r="368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</row>
    <row r="369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</row>
    <row r="370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</row>
    <row r="37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</row>
    <row r="372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</row>
    <row r="373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</row>
    <row r="374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</row>
    <row r="375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</row>
    <row r="376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</row>
    <row r="377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</row>
    <row r="378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</row>
    <row r="379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</row>
    <row r="380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</row>
    <row r="38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</row>
    <row r="382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</row>
    <row r="383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</row>
    <row r="384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</row>
    <row r="385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</row>
    <row r="386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</row>
    <row r="387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</row>
    <row r="388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</row>
    <row r="389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</row>
    <row r="390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</row>
    <row r="39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</row>
    <row r="392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</row>
    <row r="393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</row>
    <row r="394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</row>
    <row r="395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</row>
    <row r="396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</row>
    <row r="397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</row>
    <row r="398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</row>
    <row r="399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</row>
    <row r="400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</row>
    <row r="40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</row>
    <row r="402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</row>
    <row r="403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</row>
    <row r="404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</row>
    <row r="405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</row>
    <row r="406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</row>
    <row r="407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</row>
    <row r="408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</row>
    <row r="409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</row>
    <row r="410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</row>
    <row r="41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</row>
    <row r="412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</row>
    <row r="413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</row>
    <row r="414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</row>
    <row r="415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</row>
    <row r="416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</row>
    <row r="417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</row>
    <row r="418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</row>
    <row r="419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</row>
    <row r="420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</row>
    <row r="42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</row>
    <row r="422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</row>
    <row r="423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</row>
    <row r="424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</row>
    <row r="425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</row>
    <row r="426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</row>
    <row r="427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</row>
    <row r="428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</row>
    <row r="429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</row>
    <row r="430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</row>
    <row r="43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</row>
    <row r="432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</row>
    <row r="433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</row>
    <row r="434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</row>
    <row r="435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</row>
    <row r="436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</row>
    <row r="437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</row>
    <row r="438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</row>
    <row r="439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</row>
    <row r="440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</row>
    <row r="44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</row>
    <row r="442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</row>
    <row r="443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</row>
    <row r="444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</row>
    <row r="445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</row>
    <row r="446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</row>
    <row r="447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</row>
    <row r="448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</row>
    <row r="449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</row>
    <row r="450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</row>
    <row r="45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</row>
    <row r="452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</row>
    <row r="453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</row>
    <row r="454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</row>
    <row r="455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</row>
    <row r="456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</row>
    <row r="457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</row>
    <row r="458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</row>
    <row r="459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</row>
    <row r="460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</row>
    <row r="46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</row>
    <row r="462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</row>
    <row r="463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</row>
    <row r="464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</row>
    <row r="465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</row>
    <row r="466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</row>
    <row r="467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</row>
    <row r="468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</row>
    <row r="469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</row>
    <row r="470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</row>
    <row r="47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</row>
    <row r="472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</row>
    <row r="473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</row>
    <row r="474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</row>
    <row r="475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</row>
    <row r="476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</row>
    <row r="477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</row>
    <row r="478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</row>
    <row r="479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</row>
    <row r="480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</row>
    <row r="48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</row>
    <row r="482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</row>
    <row r="483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</row>
    <row r="484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</row>
    <row r="485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</row>
    <row r="486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</row>
    <row r="487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</row>
    <row r="488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</row>
    <row r="489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</row>
    <row r="490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</row>
    <row r="49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</row>
    <row r="492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</row>
    <row r="493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</row>
    <row r="494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</row>
    <row r="495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</row>
    <row r="496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</row>
    <row r="497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</row>
    <row r="498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</row>
    <row r="499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</row>
    <row r="500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</row>
    <row r="50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</row>
    <row r="502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</row>
    <row r="503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</row>
    <row r="504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</row>
    <row r="505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</row>
    <row r="506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</row>
    <row r="507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</row>
    <row r="508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</row>
    <row r="509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</row>
    <row r="510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</row>
    <row r="51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</row>
    <row r="512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</row>
    <row r="513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</row>
    <row r="514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</row>
    <row r="515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</row>
    <row r="516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</row>
    <row r="517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</row>
    <row r="518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</row>
    <row r="519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</row>
    <row r="520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</row>
    <row r="52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</row>
    <row r="522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</row>
    <row r="523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</row>
    <row r="524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</row>
    <row r="525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</row>
    <row r="526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</row>
    <row r="527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</row>
    <row r="528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</row>
    <row r="529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</row>
    <row r="530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</row>
    <row r="53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</row>
    <row r="532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</row>
    <row r="533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</row>
    <row r="534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</row>
    <row r="535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</row>
    <row r="536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</row>
    <row r="537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</row>
    <row r="538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</row>
    <row r="539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</row>
    <row r="540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</row>
    <row r="54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</row>
    <row r="542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</row>
    <row r="543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</row>
    <row r="544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</row>
    <row r="545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</row>
    <row r="546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</row>
    <row r="547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</row>
    <row r="548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</row>
    <row r="549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</row>
    <row r="550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</row>
    <row r="55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</row>
    <row r="552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</row>
    <row r="553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</row>
    <row r="554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</row>
    <row r="555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</row>
    <row r="556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</row>
    <row r="557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</row>
    <row r="558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</row>
    <row r="559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</row>
    <row r="560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</row>
    <row r="56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</row>
    <row r="562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</row>
    <row r="563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</row>
    <row r="564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</row>
    <row r="565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</row>
    <row r="566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</row>
    <row r="567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</row>
    <row r="568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</row>
    <row r="569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</row>
    <row r="570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</row>
    <row r="57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</row>
    <row r="572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</row>
    <row r="573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</row>
    <row r="574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</row>
    <row r="575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</row>
    <row r="576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</row>
    <row r="577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</row>
    <row r="578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</row>
    <row r="579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</row>
    <row r="580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</row>
    <row r="58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</row>
    <row r="582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</row>
    <row r="583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</row>
    <row r="584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</row>
    <row r="585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</row>
    <row r="586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</row>
    <row r="587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</row>
    <row r="588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</row>
    <row r="589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</row>
    <row r="590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</row>
    <row r="59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</row>
    <row r="592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</row>
    <row r="593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</row>
    <row r="594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</row>
    <row r="595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</row>
    <row r="596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</row>
    <row r="597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</row>
    <row r="598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</row>
    <row r="599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</row>
    <row r="600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</row>
    <row r="60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</row>
    <row r="602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</row>
    <row r="603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</row>
    <row r="604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</row>
    <row r="605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</row>
    <row r="606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</row>
    <row r="607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</row>
    <row r="608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</row>
    <row r="609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</row>
    <row r="610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</row>
    <row r="61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</row>
    <row r="612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</row>
    <row r="613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</row>
    <row r="614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</row>
    <row r="615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</row>
    <row r="616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</row>
    <row r="617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</row>
    <row r="618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</row>
    <row r="619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</row>
    <row r="620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</row>
    <row r="62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</row>
    <row r="622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</row>
    <row r="623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</row>
    <row r="624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</row>
    <row r="625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</row>
    <row r="626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</row>
    <row r="627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</row>
    <row r="628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</row>
    <row r="629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</row>
    <row r="630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</row>
    <row r="63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</row>
    <row r="632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</row>
    <row r="633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</row>
    <row r="634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</row>
    <row r="635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</row>
    <row r="636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</row>
    <row r="637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</row>
    <row r="638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</row>
    <row r="639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</row>
    <row r="640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</row>
    <row r="64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</row>
    <row r="642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</row>
    <row r="643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</row>
    <row r="644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</row>
    <row r="645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</row>
    <row r="646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</row>
    <row r="647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</row>
    <row r="648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</row>
    <row r="649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</row>
    <row r="650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</row>
    <row r="65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</row>
    <row r="652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</row>
    <row r="653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</row>
    <row r="654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</row>
    <row r="655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</row>
    <row r="656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</row>
    <row r="657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</row>
    <row r="658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</row>
    <row r="659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</row>
    <row r="660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</row>
    <row r="66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</row>
    <row r="662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</row>
    <row r="663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</row>
    <row r="664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</row>
    <row r="665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</row>
    <row r="666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</row>
    <row r="667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</row>
    <row r="668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</row>
    <row r="669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</row>
    <row r="670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</row>
    <row r="67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</row>
    <row r="672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</row>
    <row r="673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</row>
    <row r="674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</row>
    <row r="675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</row>
    <row r="676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</row>
    <row r="677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</row>
    <row r="678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</row>
    <row r="679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</row>
    <row r="680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</row>
    <row r="68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</row>
    <row r="682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</row>
    <row r="683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</row>
    <row r="684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</row>
    <row r="685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</row>
    <row r="686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</row>
    <row r="687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</row>
    <row r="688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</row>
    <row r="689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</row>
    <row r="690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</row>
    <row r="69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</row>
    <row r="692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</row>
    <row r="693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</row>
    <row r="694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</row>
    <row r="695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</row>
    <row r="696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</row>
    <row r="697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</row>
    <row r="698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</row>
    <row r="699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</row>
    <row r="700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</row>
    <row r="70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</row>
    <row r="702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</row>
    <row r="703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</row>
    <row r="704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</row>
    <row r="705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</row>
    <row r="706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</row>
    <row r="707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</row>
    <row r="708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</row>
    <row r="709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</row>
    <row r="710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</row>
    <row r="71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</row>
    <row r="712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</row>
    <row r="713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</row>
    <row r="714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</row>
    <row r="715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</row>
    <row r="716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</row>
    <row r="717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</row>
    <row r="718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</row>
    <row r="719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</row>
    <row r="720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</row>
    <row r="72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</row>
    <row r="722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</row>
    <row r="723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</row>
    <row r="724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</row>
    <row r="725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</row>
    <row r="726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</row>
    <row r="727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</row>
    <row r="728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</row>
    <row r="729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</row>
    <row r="730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</row>
    <row r="73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</row>
    <row r="732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</row>
    <row r="733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</row>
    <row r="734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</row>
    <row r="735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</row>
    <row r="736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</row>
    <row r="737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</row>
    <row r="738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</row>
    <row r="739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</row>
    <row r="740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</row>
    <row r="74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</row>
    <row r="742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</row>
    <row r="743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</row>
    <row r="744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</row>
    <row r="745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</row>
    <row r="746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</row>
    <row r="747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</row>
    <row r="748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</row>
    <row r="749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</row>
    <row r="750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</row>
    <row r="75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</row>
    <row r="752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</row>
    <row r="753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</row>
    <row r="754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</row>
    <row r="755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</row>
    <row r="756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</row>
    <row r="757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</row>
    <row r="758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</row>
    <row r="759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</row>
    <row r="760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</row>
    <row r="76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</row>
    <row r="762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</row>
    <row r="763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</row>
    <row r="764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</row>
    <row r="765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</row>
    <row r="766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</row>
    <row r="767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</row>
    <row r="768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</row>
    <row r="769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</row>
    <row r="770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</row>
    <row r="77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</row>
    <row r="772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</row>
    <row r="773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</row>
    <row r="774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</row>
    <row r="775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</row>
    <row r="776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</row>
    <row r="777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</row>
    <row r="778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</row>
    <row r="779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</row>
    <row r="780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</row>
    <row r="78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</row>
    <row r="782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</row>
    <row r="783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</row>
    <row r="784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</row>
    <row r="785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</row>
    <row r="786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</row>
    <row r="787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</row>
    <row r="788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</row>
    <row r="789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</row>
    <row r="790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</row>
    <row r="79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</row>
    <row r="792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</row>
    <row r="793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</row>
    <row r="794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</row>
    <row r="795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</row>
    <row r="796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</row>
    <row r="797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</row>
    <row r="798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</row>
    <row r="799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</row>
    <row r="800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</row>
    <row r="80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</row>
    <row r="802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</row>
    <row r="803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</row>
    <row r="804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</row>
    <row r="805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</row>
    <row r="806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</row>
    <row r="807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</row>
    <row r="808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</row>
    <row r="809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</row>
    <row r="810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</row>
    <row r="81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</row>
    <row r="812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</row>
    <row r="813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</row>
    <row r="814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</row>
    <row r="815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</row>
    <row r="816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</row>
    <row r="817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</row>
    <row r="818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</row>
    <row r="819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</row>
    <row r="820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</row>
    <row r="82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</row>
    <row r="822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</row>
    <row r="823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</row>
    <row r="824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</row>
    <row r="825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</row>
    <row r="826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</row>
    <row r="827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</row>
    <row r="828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</row>
    <row r="829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</row>
    <row r="830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</row>
    <row r="83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</row>
    <row r="832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</row>
    <row r="833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</row>
    <row r="834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</row>
    <row r="835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</row>
    <row r="836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</row>
    <row r="837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</row>
    <row r="838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</row>
    <row r="839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</row>
    <row r="840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</row>
    <row r="84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</row>
    <row r="842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</row>
    <row r="843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</row>
    <row r="844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</row>
    <row r="845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</row>
    <row r="846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</row>
    <row r="847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</row>
    <row r="848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</row>
    <row r="849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</row>
    <row r="850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</row>
    <row r="85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</row>
    <row r="852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</row>
    <row r="853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</row>
    <row r="854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</row>
    <row r="855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</row>
    <row r="856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</row>
    <row r="857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</row>
    <row r="858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</row>
    <row r="859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</row>
    <row r="860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</row>
    <row r="86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</row>
    <row r="862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</row>
    <row r="863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</row>
    <row r="864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</row>
    <row r="865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</row>
    <row r="866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</row>
    <row r="867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</row>
    <row r="868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</row>
    <row r="869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</row>
    <row r="870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</row>
    <row r="87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</row>
    <row r="872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</row>
    <row r="873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</row>
    <row r="874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</row>
    <row r="875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</row>
    <row r="876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</row>
    <row r="877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</row>
    <row r="878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</row>
    <row r="879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</row>
    <row r="880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</row>
    <row r="88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</row>
    <row r="882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</row>
    <row r="883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</row>
    <row r="884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</row>
    <row r="885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</row>
    <row r="886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</row>
    <row r="887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</row>
    <row r="888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</row>
    <row r="889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</row>
    <row r="890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</row>
    <row r="89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</row>
    <row r="892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</row>
    <row r="893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</row>
    <row r="894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</row>
    <row r="895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</row>
    <row r="896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</row>
    <row r="897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</row>
    <row r="898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</row>
    <row r="899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</row>
    <row r="900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</row>
    <row r="90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</row>
    <row r="902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</row>
    <row r="903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</row>
    <row r="904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</row>
    <row r="905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</row>
    <row r="906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</row>
    <row r="907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</row>
    <row r="908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</row>
    <row r="909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</row>
    <row r="910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</row>
    <row r="91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</row>
    <row r="912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</row>
    <row r="913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</row>
    <row r="914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</row>
    <row r="915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</row>
    <row r="916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</row>
    <row r="917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</row>
    <row r="918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</row>
    <row r="919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</row>
    <row r="920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</row>
    <row r="92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</row>
    <row r="922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</row>
    <row r="923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</row>
    <row r="924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</row>
    <row r="925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</row>
    <row r="926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</row>
    <row r="927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</row>
    <row r="928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</row>
    <row r="929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</row>
    <row r="930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</row>
    <row r="93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</row>
    <row r="932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</row>
    <row r="933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</row>
    <row r="934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</row>
    <row r="935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</row>
    <row r="936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</row>
    <row r="937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</row>
    <row r="938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</row>
    <row r="939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</row>
    <row r="940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</row>
    <row r="94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</row>
    <row r="942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</row>
    <row r="943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</row>
    <row r="944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</row>
    <row r="945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</row>
    <row r="946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</row>
    <row r="947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</row>
    <row r="948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</row>
    <row r="949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</row>
    <row r="950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</row>
    <row r="95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</row>
    <row r="952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</row>
    <row r="953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</row>
    <row r="954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</row>
    <row r="955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</row>
    <row r="956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</row>
    <row r="957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</row>
    <row r="958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</row>
    <row r="959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</row>
    <row r="960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</row>
    <row r="96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</row>
    <row r="962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</row>
    <row r="963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</row>
    <row r="964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</row>
    <row r="965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</row>
    <row r="966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</row>
    <row r="967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</row>
    <row r="968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</row>
    <row r="969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</row>
    <row r="970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</row>
    <row r="97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</row>
    <row r="972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</row>
    <row r="973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</row>
    <row r="974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</row>
    <row r="975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</row>
    <row r="976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</row>
    <row r="977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</row>
    <row r="978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</row>
    <row r="979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</row>
    <row r="980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</row>
    <row r="98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</row>
    <row r="982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</row>
    <row r="983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</row>
    <row r="984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</row>
    <row r="985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</row>
    <row r="986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</row>
    <row r="987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</row>
    <row r="988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</row>
    <row r="989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</row>
    <row r="990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</row>
    <row r="99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</row>
    <row r="992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</row>
    <row r="993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</row>
    <row r="994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</row>
    <row r="995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</row>
    <row r="996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</row>
    <row r="997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</row>
    <row r="998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</row>
    <row r="999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</row>
    <row r="1000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38"/>
    <col customWidth="1" min="3" max="3" width="14.38"/>
    <col customWidth="1" min="4" max="4" width="25.38"/>
    <col customWidth="1" min="6" max="6" width="23.5"/>
    <col customWidth="1" min="7" max="7" width="57.0"/>
    <col customWidth="1" min="8" max="8" width="18.25"/>
    <col customWidth="1" min="10" max="10" width="15.5"/>
  </cols>
  <sheetData>
    <row r="1">
      <c r="A1" s="217" t="s">
        <v>446</v>
      </c>
      <c r="B1" s="108" t="s">
        <v>447</v>
      </c>
      <c r="C1" s="108" t="s">
        <v>448</v>
      </c>
      <c r="D1" s="108" t="s">
        <v>449</v>
      </c>
      <c r="E1" s="108" t="s">
        <v>450</v>
      </c>
      <c r="F1" s="108" t="s">
        <v>451</v>
      </c>
      <c r="G1" s="218" t="s">
        <v>452</v>
      </c>
      <c r="H1" s="189"/>
      <c r="I1" s="189"/>
    </row>
    <row r="2">
      <c r="A2" s="219">
        <v>46083.0</v>
      </c>
      <c r="B2" s="189"/>
      <c r="C2" s="189"/>
      <c r="D2" s="189"/>
      <c r="E2" s="189"/>
      <c r="F2" s="189"/>
      <c r="G2" s="189"/>
      <c r="H2" s="189"/>
      <c r="I2" s="189"/>
    </row>
    <row r="3">
      <c r="A3" s="220" t="s">
        <v>453</v>
      </c>
      <c r="B3" s="220" t="s">
        <v>454</v>
      </c>
      <c r="C3" s="220" t="s">
        <v>455</v>
      </c>
      <c r="D3" s="221" t="s">
        <v>456</v>
      </c>
      <c r="E3" s="222"/>
      <c r="F3" s="222"/>
      <c r="G3" s="189"/>
      <c r="H3" s="223" t="s">
        <v>457</v>
      </c>
      <c r="I3" s="220" t="s">
        <v>458</v>
      </c>
      <c r="J3" s="220"/>
      <c r="K3" s="220"/>
    </row>
    <row r="4">
      <c r="A4" s="220" t="s">
        <v>459</v>
      </c>
      <c r="B4" s="220" t="s">
        <v>454</v>
      </c>
      <c r="C4" s="220" t="s">
        <v>460</v>
      </c>
      <c r="D4" s="224" t="s">
        <v>461</v>
      </c>
      <c r="E4" s="108" t="s">
        <v>462</v>
      </c>
      <c r="F4" s="225"/>
      <c r="G4" s="189"/>
      <c r="H4" s="108"/>
      <c r="I4" s="222"/>
      <c r="J4" s="226"/>
    </row>
    <row r="5">
      <c r="A5" s="220" t="s">
        <v>463</v>
      </c>
      <c r="B5" s="220" t="s">
        <v>454</v>
      </c>
      <c r="C5" s="220" t="s">
        <v>464</v>
      </c>
      <c r="D5" s="221" t="s">
        <v>465</v>
      </c>
      <c r="E5" s="189"/>
      <c r="F5" s="189"/>
      <c r="G5" s="189"/>
      <c r="H5" s="108"/>
      <c r="I5" s="222"/>
      <c r="J5" s="108"/>
    </row>
    <row r="6">
      <c r="A6" s="220" t="s">
        <v>466</v>
      </c>
      <c r="B6" s="220" t="s">
        <v>454</v>
      </c>
      <c r="C6" s="220" t="s">
        <v>464</v>
      </c>
      <c r="D6" s="221" t="s">
        <v>467</v>
      </c>
      <c r="E6" s="189"/>
      <c r="F6" s="189"/>
      <c r="G6" s="189"/>
      <c r="H6" s="108"/>
      <c r="I6" s="220"/>
      <c r="J6" s="226"/>
    </row>
    <row r="7">
      <c r="A7" s="108" t="s">
        <v>468</v>
      </c>
      <c r="B7" s="189"/>
      <c r="C7" s="108" t="s">
        <v>464</v>
      </c>
      <c r="D7" s="221" t="s">
        <v>469</v>
      </c>
      <c r="E7" s="108"/>
      <c r="F7" s="225"/>
      <c r="G7" s="219">
        <v>46083.0</v>
      </c>
      <c r="H7" s="189"/>
      <c r="I7" s="222"/>
      <c r="J7" s="226"/>
      <c r="K7" s="55" t="s">
        <v>470</v>
      </c>
    </row>
    <row r="8">
      <c r="A8" s="108" t="s">
        <v>471</v>
      </c>
      <c r="B8" s="108" t="s">
        <v>472</v>
      </c>
      <c r="C8" s="108" t="s">
        <v>455</v>
      </c>
      <c r="D8" s="221" t="s">
        <v>473</v>
      </c>
      <c r="E8" s="189"/>
      <c r="F8" s="189"/>
      <c r="G8" s="108" t="s">
        <v>474</v>
      </c>
      <c r="H8" s="189"/>
      <c r="I8" s="220"/>
      <c r="J8" s="226"/>
      <c r="K8" s="55" t="s">
        <v>475</v>
      </c>
    </row>
    <row r="9">
      <c r="A9" s="220" t="s">
        <v>476</v>
      </c>
      <c r="B9" s="108" t="s">
        <v>477</v>
      </c>
      <c r="C9" s="220" t="s">
        <v>464</v>
      </c>
      <c r="D9" s="221" t="s">
        <v>478</v>
      </c>
      <c r="E9" s="220"/>
      <c r="F9" s="220"/>
      <c r="G9" s="189"/>
      <c r="H9" s="223"/>
      <c r="I9" s="220"/>
      <c r="J9" s="226"/>
      <c r="K9" s="55" t="s">
        <v>479</v>
      </c>
    </row>
    <row r="10">
      <c r="A10" s="108" t="s">
        <v>480</v>
      </c>
      <c r="B10" s="108" t="s">
        <v>481</v>
      </c>
      <c r="C10" s="108" t="s">
        <v>482</v>
      </c>
      <c r="D10" s="221" t="s">
        <v>483</v>
      </c>
      <c r="E10" s="108"/>
      <c r="F10" s="227"/>
      <c r="G10" s="189"/>
      <c r="H10" s="223"/>
      <c r="I10" s="220" t="s">
        <v>484</v>
      </c>
      <c r="J10" s="226"/>
      <c r="K10" s="55" t="s">
        <v>485</v>
      </c>
    </row>
    <row r="11">
      <c r="A11" s="220" t="s">
        <v>486</v>
      </c>
      <c r="B11" s="222"/>
      <c r="C11" s="220">
        <v>13.0</v>
      </c>
      <c r="D11" s="228"/>
      <c r="E11" s="220" t="s">
        <v>487</v>
      </c>
      <c r="F11" s="222"/>
      <c r="G11" s="189"/>
      <c r="H11" s="223"/>
      <c r="I11" s="220" t="s">
        <v>128</v>
      </c>
      <c r="J11" s="229" t="s">
        <v>488</v>
      </c>
    </row>
    <row r="12">
      <c r="A12" s="220"/>
      <c r="B12" s="222"/>
      <c r="C12" s="220"/>
      <c r="D12" s="228"/>
      <c r="E12" s="220"/>
      <c r="F12" s="222"/>
      <c r="G12" s="189"/>
      <c r="H12" s="223"/>
      <c r="I12" s="220" t="s">
        <v>386</v>
      </c>
      <c r="J12" s="229" t="s">
        <v>488</v>
      </c>
    </row>
    <row r="13">
      <c r="A13" s="189"/>
      <c r="B13" s="189"/>
      <c r="C13" s="189"/>
      <c r="D13" s="189"/>
      <c r="E13" s="189"/>
      <c r="F13" s="222"/>
      <c r="G13" s="219">
        <v>46084.0</v>
      </c>
      <c r="H13" s="223"/>
      <c r="I13" s="220"/>
      <c r="J13" s="226"/>
    </row>
    <row r="14">
      <c r="A14" s="219">
        <v>46084.0</v>
      </c>
      <c r="B14" s="222"/>
      <c r="C14" s="220"/>
      <c r="D14" s="222"/>
      <c r="E14" s="222"/>
      <c r="F14" s="222"/>
      <c r="G14" s="108" t="s">
        <v>489</v>
      </c>
      <c r="H14" s="223"/>
      <c r="I14" s="220"/>
      <c r="J14" s="226"/>
    </row>
    <row r="15">
      <c r="A15" s="220" t="s">
        <v>490</v>
      </c>
      <c r="B15" s="220"/>
      <c r="C15" s="220" t="s">
        <v>491</v>
      </c>
      <c r="D15" s="221" t="s">
        <v>492</v>
      </c>
      <c r="E15" s="220" t="s">
        <v>493</v>
      </c>
      <c r="F15" s="230" t="s">
        <v>494</v>
      </c>
      <c r="G15" s="189"/>
      <c r="H15" s="223"/>
      <c r="I15" s="222"/>
      <c r="J15" s="226"/>
    </row>
    <row r="16">
      <c r="A16" s="220" t="s">
        <v>495</v>
      </c>
      <c r="B16" s="220"/>
      <c r="C16" s="220" t="s">
        <v>460</v>
      </c>
      <c r="D16" s="221" t="s">
        <v>496</v>
      </c>
      <c r="E16" s="220" t="s">
        <v>497</v>
      </c>
      <c r="F16" s="230" t="s">
        <v>498</v>
      </c>
      <c r="G16" s="108" t="s">
        <v>499</v>
      </c>
      <c r="H16" s="223"/>
      <c r="I16" s="222"/>
      <c r="J16" s="226"/>
    </row>
    <row r="17">
      <c r="A17" s="220" t="s">
        <v>500</v>
      </c>
      <c r="B17" s="220" t="s">
        <v>501</v>
      </c>
      <c r="C17" s="220" t="s">
        <v>502</v>
      </c>
      <c r="D17" s="221" t="s">
        <v>503</v>
      </c>
      <c r="E17" s="220" t="s">
        <v>504</v>
      </c>
      <c r="F17" s="220"/>
      <c r="G17" s="108" t="s">
        <v>505</v>
      </c>
      <c r="H17" s="220"/>
      <c r="I17" s="220"/>
      <c r="J17" s="226"/>
    </row>
    <row r="18">
      <c r="A18" s="220" t="s">
        <v>506</v>
      </c>
      <c r="B18" s="220" t="s">
        <v>501</v>
      </c>
      <c r="C18" s="220" t="s">
        <v>482</v>
      </c>
      <c r="D18" s="221" t="s">
        <v>507</v>
      </c>
      <c r="E18" s="220" t="s">
        <v>508</v>
      </c>
      <c r="F18" s="230"/>
      <c r="G18" s="108"/>
      <c r="H18" s="220"/>
      <c r="I18" s="222"/>
      <c r="J18" s="226"/>
    </row>
    <row r="19">
      <c r="A19" s="220" t="s">
        <v>509</v>
      </c>
      <c r="B19" s="220" t="s">
        <v>510</v>
      </c>
      <c r="C19" s="220" t="s">
        <v>511</v>
      </c>
      <c r="D19" s="221" t="s">
        <v>512</v>
      </c>
      <c r="E19" s="220" t="s">
        <v>508</v>
      </c>
      <c r="F19" s="231"/>
      <c r="G19" s="108" t="s">
        <v>513</v>
      </c>
      <c r="H19" s="223"/>
      <c r="I19" s="222"/>
      <c r="J19" s="226"/>
    </row>
    <row r="20">
      <c r="A20" s="220" t="s">
        <v>514</v>
      </c>
      <c r="B20" s="220" t="s">
        <v>510</v>
      </c>
      <c r="C20" s="220" t="s">
        <v>464</v>
      </c>
      <c r="D20" s="221" t="s">
        <v>515</v>
      </c>
      <c r="E20" s="220" t="s">
        <v>516</v>
      </c>
      <c r="F20" s="232" t="s">
        <v>517</v>
      </c>
      <c r="G20" s="108" t="s">
        <v>518</v>
      </c>
      <c r="H20" s="223"/>
      <c r="I20" s="222"/>
      <c r="J20" s="226"/>
    </row>
    <row r="21">
      <c r="A21" s="220" t="s">
        <v>486</v>
      </c>
      <c r="B21" s="220"/>
      <c r="C21" s="220">
        <v>29.0</v>
      </c>
      <c r="D21" s="228"/>
      <c r="E21" s="220" t="s">
        <v>519</v>
      </c>
      <c r="F21" s="222"/>
      <c r="G21" s="189"/>
      <c r="H21" s="230"/>
      <c r="I21" s="108"/>
      <c r="J21" s="189"/>
      <c r="K21" s="189"/>
      <c r="L21" s="108"/>
    </row>
    <row r="22">
      <c r="A22" s="189"/>
      <c r="B22" s="189"/>
      <c r="C22" s="189"/>
      <c r="D22" s="189"/>
      <c r="E22" s="189"/>
      <c r="F22" s="222"/>
      <c r="G22" s="108" t="s">
        <v>520</v>
      </c>
      <c r="H22" s="230"/>
      <c r="I22" s="220"/>
      <c r="J22" s="226"/>
    </row>
    <row r="23">
      <c r="A23" s="222"/>
      <c r="B23" s="222"/>
      <c r="C23" s="222"/>
      <c r="D23" s="222"/>
      <c r="E23" s="222"/>
      <c r="F23" s="222"/>
      <c r="G23" s="108" t="s">
        <v>521</v>
      </c>
      <c r="H23" s="220"/>
      <c r="I23" s="220"/>
      <c r="J23" s="233"/>
      <c r="K23" s="219"/>
      <c r="L23" s="234"/>
    </row>
    <row r="24">
      <c r="A24" s="219">
        <v>46085.0</v>
      </c>
      <c r="B24" s="222"/>
      <c r="C24" s="222"/>
      <c r="D24" s="222"/>
      <c r="E24" s="222"/>
      <c r="F24" s="222"/>
      <c r="G24" s="189"/>
      <c r="H24" s="220"/>
      <c r="I24" s="220"/>
      <c r="J24" s="233"/>
      <c r="K24" s="219"/>
      <c r="L24" s="233"/>
    </row>
    <row r="25">
      <c r="A25" s="220" t="s">
        <v>522</v>
      </c>
      <c r="B25" s="220" t="s">
        <v>455</v>
      </c>
      <c r="C25" s="220" t="s">
        <v>523</v>
      </c>
      <c r="D25" s="221" t="s">
        <v>524</v>
      </c>
      <c r="E25" s="235" t="s">
        <v>525</v>
      </c>
      <c r="F25" s="227" t="s">
        <v>526</v>
      </c>
      <c r="G25" s="219">
        <v>46085.0</v>
      </c>
      <c r="H25" s="220"/>
      <c r="I25" s="220"/>
      <c r="J25" s="233"/>
      <c r="K25" s="219"/>
      <c r="L25" s="234"/>
    </row>
    <row r="26">
      <c r="A26" s="220" t="s">
        <v>527</v>
      </c>
      <c r="B26" s="220" t="s">
        <v>455</v>
      </c>
      <c r="C26" s="220" t="s">
        <v>523</v>
      </c>
      <c r="D26" s="221" t="s">
        <v>528</v>
      </c>
      <c r="E26" s="220" t="s">
        <v>529</v>
      </c>
      <c r="F26" s="227" t="s">
        <v>530</v>
      </c>
      <c r="G26" s="108" t="s">
        <v>531</v>
      </c>
      <c r="H26" s="220"/>
      <c r="I26" s="220"/>
      <c r="J26" s="233"/>
      <c r="K26" s="219"/>
      <c r="L26" s="233"/>
    </row>
    <row r="27">
      <c r="A27" s="220" t="s">
        <v>532</v>
      </c>
      <c r="B27" s="220"/>
      <c r="C27" s="236">
        <v>46367.0</v>
      </c>
      <c r="D27" s="221" t="s">
        <v>533</v>
      </c>
      <c r="E27" s="220" t="s">
        <v>534</v>
      </c>
      <c r="F27" s="232" t="s">
        <v>535</v>
      </c>
      <c r="G27" s="108" t="s">
        <v>536</v>
      </c>
      <c r="H27" s="220"/>
      <c r="I27" s="220"/>
      <c r="J27" s="233"/>
      <c r="K27" s="219"/>
      <c r="L27" s="233"/>
    </row>
    <row r="28">
      <c r="A28" s="108" t="s">
        <v>537</v>
      </c>
      <c r="B28" s="220" t="s">
        <v>511</v>
      </c>
      <c r="C28" s="220"/>
      <c r="D28" s="221" t="s">
        <v>538</v>
      </c>
      <c r="E28" s="108" t="s">
        <v>539</v>
      </c>
      <c r="F28" s="189"/>
      <c r="G28" s="220"/>
      <c r="H28" s="220"/>
      <c r="I28" s="220"/>
      <c r="J28" s="233"/>
      <c r="K28" s="219"/>
      <c r="L28" s="233"/>
    </row>
    <row r="29">
      <c r="A29" s="108" t="s">
        <v>540</v>
      </c>
      <c r="B29" s="220" t="s">
        <v>454</v>
      </c>
      <c r="C29" s="108" t="s">
        <v>455</v>
      </c>
      <c r="D29" s="221" t="s">
        <v>541</v>
      </c>
      <c r="E29" s="108" t="s">
        <v>542</v>
      </c>
      <c r="F29" s="108" t="s">
        <v>543</v>
      </c>
      <c r="G29" s="220" t="s">
        <v>544</v>
      </c>
      <c r="H29" s="220"/>
      <c r="I29" s="220"/>
      <c r="J29" s="233"/>
      <c r="K29" s="219"/>
      <c r="L29" s="233"/>
    </row>
    <row r="30">
      <c r="A30" s="108" t="s">
        <v>545</v>
      </c>
      <c r="B30" s="220" t="s">
        <v>454</v>
      </c>
      <c r="C30" s="108" t="s">
        <v>546</v>
      </c>
      <c r="D30" s="221" t="s">
        <v>547</v>
      </c>
      <c r="E30" s="108" t="s">
        <v>462</v>
      </c>
      <c r="F30" s="189"/>
      <c r="G30" s="220"/>
      <c r="H30" s="220"/>
      <c r="I30" s="220"/>
      <c r="J30" s="226"/>
      <c r="K30" s="219"/>
    </row>
    <row r="31">
      <c r="A31" s="220" t="s">
        <v>548</v>
      </c>
      <c r="B31" s="220" t="s">
        <v>454</v>
      </c>
      <c r="C31" s="220" t="s">
        <v>464</v>
      </c>
      <c r="D31" s="221" t="s">
        <v>549</v>
      </c>
      <c r="E31" s="220" t="s">
        <v>550</v>
      </c>
      <c r="F31" s="108" t="s">
        <v>551</v>
      </c>
      <c r="G31" s="108"/>
      <c r="H31" s="223"/>
      <c r="I31" s="223"/>
      <c r="J31" s="226"/>
      <c r="K31" s="219"/>
    </row>
    <row r="32">
      <c r="A32" s="220" t="s">
        <v>552</v>
      </c>
      <c r="B32" s="220" t="s">
        <v>472</v>
      </c>
      <c r="C32" s="220" t="s">
        <v>553</v>
      </c>
      <c r="D32" s="237" t="s">
        <v>554</v>
      </c>
      <c r="E32" s="220" t="s">
        <v>555</v>
      </c>
      <c r="F32" s="189"/>
      <c r="G32" s="220"/>
      <c r="H32" s="220" t="s">
        <v>556</v>
      </c>
      <c r="I32" s="230"/>
      <c r="J32" s="220"/>
      <c r="K32" s="226"/>
    </row>
    <row r="33">
      <c r="A33" s="220"/>
      <c r="B33" s="220"/>
      <c r="C33" s="220">
        <v>46.0</v>
      </c>
      <c r="D33" s="235"/>
      <c r="E33" s="222"/>
      <c r="F33" s="222"/>
      <c r="G33" s="220"/>
      <c r="H33" s="220"/>
      <c r="I33" s="220"/>
      <c r="J33" s="220"/>
      <c r="K33" s="233"/>
      <c r="L33" s="219"/>
      <c r="M33" s="234"/>
    </row>
    <row r="34">
      <c r="A34" s="235"/>
      <c r="B34" s="235"/>
      <c r="C34" s="223"/>
      <c r="D34" s="235"/>
      <c r="E34" s="235"/>
      <c r="F34" s="222"/>
      <c r="G34" s="222"/>
      <c r="H34" s="220"/>
      <c r="I34" s="220"/>
      <c r="J34" s="220"/>
      <c r="K34" s="233"/>
      <c r="L34" s="219"/>
      <c r="M34" s="233"/>
    </row>
    <row r="35">
      <c r="A35" s="238">
        <v>46086.0</v>
      </c>
      <c r="B35" s="235"/>
      <c r="C35" s="223"/>
      <c r="D35" s="235"/>
      <c r="E35" s="235"/>
      <c r="F35" s="222"/>
      <c r="G35" s="222"/>
      <c r="H35" s="108"/>
      <c r="I35" s="223"/>
      <c r="J35" s="223"/>
      <c r="K35" s="226"/>
      <c r="L35" s="219"/>
      <c r="M35" s="234"/>
    </row>
    <row r="36">
      <c r="A36" s="220" t="s">
        <v>557</v>
      </c>
      <c r="B36" s="220"/>
      <c r="C36" s="220" t="s">
        <v>502</v>
      </c>
      <c r="D36" s="237" t="s">
        <v>558</v>
      </c>
      <c r="E36" s="222"/>
      <c r="F36" s="235"/>
      <c r="G36" s="222"/>
      <c r="H36" s="108"/>
      <c r="I36" s="223"/>
      <c r="J36" s="223"/>
      <c r="K36" s="226"/>
      <c r="L36" s="219"/>
      <c r="M36" s="233"/>
    </row>
    <row r="37">
      <c r="A37" s="220" t="s">
        <v>559</v>
      </c>
      <c r="B37" s="220"/>
      <c r="C37" s="220" t="s">
        <v>502</v>
      </c>
      <c r="D37" s="237" t="s">
        <v>560</v>
      </c>
      <c r="E37" s="222"/>
      <c r="F37" s="235"/>
      <c r="G37" s="220"/>
      <c r="H37" s="108"/>
      <c r="I37" s="223"/>
      <c r="J37" s="223"/>
      <c r="K37" s="226"/>
      <c r="L37" s="219"/>
      <c r="M37" s="234"/>
    </row>
    <row r="38">
      <c r="A38" s="220" t="s">
        <v>561</v>
      </c>
      <c r="B38" s="220"/>
      <c r="C38" s="220" t="s">
        <v>455</v>
      </c>
      <c r="D38" s="237" t="s">
        <v>562</v>
      </c>
      <c r="E38" s="220"/>
      <c r="F38" s="222"/>
      <c r="G38" s="220" t="s">
        <v>563</v>
      </c>
      <c r="H38" s="108"/>
      <c r="I38" s="223"/>
      <c r="J38" s="223"/>
      <c r="K38" s="226"/>
      <c r="L38" s="219"/>
      <c r="M38" s="233"/>
    </row>
    <row r="39">
      <c r="A39" s="220" t="s">
        <v>564</v>
      </c>
      <c r="B39" s="220"/>
      <c r="C39" s="220" t="s">
        <v>482</v>
      </c>
      <c r="D39" s="221" t="s">
        <v>565</v>
      </c>
      <c r="E39" s="220" t="s">
        <v>508</v>
      </c>
      <c r="F39" s="231" t="s">
        <v>566</v>
      </c>
      <c r="G39" s="220" t="s">
        <v>567</v>
      </c>
      <c r="H39" s="108"/>
      <c r="I39" s="223"/>
      <c r="J39" s="223"/>
      <c r="K39" s="226"/>
      <c r="L39" s="219"/>
      <c r="M39" s="233"/>
    </row>
    <row r="40">
      <c r="A40" s="220" t="s">
        <v>568</v>
      </c>
      <c r="B40" s="220"/>
      <c r="C40" s="220"/>
      <c r="D40" s="239"/>
      <c r="E40" s="222"/>
      <c r="F40" s="222"/>
      <c r="G40" s="220" t="s">
        <v>569</v>
      </c>
      <c r="H40" s="108"/>
      <c r="I40" s="220"/>
      <c r="J40" s="220"/>
      <c r="K40" s="226"/>
      <c r="L40" s="219"/>
    </row>
    <row r="41">
      <c r="A41" s="189"/>
      <c r="B41" s="189"/>
      <c r="C41" s="108">
        <v>59.0</v>
      </c>
      <c r="D41" s="189"/>
      <c r="E41" s="189"/>
      <c r="F41" s="189"/>
      <c r="G41" s="220"/>
      <c r="H41" s="108"/>
      <c r="I41" s="223"/>
      <c r="J41" s="223"/>
      <c r="K41" s="226"/>
      <c r="L41" s="219"/>
    </row>
    <row r="42">
      <c r="A42" s="189"/>
      <c r="B42" s="189"/>
      <c r="C42" s="189"/>
      <c r="D42" s="189"/>
      <c r="E42" s="189"/>
      <c r="F42" s="189"/>
      <c r="G42" s="222"/>
      <c r="H42" s="108"/>
      <c r="I42" s="223"/>
      <c r="J42" s="223"/>
      <c r="K42" s="226"/>
      <c r="L42" s="219"/>
    </row>
    <row r="43">
      <c r="A43" s="189"/>
      <c r="B43" s="189"/>
      <c r="C43" s="189"/>
      <c r="D43" s="189"/>
      <c r="E43" s="189"/>
      <c r="F43" s="189"/>
      <c r="G43" s="222"/>
      <c r="H43" s="222"/>
      <c r="I43" s="222"/>
      <c r="J43" s="226"/>
    </row>
    <row r="44">
      <c r="A44" s="189"/>
      <c r="B44" s="189"/>
      <c r="C44" s="189"/>
      <c r="D44" s="189"/>
      <c r="E44" s="189"/>
      <c r="F44" s="189"/>
      <c r="G44" s="220" t="s">
        <v>570</v>
      </c>
      <c r="H44" s="108"/>
      <c r="I44" s="222"/>
      <c r="J44" s="226"/>
    </row>
    <row r="45">
      <c r="A45" s="220"/>
      <c r="B45" s="220"/>
      <c r="C45" s="220"/>
      <c r="D45" s="222"/>
      <c r="E45" s="222"/>
      <c r="F45" s="222"/>
      <c r="G45" s="220" t="s">
        <v>571</v>
      </c>
      <c r="H45" s="108"/>
      <c r="I45" s="220"/>
      <c r="J45" s="226"/>
    </row>
    <row r="46">
      <c r="A46" s="238">
        <v>46087.0</v>
      </c>
      <c r="B46" s="189"/>
      <c r="C46" s="189"/>
      <c r="D46" s="189"/>
      <c r="E46" s="189"/>
      <c r="F46" s="189"/>
      <c r="G46" s="220" t="s">
        <v>572</v>
      </c>
      <c r="H46" s="108"/>
      <c r="I46" s="240"/>
      <c r="J46" s="229"/>
    </row>
    <row r="47">
      <c r="A47" s="220" t="s">
        <v>506</v>
      </c>
      <c r="B47" s="220" t="s">
        <v>501</v>
      </c>
      <c r="C47" s="220" t="s">
        <v>464</v>
      </c>
      <c r="D47" s="237" t="s">
        <v>573</v>
      </c>
      <c r="E47" s="189"/>
      <c r="F47" s="189"/>
      <c r="G47" s="220" t="s">
        <v>574</v>
      </c>
      <c r="H47" s="108"/>
      <c r="I47" s="240"/>
      <c r="J47" s="226"/>
    </row>
    <row r="48">
      <c r="A48" s="220" t="s">
        <v>514</v>
      </c>
      <c r="B48" s="220" t="s">
        <v>510</v>
      </c>
      <c r="C48" s="220" t="s">
        <v>553</v>
      </c>
      <c r="D48" s="237" t="s">
        <v>575</v>
      </c>
      <c r="E48" s="189"/>
      <c r="F48" s="189"/>
      <c r="G48" s="222"/>
      <c r="H48" s="108"/>
      <c r="I48" s="108"/>
      <c r="J48" s="226"/>
      <c r="K48" s="220"/>
      <c r="X48" s="55" t="s">
        <v>576</v>
      </c>
    </row>
    <row r="49">
      <c r="A49" s="108" t="s">
        <v>577</v>
      </c>
      <c r="B49" s="108" t="s">
        <v>472</v>
      </c>
      <c r="C49" s="108" t="s">
        <v>482</v>
      </c>
      <c r="D49" s="237" t="s">
        <v>578</v>
      </c>
      <c r="E49" s="189"/>
      <c r="F49" s="241"/>
      <c r="G49" s="222"/>
      <c r="H49" s="108"/>
      <c r="I49" s="108"/>
      <c r="J49" s="222"/>
      <c r="K49" s="227"/>
    </row>
    <row r="50">
      <c r="A50" s="108" t="s">
        <v>579</v>
      </c>
      <c r="B50" s="108" t="s">
        <v>472</v>
      </c>
      <c r="C50" s="108" t="s">
        <v>464</v>
      </c>
      <c r="D50" s="237" t="s">
        <v>580</v>
      </c>
      <c r="E50" s="189"/>
      <c r="F50" s="232" t="s">
        <v>581</v>
      </c>
      <c r="G50" s="219"/>
      <c r="H50" s="108"/>
      <c r="I50" s="108"/>
      <c r="J50" s="222"/>
      <c r="K50" s="227"/>
    </row>
    <row r="51">
      <c r="A51" s="220" t="s">
        <v>582</v>
      </c>
      <c r="B51" s="222"/>
      <c r="C51" s="220" t="s">
        <v>502</v>
      </c>
      <c r="D51" s="237" t="s">
        <v>583</v>
      </c>
      <c r="E51" s="189"/>
      <c r="F51" s="189"/>
      <c r="G51" s="220"/>
      <c r="H51" s="189"/>
      <c r="I51" s="189"/>
    </row>
    <row r="52">
      <c r="A52" s="108" t="s">
        <v>584</v>
      </c>
      <c r="B52" s="108" t="s">
        <v>454</v>
      </c>
      <c r="C52" s="108" t="s">
        <v>464</v>
      </c>
      <c r="D52" s="221" t="s">
        <v>585</v>
      </c>
      <c r="E52" s="108" t="s">
        <v>455</v>
      </c>
      <c r="F52" s="222"/>
      <c r="G52" s="219">
        <v>46090.0</v>
      </c>
      <c r="H52" s="108"/>
      <c r="I52" s="189"/>
    </row>
    <row r="53">
      <c r="A53" s="108" t="s">
        <v>586</v>
      </c>
      <c r="B53" s="108" t="s">
        <v>454</v>
      </c>
      <c r="C53" s="220" t="s">
        <v>587</v>
      </c>
      <c r="D53" s="221" t="s">
        <v>588</v>
      </c>
      <c r="E53" s="219"/>
      <c r="F53" s="219"/>
      <c r="G53" s="220" t="s">
        <v>486</v>
      </c>
      <c r="H53" s="220"/>
      <c r="I53" s="108"/>
      <c r="J53" s="220"/>
    </row>
    <row r="54">
      <c r="A54" s="220" t="s">
        <v>589</v>
      </c>
      <c r="B54" s="108" t="s">
        <v>454</v>
      </c>
      <c r="C54" s="220" t="s">
        <v>590</v>
      </c>
      <c r="D54" s="221" t="s">
        <v>591</v>
      </c>
      <c r="E54" s="220" t="s">
        <v>566</v>
      </c>
      <c r="F54" s="232" t="s">
        <v>592</v>
      </c>
      <c r="G54" s="220" t="s">
        <v>593</v>
      </c>
      <c r="H54" s="189"/>
      <c r="I54" s="189"/>
    </row>
    <row r="55">
      <c r="A55" s="108" t="s">
        <v>594</v>
      </c>
      <c r="B55" s="108" t="s">
        <v>454</v>
      </c>
      <c r="C55" s="220" t="s">
        <v>455</v>
      </c>
      <c r="D55" s="221" t="s">
        <v>595</v>
      </c>
      <c r="E55" s="220" t="s">
        <v>464</v>
      </c>
      <c r="F55" s="242" t="s">
        <v>566</v>
      </c>
      <c r="G55" s="189"/>
      <c r="H55" s="189"/>
      <c r="I55" s="189"/>
    </row>
    <row r="56">
      <c r="A56" s="108" t="s">
        <v>596</v>
      </c>
      <c r="B56" s="108" t="s">
        <v>454</v>
      </c>
      <c r="C56" s="220" t="s">
        <v>597</v>
      </c>
      <c r="D56" s="221" t="s">
        <v>598</v>
      </c>
      <c r="E56" s="220" t="s">
        <v>597</v>
      </c>
      <c r="F56" s="242" t="s">
        <v>566</v>
      </c>
      <c r="G56" s="189"/>
      <c r="H56" s="108"/>
      <c r="I56" s="189"/>
    </row>
    <row r="57">
      <c r="A57" s="220" t="s">
        <v>599</v>
      </c>
      <c r="B57" s="220" t="s">
        <v>454</v>
      </c>
      <c r="C57" s="220" t="s">
        <v>464</v>
      </c>
      <c r="D57" s="221" t="s">
        <v>600</v>
      </c>
      <c r="E57" s="220" t="s">
        <v>516</v>
      </c>
      <c r="F57" s="222"/>
      <c r="G57" s="189"/>
      <c r="H57" s="108"/>
      <c r="I57" s="189"/>
      <c r="J57" s="108"/>
      <c r="L57" s="108"/>
      <c r="M57" s="243"/>
    </row>
    <row r="58">
      <c r="A58" s="220" t="s">
        <v>601</v>
      </c>
      <c r="B58" s="220" t="s">
        <v>454</v>
      </c>
      <c r="C58" s="220" t="s">
        <v>597</v>
      </c>
      <c r="D58" s="221" t="s">
        <v>602</v>
      </c>
      <c r="E58" s="220" t="s">
        <v>462</v>
      </c>
      <c r="F58" s="231" t="s">
        <v>566</v>
      </c>
      <c r="G58" s="189"/>
      <c r="H58" s="189"/>
      <c r="I58" s="189"/>
    </row>
    <row r="59">
      <c r="A59" s="220" t="s">
        <v>603</v>
      </c>
      <c r="B59" s="220" t="s">
        <v>454</v>
      </c>
      <c r="C59" s="220" t="s">
        <v>553</v>
      </c>
      <c r="D59" s="221" t="s">
        <v>604</v>
      </c>
      <c r="E59" s="189"/>
      <c r="F59" s="189"/>
      <c r="G59" s="220"/>
      <c r="H59" s="189"/>
      <c r="I59" s="189"/>
    </row>
    <row r="60">
      <c r="A60" s="108" t="s">
        <v>605</v>
      </c>
      <c r="B60" s="189"/>
      <c r="C60" s="244">
        <v>0.5</v>
      </c>
      <c r="D60" s="221" t="s">
        <v>606</v>
      </c>
      <c r="E60" s="220"/>
      <c r="F60" s="222"/>
      <c r="G60" s="222"/>
      <c r="H60" s="108" t="s">
        <v>607</v>
      </c>
      <c r="I60" s="189"/>
    </row>
    <row r="61">
      <c r="A61" s="189"/>
      <c r="B61" s="189"/>
      <c r="C61" s="108">
        <v>83.0</v>
      </c>
      <c r="D61" s="189"/>
      <c r="E61" s="189"/>
      <c r="F61" s="189"/>
      <c r="G61" s="222"/>
      <c r="H61" s="220"/>
      <c r="I61" s="220"/>
    </row>
    <row r="62">
      <c r="A62" s="189"/>
      <c r="B62" s="189"/>
      <c r="C62" s="189"/>
      <c r="D62" s="189"/>
      <c r="E62" s="189"/>
      <c r="F62" s="189"/>
      <c r="G62" s="222"/>
      <c r="H62" s="189"/>
      <c r="I62" s="189"/>
    </row>
    <row r="63">
      <c r="A63" s="238">
        <v>46088.0</v>
      </c>
      <c r="B63" s="222"/>
      <c r="C63" s="220"/>
      <c r="D63" s="222"/>
      <c r="E63" s="222"/>
      <c r="F63" s="222"/>
      <c r="G63" s="222"/>
      <c r="H63" s="189"/>
      <c r="I63" s="189"/>
    </row>
    <row r="64">
      <c r="A64" s="220" t="s">
        <v>608</v>
      </c>
      <c r="B64" s="220" t="s">
        <v>454</v>
      </c>
      <c r="C64" s="220" t="s">
        <v>609</v>
      </c>
      <c r="D64" s="224" t="s">
        <v>610</v>
      </c>
      <c r="E64" s="222"/>
      <c r="F64" s="222"/>
      <c r="G64" s="222"/>
      <c r="H64" s="189"/>
      <c r="I64" s="189"/>
    </row>
    <row r="65">
      <c r="A65" s="220" t="s">
        <v>611</v>
      </c>
      <c r="B65" s="220" t="s">
        <v>454</v>
      </c>
      <c r="C65" s="220" t="s">
        <v>502</v>
      </c>
      <c r="D65" s="224" t="s">
        <v>612</v>
      </c>
      <c r="E65" s="220"/>
      <c r="F65" s="241"/>
      <c r="G65" s="222"/>
      <c r="H65" s="189"/>
      <c r="I65" s="189"/>
    </row>
    <row r="66">
      <c r="A66" s="220" t="s">
        <v>613</v>
      </c>
      <c r="B66" s="220" t="s">
        <v>454</v>
      </c>
      <c r="C66" s="220" t="s">
        <v>614</v>
      </c>
      <c r="D66" s="245" t="s">
        <v>615</v>
      </c>
      <c r="E66" s="220"/>
      <c r="F66" s="232"/>
      <c r="G66" s="222"/>
      <c r="H66" s="189"/>
      <c r="I66" s="189"/>
    </row>
    <row r="67">
      <c r="A67" s="220" t="s">
        <v>616</v>
      </c>
      <c r="B67" s="108" t="s">
        <v>454</v>
      </c>
      <c r="C67" s="220" t="s">
        <v>455</v>
      </c>
      <c r="D67" s="224" t="s">
        <v>617</v>
      </c>
      <c r="E67" s="222"/>
      <c r="F67" s="222"/>
      <c r="G67" s="222"/>
      <c r="H67" s="108" t="s">
        <v>618</v>
      </c>
      <c r="I67" s="189"/>
    </row>
    <row r="68">
      <c r="A68" s="220" t="s">
        <v>619</v>
      </c>
      <c r="B68" s="108" t="s">
        <v>454</v>
      </c>
      <c r="C68" s="220" t="s">
        <v>590</v>
      </c>
      <c r="D68" s="224" t="s">
        <v>620</v>
      </c>
      <c r="E68" s="220"/>
      <c r="F68" s="222"/>
      <c r="G68" s="222"/>
      <c r="H68" s="223"/>
      <c r="I68" s="220" t="s">
        <v>621</v>
      </c>
      <c r="J68" s="246" t="s">
        <v>622</v>
      </c>
    </row>
    <row r="69">
      <c r="A69" s="220" t="s">
        <v>623</v>
      </c>
      <c r="B69" s="108" t="s">
        <v>454</v>
      </c>
      <c r="C69" s="220" t="s">
        <v>464</v>
      </c>
      <c r="D69" s="224" t="s">
        <v>624</v>
      </c>
      <c r="E69" s="220"/>
      <c r="F69" s="222"/>
      <c r="G69" s="222"/>
      <c r="H69" s="108"/>
      <c r="I69" s="220" t="s">
        <v>625</v>
      </c>
      <c r="J69" s="247" t="s">
        <v>626</v>
      </c>
    </row>
    <row r="70">
      <c r="A70" s="220"/>
      <c r="B70" s="220"/>
      <c r="C70" s="220">
        <v>93.0</v>
      </c>
      <c r="D70" s="220"/>
      <c r="E70" s="220"/>
      <c r="F70" s="222"/>
      <c r="G70" s="222"/>
      <c r="H70" s="108"/>
      <c r="I70" s="220" t="s">
        <v>627</v>
      </c>
      <c r="J70" s="248" t="s">
        <v>628</v>
      </c>
    </row>
    <row r="71">
      <c r="A71" s="219">
        <v>46089.0</v>
      </c>
      <c r="B71" s="220"/>
      <c r="C71" s="220"/>
      <c r="D71" s="220"/>
      <c r="E71" s="222"/>
      <c r="F71" s="220"/>
      <c r="G71" s="222"/>
      <c r="H71" s="108"/>
      <c r="I71" s="233"/>
      <c r="J71" s="220"/>
    </row>
    <row r="72">
      <c r="A72" s="108" t="s">
        <v>480</v>
      </c>
      <c r="B72" s="220" t="s">
        <v>629</v>
      </c>
      <c r="C72" s="220" t="s">
        <v>630</v>
      </c>
      <c r="D72" s="224" t="s">
        <v>631</v>
      </c>
      <c r="E72" s="222"/>
      <c r="F72" s="242" t="s">
        <v>566</v>
      </c>
      <c r="G72" s="222"/>
      <c r="H72" s="108"/>
      <c r="I72" s="233"/>
      <c r="J72" s="220"/>
    </row>
    <row r="73">
      <c r="A73" s="108" t="s">
        <v>564</v>
      </c>
      <c r="B73" s="220" t="s">
        <v>629</v>
      </c>
      <c r="C73" s="220" t="s">
        <v>632</v>
      </c>
      <c r="D73" s="224" t="s">
        <v>633</v>
      </c>
      <c r="E73" s="222"/>
      <c r="F73" s="222"/>
      <c r="G73" s="219"/>
      <c r="H73" s="108"/>
      <c r="I73" s="233"/>
      <c r="J73" s="220"/>
    </row>
    <row r="74">
      <c r="A74" s="220" t="s">
        <v>463</v>
      </c>
      <c r="B74" s="108" t="s">
        <v>454</v>
      </c>
      <c r="C74" s="220" t="s">
        <v>464</v>
      </c>
      <c r="D74" s="224" t="s">
        <v>634</v>
      </c>
      <c r="E74" s="222"/>
      <c r="F74" s="222"/>
      <c r="G74" s="220"/>
      <c r="H74" s="108"/>
      <c r="I74" s="233"/>
      <c r="J74" s="220"/>
    </row>
    <row r="75">
      <c r="A75" s="220" t="s">
        <v>635</v>
      </c>
      <c r="B75" s="108" t="s">
        <v>454</v>
      </c>
      <c r="C75" s="220" t="s">
        <v>455</v>
      </c>
      <c r="D75" s="224" t="s">
        <v>636</v>
      </c>
      <c r="E75" s="222"/>
      <c r="F75" s="222"/>
      <c r="G75" s="222"/>
      <c r="H75" s="189"/>
      <c r="I75" s="189"/>
    </row>
    <row r="76">
      <c r="A76" s="220" t="s">
        <v>637</v>
      </c>
      <c r="B76" s="220" t="s">
        <v>638</v>
      </c>
      <c r="C76" s="220" t="s">
        <v>482</v>
      </c>
      <c r="D76" s="224" t="s">
        <v>639</v>
      </c>
      <c r="E76" s="189"/>
      <c r="F76" s="189"/>
      <c r="G76" s="220"/>
      <c r="H76" s="189"/>
      <c r="I76" s="189"/>
    </row>
    <row r="77">
      <c r="A77" s="189"/>
      <c r="B77" s="189"/>
      <c r="C77" s="108">
        <v>102.0</v>
      </c>
      <c r="D77" s="189"/>
      <c r="E77" s="189"/>
      <c r="F77" s="189"/>
      <c r="G77" s="220"/>
      <c r="H77" s="108"/>
      <c r="I77" s="189"/>
    </row>
    <row r="78">
      <c r="A78" s="189"/>
      <c r="B78" s="189"/>
      <c r="C78" s="189"/>
      <c r="D78" s="189"/>
      <c r="E78" s="189"/>
      <c r="F78" s="189"/>
      <c r="G78" s="220"/>
      <c r="H78" s="189"/>
      <c r="I78" s="189"/>
    </row>
    <row r="79">
      <c r="A79" s="189"/>
      <c r="B79" s="189"/>
      <c r="C79" s="189"/>
      <c r="D79" s="189"/>
      <c r="E79" s="189"/>
      <c r="F79" s="189"/>
      <c r="G79" s="220"/>
      <c r="H79" s="189"/>
      <c r="I79" s="189"/>
    </row>
    <row r="80">
      <c r="A80" s="238">
        <v>46090.0</v>
      </c>
      <c r="B80" s="220"/>
      <c r="C80" s="220"/>
      <c r="D80" s="222"/>
      <c r="E80" s="222"/>
      <c r="F80" s="222"/>
      <c r="G80" s="220"/>
      <c r="H80" s="189"/>
      <c r="I80" s="189"/>
    </row>
    <row r="81">
      <c r="A81" s="108" t="s">
        <v>577</v>
      </c>
      <c r="B81" s="108" t="s">
        <v>472</v>
      </c>
      <c r="C81" s="108" t="s">
        <v>502</v>
      </c>
      <c r="D81" s="245" t="s">
        <v>640</v>
      </c>
      <c r="E81" s="222"/>
      <c r="F81" s="225"/>
      <c r="G81" s="222"/>
      <c r="H81" s="189"/>
      <c r="I81" s="189"/>
    </row>
    <row r="82">
      <c r="A82" s="108" t="s">
        <v>500</v>
      </c>
      <c r="B82" s="108" t="s">
        <v>501</v>
      </c>
      <c r="C82" s="108" t="s">
        <v>502</v>
      </c>
      <c r="D82" s="245" t="s">
        <v>641</v>
      </c>
      <c r="E82" s="189"/>
      <c r="F82" s="189"/>
      <c r="G82" s="220"/>
      <c r="H82" s="189"/>
      <c r="I82" s="189"/>
    </row>
    <row r="83">
      <c r="A83" s="108" t="s">
        <v>642</v>
      </c>
      <c r="B83" s="220" t="s">
        <v>454</v>
      </c>
      <c r="C83" s="220" t="s">
        <v>464</v>
      </c>
      <c r="D83" s="245" t="s">
        <v>643</v>
      </c>
      <c r="E83" s="108" t="s">
        <v>644</v>
      </c>
      <c r="F83" s="231" t="s">
        <v>566</v>
      </c>
      <c r="G83" s="222"/>
      <c r="H83" s="189"/>
      <c r="I83" s="189"/>
    </row>
    <row r="84">
      <c r="A84" s="220" t="s">
        <v>645</v>
      </c>
      <c r="B84" s="220" t="s">
        <v>646</v>
      </c>
      <c r="C84" s="220" t="s">
        <v>553</v>
      </c>
      <c r="D84" s="224" t="s">
        <v>647</v>
      </c>
      <c r="E84" s="220"/>
      <c r="F84" s="222"/>
      <c r="G84" s="222"/>
      <c r="H84" s="189"/>
      <c r="I84" s="189"/>
    </row>
    <row r="85">
      <c r="A85" s="189"/>
      <c r="B85" s="189"/>
      <c r="C85" s="108">
        <v>113.0</v>
      </c>
      <c r="D85" s="189"/>
      <c r="E85" s="189"/>
      <c r="F85" s="189"/>
      <c r="G85" s="222"/>
      <c r="H85" s="189"/>
      <c r="I85" s="189"/>
    </row>
    <row r="86">
      <c r="A86" s="189"/>
      <c r="B86" s="189"/>
      <c r="C86" s="189"/>
      <c r="D86" s="189"/>
      <c r="E86" s="189"/>
      <c r="F86" s="189"/>
      <c r="G86" s="222"/>
      <c r="H86" s="189"/>
      <c r="I86" s="189"/>
    </row>
    <row r="87">
      <c r="A87" s="238">
        <v>46091.0</v>
      </c>
      <c r="B87" s="189"/>
      <c r="C87" s="189"/>
      <c r="D87" s="189"/>
      <c r="E87" s="189"/>
      <c r="F87" s="189"/>
      <c r="G87" s="222"/>
      <c r="H87" s="189"/>
      <c r="I87" s="189"/>
    </row>
    <row r="88">
      <c r="A88" s="220" t="s">
        <v>579</v>
      </c>
      <c r="B88" s="108" t="s">
        <v>472</v>
      </c>
      <c r="C88" s="220" t="s">
        <v>511</v>
      </c>
      <c r="D88" s="237" t="s">
        <v>648</v>
      </c>
      <c r="E88" s="222"/>
      <c r="F88" s="222"/>
      <c r="G88" s="222"/>
      <c r="H88" s="189"/>
      <c r="I88" s="108"/>
    </row>
    <row r="89">
      <c r="A89" s="220" t="s">
        <v>649</v>
      </c>
      <c r="B89" s="220" t="s">
        <v>650</v>
      </c>
      <c r="C89" s="220" t="s">
        <v>651</v>
      </c>
      <c r="D89" s="221" t="s">
        <v>652</v>
      </c>
      <c r="E89" s="220" t="s">
        <v>653</v>
      </c>
      <c r="F89" s="222"/>
      <c r="G89" s="222"/>
      <c r="H89" s="189"/>
      <c r="I89" s="189"/>
    </row>
    <row r="90">
      <c r="A90" s="220" t="s">
        <v>654</v>
      </c>
      <c r="B90" s="220" t="s">
        <v>650</v>
      </c>
      <c r="C90" s="220" t="s">
        <v>597</v>
      </c>
      <c r="D90" s="221" t="s">
        <v>655</v>
      </c>
      <c r="E90" s="220" t="s">
        <v>656</v>
      </c>
      <c r="F90" s="222"/>
      <c r="G90" s="222"/>
      <c r="H90" s="189"/>
      <c r="I90" s="189"/>
    </row>
    <row r="91">
      <c r="A91" s="220" t="s">
        <v>657</v>
      </c>
      <c r="B91" s="108" t="s">
        <v>454</v>
      </c>
      <c r="C91" s="220" t="s">
        <v>464</v>
      </c>
      <c r="D91" s="224" t="s">
        <v>658</v>
      </c>
      <c r="E91" s="220" t="s">
        <v>566</v>
      </c>
      <c r="F91" s="222"/>
      <c r="G91" s="222"/>
      <c r="H91" s="189"/>
      <c r="I91" s="189"/>
    </row>
    <row r="92">
      <c r="A92" s="220" t="s">
        <v>659</v>
      </c>
      <c r="B92" s="108" t="s">
        <v>454</v>
      </c>
      <c r="C92" s="220" t="s">
        <v>590</v>
      </c>
      <c r="D92" s="221" t="s">
        <v>660</v>
      </c>
      <c r="E92" s="222"/>
      <c r="F92" s="231" t="s">
        <v>566</v>
      </c>
      <c r="G92" s="220"/>
      <c r="H92" s="108"/>
      <c r="I92" s="189"/>
    </row>
    <row r="93">
      <c r="A93" s="220" t="s">
        <v>661</v>
      </c>
      <c r="B93" s="108" t="s">
        <v>454</v>
      </c>
      <c r="C93" s="220" t="s">
        <v>464</v>
      </c>
      <c r="D93" s="221" t="s">
        <v>662</v>
      </c>
      <c r="E93" s="222"/>
      <c r="F93" s="222"/>
      <c r="G93" s="220"/>
      <c r="H93" s="108"/>
      <c r="I93" s="189"/>
    </row>
    <row r="94">
      <c r="A94" s="220" t="s">
        <v>663</v>
      </c>
      <c r="B94" s="108" t="s">
        <v>454</v>
      </c>
      <c r="C94" s="220" t="s">
        <v>464</v>
      </c>
      <c r="D94" s="221" t="s">
        <v>664</v>
      </c>
      <c r="E94" s="220"/>
      <c r="F94" s="222"/>
      <c r="G94" s="220"/>
      <c r="H94" s="189"/>
      <c r="I94" s="189"/>
    </row>
    <row r="95">
      <c r="A95" s="220" t="s">
        <v>603</v>
      </c>
      <c r="B95" s="108" t="s">
        <v>454</v>
      </c>
      <c r="C95" s="220" t="s">
        <v>464</v>
      </c>
      <c r="D95" s="221" t="s">
        <v>665</v>
      </c>
      <c r="E95" s="220" t="s">
        <v>566</v>
      </c>
      <c r="F95" s="249"/>
      <c r="G95" s="219"/>
      <c r="H95" s="189"/>
      <c r="I95" s="189"/>
    </row>
    <row r="96">
      <c r="A96" s="220" t="s">
        <v>666</v>
      </c>
      <c r="B96" s="108"/>
      <c r="C96" s="220"/>
      <c r="D96" s="228"/>
      <c r="E96" s="220"/>
      <c r="F96" s="222"/>
      <c r="G96" s="220"/>
      <c r="H96" s="189"/>
      <c r="I96" s="189"/>
    </row>
    <row r="97">
      <c r="A97" s="220"/>
      <c r="B97" s="222"/>
      <c r="C97" s="220">
        <v>12.0</v>
      </c>
      <c r="D97" s="222"/>
      <c r="E97" s="220"/>
      <c r="F97" s="222"/>
      <c r="G97" s="223"/>
    </row>
    <row r="98">
      <c r="A98" s="219">
        <v>46092.0</v>
      </c>
      <c r="B98" s="220"/>
      <c r="C98" s="220"/>
      <c r="D98" s="220"/>
      <c r="E98" s="220"/>
      <c r="F98" s="222"/>
      <c r="G98" s="223"/>
    </row>
    <row r="99">
      <c r="A99" s="220" t="s">
        <v>667</v>
      </c>
      <c r="B99" s="250">
        <v>0.6041666666666666</v>
      </c>
      <c r="C99" s="220" t="s">
        <v>630</v>
      </c>
      <c r="D99" s="221" t="s">
        <v>668</v>
      </c>
      <c r="E99" s="220" t="s">
        <v>669</v>
      </c>
      <c r="F99" s="249" t="s">
        <v>670</v>
      </c>
      <c r="G99" s="223"/>
      <c r="H99" s="189"/>
      <c r="I99" s="189"/>
    </row>
    <row r="100">
      <c r="A100" s="220" t="s">
        <v>671</v>
      </c>
      <c r="B100" s="108" t="s">
        <v>454</v>
      </c>
      <c r="C100" s="220" t="s">
        <v>455</v>
      </c>
      <c r="D100" s="221" t="s">
        <v>672</v>
      </c>
      <c r="E100" s="220"/>
      <c r="F100" s="222"/>
      <c r="G100" s="223"/>
      <c r="H100" s="189"/>
      <c r="I100" s="189"/>
    </row>
    <row r="101">
      <c r="A101" s="220" t="s">
        <v>673</v>
      </c>
      <c r="B101" s="220"/>
      <c r="C101" s="220" t="s">
        <v>632</v>
      </c>
      <c r="D101" s="228" t="s">
        <v>674</v>
      </c>
      <c r="E101" s="251" t="s">
        <v>675</v>
      </c>
      <c r="F101" s="251" t="s">
        <v>566</v>
      </c>
      <c r="G101" s="252"/>
      <c r="H101" s="108"/>
      <c r="I101" s="189"/>
    </row>
    <row r="102">
      <c r="A102" s="220" t="s">
        <v>552</v>
      </c>
      <c r="B102" s="220" t="s">
        <v>676</v>
      </c>
      <c r="C102" s="220" t="s">
        <v>502</v>
      </c>
      <c r="D102" s="221" t="s">
        <v>677</v>
      </c>
      <c r="E102" s="220" t="s">
        <v>678</v>
      </c>
      <c r="F102" s="222"/>
      <c r="G102" s="222"/>
    </row>
    <row r="103">
      <c r="A103" s="108" t="s">
        <v>679</v>
      </c>
      <c r="B103" s="108" t="s">
        <v>680</v>
      </c>
      <c r="C103" s="108" t="s">
        <v>502</v>
      </c>
      <c r="D103" s="221" t="s">
        <v>681</v>
      </c>
      <c r="E103" s="253"/>
      <c r="F103" s="222"/>
      <c r="G103" s="220"/>
      <c r="H103" s="108" t="s">
        <v>607</v>
      </c>
      <c r="I103" s="220"/>
    </row>
    <row r="104">
      <c r="A104" s="220" t="s">
        <v>682</v>
      </c>
      <c r="B104" s="222"/>
      <c r="C104" s="220">
        <v>20.0</v>
      </c>
      <c r="D104" s="228"/>
      <c r="E104" s="222"/>
      <c r="F104" s="254"/>
      <c r="G104" s="222"/>
      <c r="H104" s="220" t="s">
        <v>673</v>
      </c>
      <c r="I104" s="220"/>
      <c r="J104" s="220"/>
      <c r="K104" s="228"/>
      <c r="L104" s="251" t="s">
        <v>683</v>
      </c>
      <c r="M104" s="222"/>
    </row>
    <row r="105">
      <c r="A105" s="189"/>
      <c r="B105" s="189"/>
      <c r="C105" s="189"/>
      <c r="D105" s="189"/>
      <c r="E105" s="189"/>
      <c r="F105" s="189"/>
      <c r="G105" s="222"/>
      <c r="H105" s="222"/>
      <c r="I105" s="189"/>
    </row>
    <row r="106">
      <c r="A106" s="219"/>
      <c r="B106" s="220"/>
      <c r="C106" s="220"/>
      <c r="D106" s="220"/>
      <c r="E106" s="222"/>
      <c r="F106" s="254"/>
      <c r="G106" s="222"/>
      <c r="H106" s="189"/>
      <c r="I106" s="189"/>
    </row>
    <row r="107">
      <c r="A107" s="219">
        <v>46093.0</v>
      </c>
      <c r="B107" s="189"/>
      <c r="C107" s="189"/>
      <c r="D107" s="189"/>
      <c r="E107" s="189"/>
      <c r="F107" s="189"/>
      <c r="G107" s="220"/>
      <c r="H107" s="189"/>
      <c r="I107" s="189"/>
    </row>
    <row r="108">
      <c r="A108" s="108" t="s">
        <v>514</v>
      </c>
      <c r="B108" s="108" t="s">
        <v>510</v>
      </c>
      <c r="C108" s="108" t="s">
        <v>482</v>
      </c>
      <c r="D108" s="224" t="s">
        <v>684</v>
      </c>
      <c r="E108" s="108"/>
      <c r="F108" s="189"/>
      <c r="G108" s="189"/>
      <c r="H108" s="220"/>
      <c r="I108" s="189"/>
    </row>
    <row r="109">
      <c r="A109" s="220" t="s">
        <v>685</v>
      </c>
      <c r="B109" s="220"/>
      <c r="C109" s="220" t="s">
        <v>464</v>
      </c>
      <c r="D109" s="221" t="s">
        <v>686</v>
      </c>
      <c r="E109" s="189"/>
      <c r="F109" s="189"/>
      <c r="G109" s="189"/>
      <c r="H109" s="220"/>
      <c r="I109" s="189"/>
    </row>
    <row r="110">
      <c r="A110" s="108" t="s">
        <v>687</v>
      </c>
      <c r="B110" s="108" t="s">
        <v>472</v>
      </c>
      <c r="C110" s="108" t="s">
        <v>553</v>
      </c>
      <c r="D110" s="221" t="s">
        <v>688</v>
      </c>
      <c r="E110" s="189"/>
      <c r="F110" s="189"/>
      <c r="G110" s="189"/>
      <c r="H110" s="220"/>
      <c r="I110" s="189"/>
    </row>
    <row r="111">
      <c r="A111" s="108" t="s">
        <v>689</v>
      </c>
      <c r="B111" s="189"/>
      <c r="C111" s="108" t="s">
        <v>690</v>
      </c>
      <c r="D111" s="228" t="s">
        <v>691</v>
      </c>
      <c r="E111" s="189"/>
      <c r="F111" s="189"/>
      <c r="G111" s="189"/>
      <c r="H111" s="220"/>
      <c r="I111" s="189"/>
    </row>
    <row r="112">
      <c r="A112" s="189"/>
      <c r="B112" s="189"/>
      <c r="C112" s="108">
        <v>32.0</v>
      </c>
      <c r="D112" s="189"/>
      <c r="E112" s="189"/>
      <c r="F112" s="189"/>
      <c r="G112" s="189"/>
      <c r="H112" s="189"/>
      <c r="I112" s="189"/>
    </row>
    <row r="113">
      <c r="A113" s="189"/>
      <c r="B113" s="189"/>
      <c r="C113" s="189"/>
      <c r="D113" s="189"/>
      <c r="E113" s="189"/>
      <c r="F113" s="189"/>
      <c r="G113" s="189"/>
      <c r="H113" s="189"/>
      <c r="I113" s="189"/>
    </row>
    <row r="114">
      <c r="A114" s="189"/>
      <c r="B114" s="189"/>
      <c r="C114" s="189"/>
      <c r="D114" s="189"/>
      <c r="E114" s="189"/>
      <c r="F114" s="189"/>
      <c r="G114" s="189"/>
      <c r="H114" s="189"/>
      <c r="I114" s="189"/>
    </row>
    <row r="115">
      <c r="A115" s="219">
        <v>46094.0</v>
      </c>
      <c r="B115" s="189"/>
      <c r="C115" s="189"/>
      <c r="D115" s="189"/>
      <c r="E115" s="189"/>
      <c r="F115" s="189"/>
      <c r="G115" s="189"/>
      <c r="H115" s="189"/>
      <c r="I115" s="189"/>
    </row>
    <row r="116">
      <c r="A116" s="108" t="s">
        <v>692</v>
      </c>
      <c r="B116" s="220" t="s">
        <v>454</v>
      </c>
      <c r="C116" s="220" t="s">
        <v>455</v>
      </c>
      <c r="D116" s="221" t="s">
        <v>693</v>
      </c>
      <c r="E116" s="108" t="s">
        <v>694</v>
      </c>
      <c r="F116" s="231" t="s">
        <v>566</v>
      </c>
      <c r="G116" s="219"/>
      <c r="H116" s="189"/>
      <c r="I116" s="189"/>
    </row>
    <row r="117">
      <c r="A117" s="220" t="s">
        <v>623</v>
      </c>
      <c r="B117" s="220" t="s">
        <v>454</v>
      </c>
      <c r="C117" s="220" t="s">
        <v>464</v>
      </c>
      <c r="D117" s="221" t="s">
        <v>695</v>
      </c>
      <c r="E117" s="222"/>
      <c r="F117" s="222"/>
      <c r="G117" s="108"/>
      <c r="I117" s="189"/>
    </row>
    <row r="118">
      <c r="A118" s="108" t="s">
        <v>696</v>
      </c>
      <c r="B118" s="108" t="s">
        <v>472</v>
      </c>
      <c r="C118" s="108" t="s">
        <v>553</v>
      </c>
      <c r="D118" s="221" t="s">
        <v>697</v>
      </c>
      <c r="E118" s="108" t="s">
        <v>539</v>
      </c>
      <c r="F118" s="225"/>
      <c r="G118" s="108"/>
      <c r="I118" s="189"/>
    </row>
    <row r="119">
      <c r="A119" s="108" t="s">
        <v>698</v>
      </c>
      <c r="B119" s="108" t="s">
        <v>472</v>
      </c>
      <c r="C119" s="108" t="s">
        <v>482</v>
      </c>
      <c r="D119" s="221" t="s">
        <v>699</v>
      </c>
      <c r="E119" s="189"/>
      <c r="F119" s="189"/>
      <c r="G119" s="189"/>
      <c r="I119" s="189"/>
    </row>
    <row r="120">
      <c r="A120" s="108" t="s">
        <v>700</v>
      </c>
      <c r="B120" s="108" t="s">
        <v>472</v>
      </c>
      <c r="C120" s="108" t="s">
        <v>553</v>
      </c>
      <c r="D120" s="224" t="s">
        <v>701</v>
      </c>
      <c r="E120" s="189"/>
      <c r="F120" s="189"/>
      <c r="G120" s="189"/>
      <c r="I120" s="189"/>
    </row>
    <row r="121">
      <c r="A121" s="108" t="s">
        <v>702</v>
      </c>
      <c r="B121" s="108" t="s">
        <v>472</v>
      </c>
      <c r="C121" s="108" t="s">
        <v>502</v>
      </c>
      <c r="D121" s="224" t="s">
        <v>703</v>
      </c>
      <c r="E121" s="189"/>
      <c r="F121" s="189"/>
      <c r="G121" s="189"/>
      <c r="H121" s="189"/>
      <c r="I121" s="189"/>
    </row>
    <row r="122">
      <c r="A122" s="108" t="s">
        <v>704</v>
      </c>
      <c r="B122" s="108" t="s">
        <v>472</v>
      </c>
      <c r="C122" s="108" t="s">
        <v>553</v>
      </c>
      <c r="D122" s="224" t="s">
        <v>705</v>
      </c>
      <c r="E122" s="189"/>
      <c r="F122" s="189"/>
      <c r="G122" s="189"/>
      <c r="H122" s="189"/>
      <c r="I122" s="108"/>
    </row>
    <row r="123">
      <c r="A123" s="108" t="s">
        <v>706</v>
      </c>
      <c r="B123" s="189"/>
      <c r="C123" s="108" t="s">
        <v>482</v>
      </c>
      <c r="D123" s="221" t="s">
        <v>707</v>
      </c>
      <c r="E123" s="108" t="s">
        <v>487</v>
      </c>
      <c r="F123" s="225"/>
      <c r="G123" s="189"/>
      <c r="H123" s="189"/>
      <c r="I123" s="108"/>
    </row>
    <row r="124">
      <c r="A124" s="108" t="s">
        <v>490</v>
      </c>
      <c r="B124" s="189"/>
      <c r="C124" s="255" t="s">
        <v>708</v>
      </c>
      <c r="D124" s="221" t="s">
        <v>709</v>
      </c>
      <c r="E124" s="230" t="s">
        <v>710</v>
      </c>
      <c r="F124" s="108" t="s">
        <v>711</v>
      </c>
      <c r="G124" s="108" t="s">
        <v>712</v>
      </c>
      <c r="H124" s="108"/>
      <c r="I124" s="108"/>
    </row>
    <row r="125">
      <c r="A125" s="189"/>
      <c r="B125" s="189"/>
      <c r="C125" s="108">
        <v>60.0</v>
      </c>
      <c r="D125" s="189"/>
      <c r="E125" s="108"/>
      <c r="F125" s="189"/>
      <c r="G125" s="189"/>
      <c r="H125" s="108"/>
      <c r="I125" s="189"/>
    </row>
    <row r="126">
      <c r="A126" s="189"/>
      <c r="B126" s="189"/>
      <c r="C126" s="189"/>
      <c r="D126" s="189"/>
      <c r="E126" s="189"/>
      <c r="F126" s="189"/>
      <c r="G126" s="189"/>
      <c r="H126" s="108"/>
      <c r="I126" s="189"/>
    </row>
    <row r="127">
      <c r="A127" s="256">
        <v>46095.0</v>
      </c>
      <c r="B127" s="189"/>
      <c r="C127" s="189"/>
      <c r="D127" s="189"/>
      <c r="E127" s="189"/>
      <c r="F127" s="189"/>
      <c r="G127" s="189"/>
      <c r="H127" s="108"/>
      <c r="I127" s="189"/>
    </row>
    <row r="128">
      <c r="A128" s="108" t="s">
        <v>713</v>
      </c>
      <c r="B128" s="189"/>
      <c r="C128" s="108" t="s">
        <v>455</v>
      </c>
      <c r="D128" s="221" t="s">
        <v>714</v>
      </c>
      <c r="E128" s="189"/>
      <c r="F128" s="231" t="s">
        <v>715</v>
      </c>
      <c r="G128" s="189"/>
      <c r="H128" s="108"/>
      <c r="I128" s="220"/>
    </row>
    <row r="129">
      <c r="A129" s="108" t="s">
        <v>716</v>
      </c>
      <c r="B129" s="189"/>
      <c r="C129" s="108" t="s">
        <v>455</v>
      </c>
      <c r="D129" s="221" t="s">
        <v>717</v>
      </c>
      <c r="E129" s="189"/>
      <c r="F129" s="189"/>
      <c r="G129" s="189"/>
      <c r="H129" s="108"/>
      <c r="I129" s="220"/>
    </row>
    <row r="130">
      <c r="A130" s="189"/>
      <c r="B130" s="189"/>
      <c r="C130" s="189"/>
      <c r="D130" s="189"/>
      <c r="E130" s="189"/>
      <c r="F130" s="189"/>
      <c r="G130" s="189"/>
      <c r="H130" s="189"/>
      <c r="I130" s="189"/>
    </row>
    <row r="131">
      <c r="A131" s="189"/>
      <c r="B131" s="189"/>
      <c r="C131" s="189"/>
      <c r="D131" s="189"/>
      <c r="E131" s="189"/>
      <c r="F131" s="189"/>
      <c r="G131" s="189"/>
      <c r="H131" s="189"/>
      <c r="I131" s="189"/>
    </row>
    <row r="132">
      <c r="A132" s="256">
        <v>46097.0</v>
      </c>
      <c r="B132" s="189"/>
      <c r="C132" s="189"/>
      <c r="D132" s="189"/>
      <c r="E132" s="189"/>
      <c r="F132" s="189"/>
      <c r="G132" s="189"/>
      <c r="H132" s="189"/>
      <c r="I132" s="189"/>
    </row>
    <row r="133">
      <c r="A133" s="108" t="s">
        <v>718</v>
      </c>
      <c r="B133" s="108" t="s">
        <v>719</v>
      </c>
      <c r="C133" s="108" t="s">
        <v>720</v>
      </c>
      <c r="D133" s="257" t="s">
        <v>526</v>
      </c>
      <c r="E133" s="189"/>
      <c r="F133" s="189"/>
      <c r="G133" s="189"/>
      <c r="H133" s="189"/>
      <c r="I133" s="189"/>
    </row>
    <row r="134">
      <c r="A134" s="108" t="s">
        <v>509</v>
      </c>
      <c r="B134" s="108" t="s">
        <v>510</v>
      </c>
      <c r="C134" s="108" t="s">
        <v>482</v>
      </c>
      <c r="D134" s="221" t="s">
        <v>721</v>
      </c>
      <c r="E134" s="108" t="s">
        <v>511</v>
      </c>
      <c r="F134" s="225"/>
      <c r="G134" s="189"/>
      <c r="H134" s="189"/>
    </row>
    <row r="135">
      <c r="A135" s="108" t="s">
        <v>722</v>
      </c>
      <c r="B135" s="108" t="s">
        <v>472</v>
      </c>
      <c r="C135" s="108" t="s">
        <v>455</v>
      </c>
      <c r="D135" s="221" t="s">
        <v>723</v>
      </c>
      <c r="E135" s="108" t="s">
        <v>455</v>
      </c>
      <c r="F135" s="189"/>
      <c r="G135" s="108"/>
      <c r="H135" s="189"/>
      <c r="I135" s="189"/>
    </row>
    <row r="136">
      <c r="A136" s="108" t="s">
        <v>603</v>
      </c>
      <c r="B136" s="220" t="s">
        <v>454</v>
      </c>
      <c r="C136" s="108" t="s">
        <v>455</v>
      </c>
      <c r="D136" s="221" t="s">
        <v>724</v>
      </c>
      <c r="E136" s="189"/>
      <c r="F136" s="189"/>
      <c r="G136" s="108"/>
      <c r="H136" s="108"/>
      <c r="I136" s="189"/>
    </row>
    <row r="137">
      <c r="A137" s="108" t="s">
        <v>725</v>
      </c>
      <c r="B137" s="220" t="s">
        <v>454</v>
      </c>
      <c r="C137" s="108" t="s">
        <v>464</v>
      </c>
      <c r="D137" s="221" t="s">
        <v>726</v>
      </c>
      <c r="E137" s="189"/>
      <c r="F137" s="231" t="s">
        <v>566</v>
      </c>
      <c r="G137" s="189"/>
      <c r="H137" s="189"/>
      <c r="I137" s="189"/>
    </row>
    <row r="138">
      <c r="A138" s="108" t="s">
        <v>537</v>
      </c>
      <c r="B138" s="189"/>
      <c r="C138" s="108" t="s">
        <v>511</v>
      </c>
      <c r="D138" s="221" t="s">
        <v>727</v>
      </c>
      <c r="E138" s="189"/>
      <c r="F138" s="189"/>
      <c r="G138" s="189"/>
      <c r="H138" s="189"/>
      <c r="I138" s="189"/>
    </row>
    <row r="139">
      <c r="A139" s="108" t="s">
        <v>728</v>
      </c>
      <c r="B139" s="108" t="s">
        <v>729</v>
      </c>
      <c r="C139" s="255" t="s">
        <v>597</v>
      </c>
      <c r="D139" s="221" t="s">
        <v>730</v>
      </c>
      <c r="E139" s="230" t="s">
        <v>731</v>
      </c>
      <c r="F139" s="108" t="s">
        <v>711</v>
      </c>
      <c r="G139" s="189"/>
      <c r="H139" s="189"/>
      <c r="I139" s="189"/>
    </row>
    <row r="140">
      <c r="A140" s="108" t="s">
        <v>732</v>
      </c>
      <c r="B140" s="108" t="s">
        <v>729</v>
      </c>
      <c r="C140" s="255" t="s">
        <v>460</v>
      </c>
      <c r="D140" s="221" t="s">
        <v>733</v>
      </c>
      <c r="E140" s="230" t="s">
        <v>734</v>
      </c>
      <c r="F140" s="108" t="s">
        <v>711</v>
      </c>
      <c r="G140" s="108"/>
      <c r="H140" s="189"/>
      <c r="I140" s="189"/>
    </row>
    <row r="141">
      <c r="A141" s="108" t="s">
        <v>735</v>
      </c>
      <c r="B141" s="108" t="s">
        <v>729</v>
      </c>
      <c r="C141" s="108" t="s">
        <v>460</v>
      </c>
      <c r="D141" s="221" t="s">
        <v>736</v>
      </c>
      <c r="E141" s="230" t="s">
        <v>737</v>
      </c>
      <c r="F141" s="108" t="s">
        <v>711</v>
      </c>
      <c r="G141" s="108"/>
      <c r="H141" s="189"/>
      <c r="I141" s="189"/>
    </row>
    <row r="142">
      <c r="A142" s="108" t="s">
        <v>738</v>
      </c>
      <c r="B142" s="108" t="s">
        <v>729</v>
      </c>
      <c r="C142" s="255" t="s">
        <v>597</v>
      </c>
      <c r="D142" s="221" t="s">
        <v>739</v>
      </c>
      <c r="E142" s="230" t="s">
        <v>740</v>
      </c>
      <c r="F142" s="108" t="s">
        <v>711</v>
      </c>
      <c r="G142" s="108"/>
      <c r="H142" s="108">
        <v>6.1144433E7</v>
      </c>
      <c r="I142" s="108"/>
      <c r="J142" s="55" t="s">
        <v>741</v>
      </c>
    </row>
    <row r="143">
      <c r="A143" s="108" t="s">
        <v>742</v>
      </c>
      <c r="B143" s="108" t="s">
        <v>729</v>
      </c>
      <c r="C143" s="255" t="s">
        <v>630</v>
      </c>
      <c r="D143" s="221" t="s">
        <v>743</v>
      </c>
      <c r="E143" s="230" t="s">
        <v>744</v>
      </c>
      <c r="F143" s="108" t="s">
        <v>711</v>
      </c>
      <c r="G143" s="189"/>
      <c r="H143" s="189"/>
      <c r="I143" s="189"/>
    </row>
    <row r="144">
      <c r="A144" s="256"/>
      <c r="B144" s="189"/>
      <c r="C144" s="108">
        <v>13.0</v>
      </c>
      <c r="D144" s="189"/>
      <c r="E144" s="189"/>
      <c r="F144" s="189"/>
      <c r="H144" s="189"/>
      <c r="I144" s="189"/>
    </row>
    <row r="145">
      <c r="A145" s="256"/>
      <c r="B145" s="189"/>
      <c r="C145" s="189"/>
      <c r="D145" s="189"/>
      <c r="E145" s="189"/>
      <c r="F145" s="189"/>
      <c r="H145" s="189"/>
      <c r="I145" s="189"/>
    </row>
    <row r="146">
      <c r="A146" s="256">
        <v>46098.0</v>
      </c>
      <c r="B146" s="189"/>
      <c r="C146" s="189"/>
      <c r="D146" s="189"/>
      <c r="E146" s="189"/>
      <c r="F146" s="189"/>
      <c r="H146" s="189"/>
      <c r="I146" s="189"/>
    </row>
    <row r="147">
      <c r="A147" s="108" t="s">
        <v>584</v>
      </c>
      <c r="B147" s="220" t="s">
        <v>454</v>
      </c>
      <c r="C147" s="108" t="s">
        <v>511</v>
      </c>
      <c r="D147" s="221" t="s">
        <v>745</v>
      </c>
      <c r="E147" s="189"/>
      <c r="F147" s="189"/>
      <c r="H147" s="189"/>
      <c r="I147" s="189"/>
    </row>
    <row r="148">
      <c r="A148" s="108" t="s">
        <v>635</v>
      </c>
      <c r="B148" s="108" t="s">
        <v>454</v>
      </c>
      <c r="C148" s="108" t="s">
        <v>502</v>
      </c>
      <c r="D148" s="221" t="s">
        <v>746</v>
      </c>
      <c r="E148" s="189"/>
      <c r="F148" s="189"/>
      <c r="G148" s="189"/>
      <c r="H148" s="189"/>
      <c r="I148" s="189"/>
    </row>
    <row r="149">
      <c r="A149" s="108" t="s">
        <v>468</v>
      </c>
      <c r="B149" s="189"/>
      <c r="C149" s="108" t="s">
        <v>502</v>
      </c>
      <c r="D149" s="221" t="s">
        <v>747</v>
      </c>
      <c r="E149" s="108" t="s">
        <v>502</v>
      </c>
      <c r="F149" s="225"/>
      <c r="G149" s="189"/>
      <c r="H149" s="189"/>
      <c r="I149" s="189"/>
    </row>
    <row r="150">
      <c r="A150" s="108" t="s">
        <v>748</v>
      </c>
      <c r="B150" s="189"/>
      <c r="C150" s="108" t="s">
        <v>455</v>
      </c>
      <c r="D150" s="221" t="s">
        <v>749</v>
      </c>
      <c r="E150" s="108"/>
      <c r="F150" s="189"/>
      <c r="G150" s="189"/>
      <c r="H150" s="189"/>
      <c r="I150" s="189"/>
    </row>
    <row r="151">
      <c r="A151" s="108" t="s">
        <v>750</v>
      </c>
      <c r="B151" s="244">
        <v>0.6944444444444444</v>
      </c>
      <c r="C151" s="108" t="s">
        <v>464</v>
      </c>
      <c r="D151" s="221" t="s">
        <v>751</v>
      </c>
      <c r="E151" s="258" t="s">
        <v>752</v>
      </c>
      <c r="F151" s="189"/>
      <c r="G151" s="189"/>
      <c r="H151" s="189"/>
      <c r="I151" s="189"/>
    </row>
    <row r="152">
      <c r="A152" s="189"/>
      <c r="B152" s="189"/>
      <c r="C152" s="108">
        <v>28.0</v>
      </c>
      <c r="D152" s="189"/>
      <c r="E152" s="189"/>
      <c r="F152" s="189"/>
      <c r="G152" s="189"/>
      <c r="H152" s="189"/>
      <c r="I152" s="189"/>
    </row>
    <row r="153">
      <c r="A153" s="108"/>
      <c r="B153" s="244"/>
      <c r="C153" s="108"/>
      <c r="D153" s="108"/>
      <c r="E153" s="258"/>
      <c r="F153" s="189"/>
      <c r="G153" s="189"/>
      <c r="H153" s="189"/>
      <c r="I153" s="189"/>
    </row>
    <row r="154">
      <c r="A154" s="189"/>
      <c r="B154" s="189"/>
      <c r="C154" s="189"/>
      <c r="D154" s="189"/>
      <c r="E154" s="189"/>
      <c r="F154" s="189"/>
      <c r="G154" s="189"/>
      <c r="H154" s="189"/>
      <c r="I154" s="108"/>
    </row>
    <row r="155">
      <c r="A155" s="189"/>
      <c r="B155" s="189"/>
      <c r="C155" s="189"/>
      <c r="D155" s="189"/>
      <c r="E155" s="189"/>
      <c r="F155" s="189"/>
      <c r="G155" s="189"/>
      <c r="H155" s="189"/>
      <c r="I155" s="189"/>
      <c r="N155" s="227"/>
    </row>
    <row r="156">
      <c r="A156" s="189"/>
      <c r="B156" s="189"/>
      <c r="C156" s="189"/>
      <c r="D156" s="189"/>
      <c r="E156" s="189"/>
      <c r="F156" s="189"/>
      <c r="G156" s="189"/>
      <c r="H156" s="108"/>
      <c r="I156" s="189"/>
    </row>
    <row r="157">
      <c r="A157" s="189"/>
      <c r="B157" s="189"/>
      <c r="C157" s="189"/>
      <c r="D157" s="189"/>
      <c r="E157" s="189"/>
      <c r="F157" s="189"/>
      <c r="G157" s="189"/>
      <c r="H157" s="108"/>
      <c r="I157" s="108"/>
      <c r="J157" s="55" t="s">
        <v>753</v>
      </c>
    </row>
    <row r="158">
      <c r="A158" s="256">
        <v>46099.0</v>
      </c>
      <c r="B158" s="189"/>
      <c r="C158" s="189"/>
      <c r="D158" s="189"/>
      <c r="E158" s="189"/>
      <c r="F158" s="189"/>
      <c r="G158" s="189"/>
      <c r="H158" s="108"/>
      <c r="I158" s="189"/>
      <c r="J158" s="187">
        <v>46108.0</v>
      </c>
    </row>
    <row r="159">
      <c r="A159" s="108" t="s">
        <v>754</v>
      </c>
      <c r="B159" s="108" t="s">
        <v>755</v>
      </c>
      <c r="C159" s="189"/>
      <c r="D159" s="259"/>
      <c r="E159" s="189"/>
      <c r="F159" s="189"/>
      <c r="G159" s="189"/>
      <c r="H159" s="108"/>
      <c r="I159" s="108"/>
      <c r="J159" s="55" t="s">
        <v>756</v>
      </c>
      <c r="K159" s="108" t="s">
        <v>454</v>
      </c>
    </row>
    <row r="160">
      <c r="A160" s="108" t="s">
        <v>679</v>
      </c>
      <c r="B160" s="108" t="s">
        <v>680</v>
      </c>
      <c r="C160" s="108" t="s">
        <v>502</v>
      </c>
      <c r="D160" s="221" t="s">
        <v>757</v>
      </c>
      <c r="E160" s="189"/>
      <c r="F160" s="189"/>
      <c r="G160" s="189"/>
      <c r="H160" s="189"/>
      <c r="I160" s="189"/>
      <c r="J160" s="55" t="s">
        <v>671</v>
      </c>
      <c r="K160" s="108" t="s">
        <v>454</v>
      </c>
    </row>
    <row r="161">
      <c r="A161" s="108" t="s">
        <v>659</v>
      </c>
      <c r="B161" s="108" t="s">
        <v>454</v>
      </c>
      <c r="C161" s="108" t="s">
        <v>464</v>
      </c>
      <c r="D161" s="221" t="s">
        <v>758</v>
      </c>
      <c r="E161" s="189"/>
      <c r="F161" s="231" t="s">
        <v>566</v>
      </c>
      <c r="G161" s="189"/>
      <c r="H161" s="189"/>
      <c r="I161" s="189"/>
      <c r="J161" s="187">
        <v>46110.0</v>
      </c>
    </row>
    <row r="162">
      <c r="A162" s="220" t="s">
        <v>759</v>
      </c>
      <c r="B162" s="108" t="s">
        <v>454</v>
      </c>
      <c r="C162" s="220" t="s">
        <v>464</v>
      </c>
      <c r="D162" s="221" t="s">
        <v>760</v>
      </c>
      <c r="E162" s="222"/>
      <c r="F162" s="222"/>
      <c r="G162" s="189"/>
      <c r="H162" s="189"/>
      <c r="I162" s="189"/>
      <c r="J162" s="55" t="s">
        <v>480</v>
      </c>
    </row>
    <row r="163">
      <c r="A163" s="108" t="s">
        <v>761</v>
      </c>
      <c r="B163" s="108" t="s">
        <v>472</v>
      </c>
      <c r="C163" s="108" t="s">
        <v>502</v>
      </c>
      <c r="D163" s="221" t="s">
        <v>762</v>
      </c>
      <c r="E163" s="222"/>
      <c r="F163" s="222"/>
      <c r="G163" s="189"/>
      <c r="H163" s="189"/>
      <c r="I163" s="189"/>
    </row>
    <row r="164">
      <c r="A164" s="108" t="s">
        <v>763</v>
      </c>
      <c r="B164" s="108" t="s">
        <v>472</v>
      </c>
      <c r="C164" s="108" t="s">
        <v>553</v>
      </c>
      <c r="D164" s="221" t="s">
        <v>764</v>
      </c>
      <c r="E164" s="222"/>
      <c r="F164" s="225"/>
      <c r="G164" s="189"/>
      <c r="H164" s="108"/>
      <c r="I164" s="189"/>
    </row>
    <row r="165">
      <c r="A165" s="108" t="s">
        <v>577</v>
      </c>
      <c r="B165" s="108" t="s">
        <v>472</v>
      </c>
      <c r="C165" s="108" t="s">
        <v>765</v>
      </c>
      <c r="D165" s="221" t="s">
        <v>766</v>
      </c>
      <c r="E165" s="222"/>
      <c r="F165" s="222"/>
      <c r="G165" s="220"/>
      <c r="H165" s="189"/>
      <c r="I165" s="189"/>
    </row>
    <row r="166">
      <c r="A166" s="220" t="s">
        <v>767</v>
      </c>
      <c r="B166" s="220" t="s">
        <v>646</v>
      </c>
      <c r="C166" s="220" t="s">
        <v>502</v>
      </c>
      <c r="D166" s="221" t="s">
        <v>768</v>
      </c>
      <c r="E166" s="222"/>
      <c r="F166" s="225"/>
      <c r="G166" s="220"/>
      <c r="H166" s="189"/>
      <c r="I166" s="189"/>
    </row>
    <row r="167">
      <c r="A167" s="220" t="s">
        <v>769</v>
      </c>
      <c r="B167" s="220" t="s">
        <v>646</v>
      </c>
      <c r="C167" s="220" t="s">
        <v>464</v>
      </c>
      <c r="D167" s="221" t="s">
        <v>770</v>
      </c>
      <c r="E167" s="222"/>
      <c r="F167" s="222"/>
      <c r="G167" s="220"/>
      <c r="H167" s="189"/>
      <c r="I167" s="189"/>
    </row>
    <row r="168">
      <c r="A168" s="189"/>
      <c r="B168" s="189"/>
      <c r="C168" s="108">
        <v>54.0</v>
      </c>
      <c r="D168" s="189"/>
      <c r="E168" s="189"/>
      <c r="F168" s="189"/>
      <c r="G168" s="220"/>
    </row>
    <row r="169">
      <c r="A169" s="189"/>
      <c r="B169" s="189"/>
      <c r="C169" s="189"/>
      <c r="D169" s="189"/>
      <c r="E169" s="189"/>
      <c r="F169" s="189"/>
      <c r="G169" s="220"/>
    </row>
    <row r="170">
      <c r="A170" s="219">
        <v>46100.0</v>
      </c>
      <c r="B170" s="189"/>
      <c r="C170" s="189"/>
      <c r="D170" s="189"/>
      <c r="E170" s="189"/>
      <c r="F170" s="189"/>
      <c r="G170" s="220"/>
      <c r="H170" s="108"/>
      <c r="I170" s="244"/>
      <c r="J170" s="108"/>
      <c r="L170" s="258"/>
    </row>
    <row r="171">
      <c r="A171" s="108" t="s">
        <v>696</v>
      </c>
      <c r="B171" s="108" t="s">
        <v>472</v>
      </c>
      <c r="C171" s="108" t="s">
        <v>553</v>
      </c>
      <c r="D171" s="221" t="s">
        <v>771</v>
      </c>
      <c r="E171" s="220" t="s">
        <v>678</v>
      </c>
      <c r="F171" s="225"/>
      <c r="G171" s="220"/>
    </row>
    <row r="172">
      <c r="A172" s="108" t="s">
        <v>772</v>
      </c>
      <c r="B172" s="108" t="s">
        <v>472</v>
      </c>
      <c r="C172" s="108" t="s">
        <v>553</v>
      </c>
      <c r="D172" s="221" t="s">
        <v>773</v>
      </c>
      <c r="E172" s="222"/>
      <c r="F172" s="222"/>
      <c r="G172" s="220"/>
    </row>
    <row r="173">
      <c r="A173" s="108" t="s">
        <v>619</v>
      </c>
      <c r="B173" s="108" t="s">
        <v>454</v>
      </c>
      <c r="C173" s="108" t="s">
        <v>455</v>
      </c>
      <c r="D173" s="221" t="s">
        <v>774</v>
      </c>
      <c r="E173" s="189"/>
      <c r="F173" s="189"/>
      <c r="G173" s="222"/>
    </row>
    <row r="174">
      <c r="A174" s="108" t="s">
        <v>775</v>
      </c>
      <c r="B174" s="108" t="s">
        <v>454</v>
      </c>
      <c r="C174" s="108" t="s">
        <v>464</v>
      </c>
      <c r="D174" s="224" t="s">
        <v>776</v>
      </c>
      <c r="E174" s="222"/>
      <c r="F174" s="222"/>
      <c r="G174" s="222"/>
    </row>
    <row r="175">
      <c r="A175" s="220" t="s">
        <v>584</v>
      </c>
      <c r="B175" s="108" t="s">
        <v>454</v>
      </c>
      <c r="C175" s="220" t="s">
        <v>630</v>
      </c>
      <c r="D175" s="221" t="s">
        <v>777</v>
      </c>
      <c r="E175" s="222"/>
      <c r="F175" s="231" t="s">
        <v>566</v>
      </c>
      <c r="G175" s="222"/>
    </row>
    <row r="176">
      <c r="A176" s="220" t="s">
        <v>635</v>
      </c>
      <c r="B176" s="108" t="s">
        <v>454</v>
      </c>
      <c r="C176" s="220" t="s">
        <v>630</v>
      </c>
      <c r="D176" s="221" t="s">
        <v>778</v>
      </c>
      <c r="E176" s="222"/>
      <c r="F176" s="231" t="s">
        <v>566</v>
      </c>
      <c r="G176" s="223"/>
      <c r="H176" s="189"/>
      <c r="I176" s="189"/>
    </row>
    <row r="177">
      <c r="A177" s="108" t="s">
        <v>568</v>
      </c>
      <c r="B177" s="189"/>
      <c r="C177" s="108" t="s">
        <v>630</v>
      </c>
      <c r="D177" s="224" t="s">
        <v>779</v>
      </c>
      <c r="E177" s="189"/>
      <c r="F177" s="222"/>
      <c r="G177" s="223"/>
      <c r="H177" s="189"/>
      <c r="I177" s="189"/>
    </row>
    <row r="178">
      <c r="A178" s="189"/>
      <c r="B178" s="189"/>
      <c r="C178" s="108">
        <v>65.0</v>
      </c>
      <c r="D178" s="189"/>
      <c r="E178" s="189"/>
      <c r="F178" s="222"/>
      <c r="G178" s="223"/>
      <c r="H178" s="108"/>
      <c r="I178" s="189"/>
    </row>
    <row r="179">
      <c r="A179" s="189"/>
      <c r="B179" s="189"/>
      <c r="C179" s="189"/>
      <c r="D179" s="189"/>
      <c r="E179" s="189"/>
      <c r="F179" s="222"/>
      <c r="G179" s="220"/>
    </row>
    <row r="180">
      <c r="A180" s="189"/>
      <c r="B180" s="189"/>
      <c r="C180" s="189"/>
      <c r="D180" s="189"/>
      <c r="E180" s="189"/>
      <c r="F180" s="222"/>
      <c r="G180" s="220"/>
    </row>
    <row r="181">
      <c r="A181" s="189"/>
      <c r="B181" s="189"/>
      <c r="C181" s="189"/>
      <c r="D181" s="189"/>
      <c r="E181" s="189"/>
      <c r="F181" s="222"/>
      <c r="G181" s="222"/>
    </row>
    <row r="182">
      <c r="A182" s="219">
        <v>46101.0</v>
      </c>
      <c r="B182" s="189"/>
      <c r="C182" s="189"/>
      <c r="D182" s="189"/>
      <c r="E182" s="189"/>
      <c r="F182" s="222"/>
      <c r="G182" s="260"/>
    </row>
    <row r="183">
      <c r="A183" s="220" t="s">
        <v>780</v>
      </c>
      <c r="B183" s="108" t="s">
        <v>454</v>
      </c>
      <c r="C183" s="220" t="s">
        <v>464</v>
      </c>
      <c r="D183" s="224" t="s">
        <v>781</v>
      </c>
      <c r="E183" s="222"/>
      <c r="F183" s="222"/>
      <c r="G183" s="222"/>
    </row>
    <row r="184">
      <c r="A184" s="220" t="s">
        <v>782</v>
      </c>
      <c r="B184" s="108" t="s">
        <v>454</v>
      </c>
      <c r="C184" s="220" t="s">
        <v>464</v>
      </c>
      <c r="D184" s="221" t="s">
        <v>783</v>
      </c>
      <c r="E184" s="222"/>
      <c r="F184" s="222"/>
      <c r="G184" s="222"/>
    </row>
    <row r="185">
      <c r="A185" s="220" t="s">
        <v>784</v>
      </c>
      <c r="B185" s="220" t="s">
        <v>472</v>
      </c>
      <c r="C185" s="220" t="s">
        <v>502</v>
      </c>
      <c r="D185" s="221" t="s">
        <v>785</v>
      </c>
      <c r="E185" s="220" t="s">
        <v>678</v>
      </c>
      <c r="F185" s="222"/>
      <c r="G185" s="222"/>
    </row>
    <row r="186">
      <c r="A186" s="220" t="s">
        <v>786</v>
      </c>
      <c r="B186" s="220" t="s">
        <v>472</v>
      </c>
      <c r="C186" s="220" t="s">
        <v>787</v>
      </c>
      <c r="D186" s="221" t="s">
        <v>788</v>
      </c>
      <c r="E186" s="220" t="s">
        <v>678</v>
      </c>
      <c r="F186" s="222"/>
      <c r="G186" s="222"/>
    </row>
    <row r="187">
      <c r="A187" s="220" t="s">
        <v>552</v>
      </c>
      <c r="B187" s="220" t="s">
        <v>472</v>
      </c>
      <c r="C187" s="220" t="s">
        <v>502</v>
      </c>
      <c r="D187" s="221" t="s">
        <v>789</v>
      </c>
      <c r="E187" s="220" t="s">
        <v>678</v>
      </c>
      <c r="F187" s="222"/>
      <c r="G187" s="222"/>
    </row>
    <row r="188">
      <c r="A188" s="220" t="s">
        <v>579</v>
      </c>
      <c r="B188" s="220" t="s">
        <v>472</v>
      </c>
      <c r="C188" s="220" t="s">
        <v>455</v>
      </c>
      <c r="D188" s="221" t="s">
        <v>790</v>
      </c>
      <c r="E188" s="222"/>
      <c r="F188" s="222"/>
      <c r="G188" s="222"/>
    </row>
    <row r="189">
      <c r="A189" s="220" t="s">
        <v>791</v>
      </c>
      <c r="B189" s="222"/>
      <c r="C189" s="220" t="s">
        <v>502</v>
      </c>
      <c r="D189" s="221" t="s">
        <v>792</v>
      </c>
      <c r="E189" s="222"/>
      <c r="F189" s="222"/>
      <c r="G189" s="222"/>
    </row>
    <row r="190">
      <c r="A190" s="220" t="s">
        <v>791</v>
      </c>
      <c r="B190" s="220"/>
      <c r="C190" s="220" t="s">
        <v>793</v>
      </c>
      <c r="D190" s="224" t="s">
        <v>794</v>
      </c>
      <c r="E190" s="220" t="s">
        <v>793</v>
      </c>
      <c r="F190" s="261">
        <v>46100.0</v>
      </c>
      <c r="G190" s="222"/>
    </row>
    <row r="191">
      <c r="A191" s="220" t="s">
        <v>500</v>
      </c>
      <c r="B191" s="220" t="s">
        <v>501</v>
      </c>
      <c r="C191" s="220" t="s">
        <v>553</v>
      </c>
      <c r="D191" s="221" t="s">
        <v>795</v>
      </c>
      <c r="E191" s="220" t="s">
        <v>678</v>
      </c>
      <c r="F191" s="222"/>
      <c r="G191" s="222"/>
    </row>
    <row r="192">
      <c r="A192" s="108" t="s">
        <v>654</v>
      </c>
      <c r="B192" s="244">
        <v>0.6597222222222222</v>
      </c>
      <c r="C192" s="108" t="s">
        <v>460</v>
      </c>
      <c r="D192" s="224" t="s">
        <v>796</v>
      </c>
      <c r="E192" s="258" t="s">
        <v>797</v>
      </c>
      <c r="F192" s="222"/>
      <c r="G192" s="222"/>
    </row>
    <row r="193">
      <c r="A193" s="220" t="s">
        <v>798</v>
      </c>
      <c r="B193" s="220" t="s">
        <v>646</v>
      </c>
      <c r="C193" s="220" t="s">
        <v>799</v>
      </c>
      <c r="D193" s="224" t="s">
        <v>800</v>
      </c>
      <c r="E193" s="189"/>
      <c r="F193" s="189"/>
      <c r="G193" s="222"/>
    </row>
    <row r="194">
      <c r="A194" s="189"/>
      <c r="B194" s="189"/>
      <c r="C194" s="108">
        <v>97.0</v>
      </c>
      <c r="D194" s="189"/>
      <c r="E194" s="189"/>
      <c r="F194" s="189"/>
      <c r="G194" s="222"/>
    </row>
    <row r="195">
      <c r="A195" s="189"/>
      <c r="B195" s="189"/>
      <c r="C195" s="189"/>
      <c r="D195" s="189"/>
      <c r="E195" s="189"/>
      <c r="F195" s="189"/>
      <c r="G195" s="222"/>
    </row>
    <row r="196">
      <c r="A196" s="189"/>
      <c r="B196" s="189"/>
      <c r="C196" s="189"/>
      <c r="D196" s="189"/>
      <c r="E196" s="189"/>
      <c r="F196" s="189"/>
      <c r="G196" s="222"/>
    </row>
    <row r="197">
      <c r="A197" s="189"/>
      <c r="B197" s="189"/>
      <c r="C197" s="189"/>
      <c r="D197" s="189"/>
      <c r="E197" s="189"/>
      <c r="F197" s="189"/>
      <c r="G197" s="222"/>
      <c r="H197" s="108"/>
      <c r="I197" s="189"/>
    </row>
    <row r="198">
      <c r="A198" s="219">
        <v>46102.0</v>
      </c>
      <c r="B198" s="222"/>
      <c r="C198" s="222"/>
      <c r="D198" s="222"/>
      <c r="E198" s="222"/>
      <c r="F198" s="222"/>
      <c r="G198" s="222"/>
      <c r="H198" s="223"/>
      <c r="I198" s="189"/>
    </row>
    <row r="199">
      <c r="A199" s="220" t="s">
        <v>801</v>
      </c>
      <c r="B199" s="222"/>
      <c r="C199" s="220" t="s">
        <v>455</v>
      </c>
      <c r="D199" s="224" t="s">
        <v>802</v>
      </c>
      <c r="E199" s="222"/>
      <c r="F199" s="222"/>
      <c r="G199" s="222"/>
      <c r="H199" s="108"/>
      <c r="I199" s="189"/>
    </row>
    <row r="200">
      <c r="A200" s="220" t="s">
        <v>803</v>
      </c>
      <c r="B200" s="222"/>
      <c r="C200" s="220" t="s">
        <v>464</v>
      </c>
      <c r="D200" s="224" t="s">
        <v>804</v>
      </c>
      <c r="E200" s="222"/>
      <c r="F200" s="222"/>
      <c r="G200" s="222"/>
      <c r="H200" s="108"/>
      <c r="I200" s="189"/>
    </row>
    <row r="201">
      <c r="A201" s="220" t="s">
        <v>706</v>
      </c>
      <c r="B201" s="222"/>
      <c r="C201" s="220" t="s">
        <v>805</v>
      </c>
      <c r="D201" s="224" t="s">
        <v>806</v>
      </c>
      <c r="E201" s="222"/>
      <c r="F201" s="225"/>
      <c r="G201" s="222"/>
      <c r="H201" s="108"/>
      <c r="I201" s="189"/>
    </row>
    <row r="202">
      <c r="A202" s="220" t="s">
        <v>807</v>
      </c>
      <c r="B202" s="220" t="s">
        <v>629</v>
      </c>
      <c r="C202" s="220" t="s">
        <v>708</v>
      </c>
      <c r="D202" s="224" t="s">
        <v>808</v>
      </c>
      <c r="E202" s="222"/>
      <c r="F202" s="222"/>
      <c r="G202" s="222"/>
      <c r="H202" s="189"/>
      <c r="I202" s="189"/>
    </row>
    <row r="203">
      <c r="A203" s="220" t="s">
        <v>480</v>
      </c>
      <c r="B203" s="220" t="s">
        <v>629</v>
      </c>
      <c r="C203" s="220" t="s">
        <v>708</v>
      </c>
      <c r="D203" s="224" t="s">
        <v>809</v>
      </c>
      <c r="E203" s="222"/>
      <c r="F203" s="225"/>
      <c r="G203" s="222"/>
      <c r="H203" s="189"/>
      <c r="I203" s="189"/>
    </row>
    <row r="204">
      <c r="A204" s="222"/>
      <c r="B204" s="222"/>
      <c r="C204" s="220">
        <v>112.0</v>
      </c>
      <c r="D204" s="222"/>
      <c r="E204" s="222"/>
      <c r="F204" s="222"/>
      <c r="G204" s="222"/>
      <c r="H204" s="189"/>
      <c r="I204" s="189"/>
    </row>
    <row r="205">
      <c r="A205" s="222"/>
      <c r="B205" s="222"/>
      <c r="C205" s="222"/>
      <c r="D205" s="222"/>
      <c r="E205" s="222"/>
      <c r="F205" s="222"/>
      <c r="G205" s="222"/>
      <c r="H205" s="189"/>
      <c r="I205" s="189"/>
    </row>
    <row r="206">
      <c r="A206" s="219">
        <v>46103.0</v>
      </c>
      <c r="B206" s="222"/>
      <c r="C206" s="222"/>
      <c r="D206" s="222"/>
      <c r="E206" s="222"/>
      <c r="F206" s="222"/>
      <c r="G206" s="222"/>
      <c r="H206" s="189"/>
      <c r="I206" s="189"/>
    </row>
    <row r="207">
      <c r="A207" s="220" t="s">
        <v>635</v>
      </c>
      <c r="B207" s="220" t="s">
        <v>454</v>
      </c>
      <c r="C207" s="220" t="s">
        <v>455</v>
      </c>
      <c r="D207" s="224" t="s">
        <v>810</v>
      </c>
      <c r="E207" s="222"/>
      <c r="F207" s="225"/>
      <c r="G207" s="222"/>
      <c r="H207" s="189"/>
      <c r="I207" s="189"/>
    </row>
    <row r="208">
      <c r="A208" s="220" t="s">
        <v>459</v>
      </c>
      <c r="B208" s="220" t="s">
        <v>454</v>
      </c>
      <c r="C208" s="220" t="s">
        <v>455</v>
      </c>
      <c r="D208" s="224" t="s">
        <v>811</v>
      </c>
      <c r="E208" s="222"/>
      <c r="F208" s="222"/>
      <c r="G208" s="222"/>
      <c r="H208" s="189"/>
      <c r="I208" s="189"/>
    </row>
    <row r="209">
      <c r="A209" s="220" t="s">
        <v>671</v>
      </c>
      <c r="B209" s="220" t="s">
        <v>454</v>
      </c>
      <c r="C209" s="220" t="s">
        <v>455</v>
      </c>
      <c r="D209" s="224" t="s">
        <v>812</v>
      </c>
      <c r="E209" s="222"/>
      <c r="F209" s="225"/>
      <c r="G209" s="222"/>
      <c r="H209" s="189"/>
      <c r="I209" s="189"/>
    </row>
    <row r="210">
      <c r="A210" s="220" t="s">
        <v>813</v>
      </c>
      <c r="B210" s="220" t="s">
        <v>454</v>
      </c>
      <c r="C210" s="108" t="s">
        <v>455</v>
      </c>
      <c r="D210" s="224" t="s">
        <v>814</v>
      </c>
      <c r="E210" s="189"/>
      <c r="F210" s="189"/>
      <c r="G210" s="222"/>
      <c r="H210" s="189"/>
      <c r="I210" s="189"/>
    </row>
    <row r="211">
      <c r="A211" s="220" t="s">
        <v>759</v>
      </c>
      <c r="B211" s="220" t="s">
        <v>454</v>
      </c>
      <c r="C211" s="108" t="s">
        <v>815</v>
      </c>
      <c r="D211" s="224" t="s">
        <v>816</v>
      </c>
      <c r="E211" s="189"/>
      <c r="F211" s="189"/>
      <c r="G211" s="222"/>
      <c r="H211" s="189"/>
      <c r="I211" s="189"/>
    </row>
    <row r="212">
      <c r="A212" s="220" t="s">
        <v>611</v>
      </c>
      <c r="B212" s="220" t="s">
        <v>454</v>
      </c>
      <c r="C212" s="220" t="s">
        <v>464</v>
      </c>
      <c r="D212" s="224" t="s">
        <v>817</v>
      </c>
      <c r="E212" s="220"/>
      <c r="F212" s="222"/>
      <c r="G212" s="222"/>
      <c r="H212" s="189"/>
      <c r="I212" s="189"/>
    </row>
    <row r="213">
      <c r="A213" s="220" t="s">
        <v>453</v>
      </c>
      <c r="B213" s="220" t="s">
        <v>454</v>
      </c>
      <c r="C213" s="220" t="s">
        <v>464</v>
      </c>
      <c r="D213" s="224" t="s">
        <v>818</v>
      </c>
      <c r="E213" s="220"/>
      <c r="F213" s="225"/>
      <c r="G213" s="222"/>
      <c r="H213" s="189"/>
      <c r="I213" s="189"/>
    </row>
    <row r="214">
      <c r="A214" s="189"/>
      <c r="B214" s="189"/>
      <c r="C214" s="108">
        <v>122.0</v>
      </c>
      <c r="D214" s="189"/>
      <c r="E214" s="189"/>
      <c r="F214" s="189"/>
      <c r="G214" s="222"/>
      <c r="H214" s="189"/>
      <c r="I214" s="189"/>
    </row>
    <row r="215">
      <c r="A215" s="189"/>
      <c r="B215" s="189"/>
      <c r="C215" s="189"/>
      <c r="D215" s="189"/>
      <c r="E215" s="189"/>
      <c r="F215" s="189"/>
      <c r="G215" s="222"/>
      <c r="H215" s="189"/>
      <c r="I215" s="189"/>
    </row>
    <row r="216">
      <c r="A216" s="189"/>
      <c r="B216" s="189"/>
      <c r="C216" s="189"/>
      <c r="D216" s="189"/>
      <c r="E216" s="189"/>
      <c r="F216" s="189"/>
      <c r="G216" s="222"/>
      <c r="H216" s="189"/>
      <c r="I216" s="189"/>
    </row>
    <row r="217">
      <c r="A217" s="219">
        <v>46104.0</v>
      </c>
      <c r="B217" s="222"/>
      <c r="C217" s="222"/>
      <c r="D217" s="222"/>
      <c r="E217" s="222"/>
      <c r="F217" s="222"/>
      <c r="G217" s="222"/>
      <c r="H217" s="189"/>
      <c r="I217" s="189"/>
    </row>
    <row r="218">
      <c r="A218" s="220" t="s">
        <v>725</v>
      </c>
      <c r="B218" s="220" t="s">
        <v>646</v>
      </c>
      <c r="C218" s="220" t="s">
        <v>502</v>
      </c>
      <c r="D218" s="262" t="s">
        <v>819</v>
      </c>
      <c r="E218" s="222"/>
      <c r="F218" s="225"/>
      <c r="G218" s="222"/>
      <c r="H218" s="189"/>
      <c r="I218" s="189"/>
    </row>
    <row r="219">
      <c r="A219" s="220" t="s">
        <v>679</v>
      </c>
      <c r="B219" s="220" t="s">
        <v>680</v>
      </c>
      <c r="C219" s="220" t="s">
        <v>502</v>
      </c>
      <c r="D219" s="262" t="s">
        <v>820</v>
      </c>
      <c r="E219" s="220" t="s">
        <v>678</v>
      </c>
      <c r="F219" s="189"/>
      <c r="G219" s="222"/>
      <c r="H219" s="189"/>
      <c r="I219" s="189"/>
    </row>
    <row r="220">
      <c r="G220" s="222"/>
      <c r="H220" s="189"/>
      <c r="I220" s="189"/>
    </row>
    <row r="221">
      <c r="A221" s="220" t="s">
        <v>584</v>
      </c>
      <c r="B221" s="220" t="s">
        <v>454</v>
      </c>
      <c r="C221" s="220" t="s">
        <v>455</v>
      </c>
      <c r="D221" s="262" t="s">
        <v>821</v>
      </c>
      <c r="E221" s="222"/>
      <c r="F221" s="225"/>
      <c r="G221" s="222"/>
      <c r="H221" s="189"/>
      <c r="I221" s="189"/>
    </row>
    <row r="222">
      <c r="A222" s="220" t="s">
        <v>822</v>
      </c>
      <c r="B222" s="220" t="s">
        <v>454</v>
      </c>
      <c r="C222" s="220" t="s">
        <v>823</v>
      </c>
      <c r="D222" s="262" t="s">
        <v>824</v>
      </c>
      <c r="E222" s="220"/>
      <c r="F222" s="225"/>
      <c r="G222" s="222"/>
      <c r="H222" s="189"/>
      <c r="I222" s="189"/>
    </row>
    <row r="223">
      <c r="A223" s="220" t="s">
        <v>825</v>
      </c>
      <c r="B223" s="220" t="s">
        <v>454</v>
      </c>
      <c r="C223" s="220" t="s">
        <v>464</v>
      </c>
      <c r="D223" s="262" t="s">
        <v>826</v>
      </c>
      <c r="E223" s="189"/>
      <c r="F223" s="189"/>
      <c r="G223" s="222"/>
      <c r="H223" s="189"/>
      <c r="I223" s="189"/>
    </row>
    <row r="224">
      <c r="A224" s="220" t="s">
        <v>827</v>
      </c>
      <c r="B224" s="220" t="s">
        <v>454</v>
      </c>
      <c r="C224" s="220" t="s">
        <v>455</v>
      </c>
      <c r="D224" s="224" t="s">
        <v>828</v>
      </c>
      <c r="E224" s="222"/>
      <c r="F224" s="222"/>
      <c r="G224" s="222"/>
      <c r="H224" s="189"/>
      <c r="I224" s="189"/>
    </row>
    <row r="225">
      <c r="A225" s="189"/>
      <c r="B225" s="189"/>
      <c r="C225" s="189"/>
      <c r="D225" s="189"/>
      <c r="E225" s="189"/>
      <c r="F225" s="189"/>
      <c r="G225" s="222"/>
      <c r="H225" s="189"/>
      <c r="I225" s="189"/>
    </row>
    <row r="226">
      <c r="A226" s="219">
        <v>46105.0</v>
      </c>
      <c r="B226" s="222"/>
      <c r="C226" s="222"/>
      <c r="D226" s="222"/>
      <c r="E226" s="222"/>
      <c r="F226" s="222"/>
      <c r="G226" s="261">
        <v>46105.0</v>
      </c>
      <c r="H226" s="189"/>
      <c r="I226" s="189"/>
    </row>
    <row r="227">
      <c r="A227" s="220" t="s">
        <v>784</v>
      </c>
      <c r="B227" s="220" t="s">
        <v>472</v>
      </c>
      <c r="C227" s="220" t="s">
        <v>793</v>
      </c>
      <c r="D227" s="262" t="s">
        <v>829</v>
      </c>
      <c r="E227" s="220" t="s">
        <v>830</v>
      </c>
      <c r="F227" s="222"/>
      <c r="G227" s="108" t="s">
        <v>499</v>
      </c>
      <c r="H227" s="189"/>
      <c r="I227" s="189"/>
    </row>
    <row r="228">
      <c r="A228" s="220" t="s">
        <v>831</v>
      </c>
      <c r="B228" s="220" t="s">
        <v>510</v>
      </c>
      <c r="C228" s="220" t="s">
        <v>793</v>
      </c>
      <c r="D228" s="262" t="s">
        <v>832</v>
      </c>
      <c r="E228" s="220" t="s">
        <v>830</v>
      </c>
      <c r="F228" s="222"/>
      <c r="G228" s="108" t="s">
        <v>833</v>
      </c>
      <c r="H228" s="189"/>
      <c r="I228" s="189"/>
    </row>
    <row r="229">
      <c r="A229" s="220" t="s">
        <v>834</v>
      </c>
      <c r="B229" s="220" t="s">
        <v>510</v>
      </c>
      <c r="C229" s="220" t="s">
        <v>553</v>
      </c>
      <c r="D229" s="262" t="s">
        <v>835</v>
      </c>
      <c r="E229" s="220" t="s">
        <v>678</v>
      </c>
      <c r="F229" s="231"/>
      <c r="G229" s="108" t="s">
        <v>836</v>
      </c>
      <c r="H229" s="189"/>
      <c r="I229" s="189"/>
    </row>
    <row r="230">
      <c r="A230" s="220" t="s">
        <v>837</v>
      </c>
      <c r="B230" s="220" t="s">
        <v>510</v>
      </c>
      <c r="C230" s="220" t="s">
        <v>482</v>
      </c>
      <c r="D230" s="262" t="s">
        <v>838</v>
      </c>
      <c r="E230" s="220" t="s">
        <v>839</v>
      </c>
      <c r="F230" s="222"/>
      <c r="G230" s="108" t="s">
        <v>840</v>
      </c>
      <c r="H230" s="189"/>
      <c r="I230" s="189"/>
    </row>
    <row r="231">
      <c r="A231" s="220" t="s">
        <v>791</v>
      </c>
      <c r="B231" s="222"/>
      <c r="C231" s="220"/>
      <c r="D231" s="220" t="s">
        <v>841</v>
      </c>
      <c r="E231" s="222"/>
      <c r="F231" s="222"/>
      <c r="G231" s="222"/>
      <c r="H231" s="189"/>
      <c r="I231" s="189"/>
    </row>
    <row r="232">
      <c r="A232" s="220" t="s">
        <v>842</v>
      </c>
      <c r="B232" s="220" t="s">
        <v>680</v>
      </c>
      <c r="C232" s="220" t="s">
        <v>823</v>
      </c>
      <c r="D232" s="262" t="s">
        <v>843</v>
      </c>
      <c r="E232" s="220" t="s">
        <v>678</v>
      </c>
      <c r="F232" s="222"/>
      <c r="G232" s="222"/>
      <c r="H232" s="189"/>
      <c r="I232" s="189"/>
    </row>
    <row r="233">
      <c r="A233" s="220" t="s">
        <v>844</v>
      </c>
      <c r="F233" s="189"/>
      <c r="G233" s="222"/>
      <c r="H233" s="189"/>
      <c r="I233" s="189"/>
    </row>
    <row r="234">
      <c r="A234" s="220" t="s">
        <v>845</v>
      </c>
      <c r="E234" s="222"/>
      <c r="F234" s="222"/>
      <c r="G234" s="222"/>
      <c r="H234" s="189"/>
      <c r="I234" s="189"/>
    </row>
    <row r="235">
      <c r="E235" s="189"/>
      <c r="F235" s="222"/>
      <c r="G235" s="222"/>
      <c r="H235" s="189"/>
      <c r="I235" s="189"/>
    </row>
    <row r="236">
      <c r="A236" s="219">
        <v>46106.0</v>
      </c>
      <c r="B236" s="222"/>
      <c r="C236" s="222"/>
      <c r="D236" s="222"/>
      <c r="E236" s="189"/>
      <c r="F236" s="222"/>
      <c r="G236" s="222"/>
      <c r="H236" s="189"/>
      <c r="I236" s="189"/>
    </row>
    <row r="237">
      <c r="A237" s="108" t="s">
        <v>582</v>
      </c>
      <c r="B237" s="189"/>
      <c r="C237" s="189"/>
      <c r="D237" s="108" t="s">
        <v>846</v>
      </c>
      <c r="E237" s="189"/>
      <c r="F237" s="222"/>
      <c r="G237" s="222"/>
      <c r="H237" s="189"/>
      <c r="I237" s="189"/>
    </row>
    <row r="238">
      <c r="A238" s="108" t="s">
        <v>698</v>
      </c>
      <c r="B238" s="108" t="s">
        <v>472</v>
      </c>
      <c r="C238" s="108"/>
      <c r="D238" s="108" t="s">
        <v>847</v>
      </c>
      <c r="E238" s="189"/>
      <c r="F238" s="222"/>
      <c r="G238" s="222"/>
      <c r="H238" s="189"/>
      <c r="I238" s="189"/>
    </row>
    <row r="239">
      <c r="A239" s="108" t="s">
        <v>561</v>
      </c>
      <c r="B239" s="108" t="s">
        <v>472</v>
      </c>
      <c r="C239" s="189"/>
      <c r="D239" s="108" t="s">
        <v>848</v>
      </c>
      <c r="E239" s="222"/>
      <c r="F239" s="222"/>
      <c r="G239" s="222"/>
      <c r="H239" s="189"/>
      <c r="I239" s="189"/>
    </row>
    <row r="240">
      <c r="A240" s="108" t="s">
        <v>842</v>
      </c>
      <c r="B240" s="108" t="s">
        <v>680</v>
      </c>
      <c r="C240" s="189"/>
      <c r="D240" s="108" t="s">
        <v>849</v>
      </c>
      <c r="E240" s="222"/>
      <c r="F240" s="222"/>
      <c r="G240" s="222"/>
      <c r="H240" s="189"/>
      <c r="I240" s="189"/>
    </row>
    <row r="241">
      <c r="A241" s="108" t="s">
        <v>514</v>
      </c>
      <c r="B241" s="220" t="s">
        <v>510</v>
      </c>
      <c r="C241" s="222"/>
      <c r="D241" s="220" t="s">
        <v>850</v>
      </c>
      <c r="E241" s="222"/>
      <c r="F241" s="222"/>
      <c r="G241" s="222"/>
      <c r="H241" s="189"/>
      <c r="I241" s="189"/>
    </row>
    <row r="242">
      <c r="A242" s="220" t="s">
        <v>611</v>
      </c>
      <c r="B242" s="220" t="s">
        <v>454</v>
      </c>
      <c r="C242" s="222"/>
      <c r="D242" s="220" t="s">
        <v>841</v>
      </c>
      <c r="E242" s="222"/>
      <c r="F242" s="222"/>
      <c r="G242" s="222"/>
      <c r="H242" s="189"/>
      <c r="I242" s="189"/>
    </row>
    <row r="243">
      <c r="A243" s="220" t="s">
        <v>759</v>
      </c>
      <c r="B243" s="220" t="s">
        <v>454</v>
      </c>
      <c r="C243" s="222"/>
      <c r="D243" s="220" t="s">
        <v>841</v>
      </c>
      <c r="E243" s="222"/>
      <c r="F243" s="222"/>
      <c r="G243" s="222"/>
      <c r="H243" s="189"/>
      <c r="I243" s="189"/>
    </row>
    <row r="244">
      <c r="A244" s="220" t="s">
        <v>813</v>
      </c>
      <c r="B244" s="220" t="s">
        <v>454</v>
      </c>
      <c r="C244" s="222"/>
      <c r="D244" s="220" t="s">
        <v>841</v>
      </c>
      <c r="E244" s="222"/>
      <c r="F244" s="222"/>
      <c r="G244" s="222"/>
      <c r="H244" s="189"/>
      <c r="I244" s="189"/>
    </row>
    <row r="245">
      <c r="A245" s="222"/>
      <c r="B245" s="222"/>
      <c r="C245" s="222"/>
      <c r="D245" s="222"/>
      <c r="E245" s="222"/>
      <c r="F245" s="222"/>
      <c r="G245" s="222"/>
      <c r="H245" s="189"/>
      <c r="I245" s="189"/>
    </row>
    <row r="246">
      <c r="A246" s="222"/>
      <c r="B246" s="222"/>
      <c r="C246" s="222"/>
      <c r="D246" s="222"/>
      <c r="E246" s="222"/>
      <c r="F246" s="222"/>
      <c r="G246" s="222"/>
      <c r="H246" s="189"/>
      <c r="I246" s="189"/>
    </row>
    <row r="247">
      <c r="A247" s="222"/>
      <c r="B247" s="222"/>
      <c r="C247" s="222"/>
      <c r="D247" s="222"/>
      <c r="E247" s="222"/>
      <c r="F247" s="222"/>
      <c r="G247" s="222"/>
      <c r="H247" s="189"/>
      <c r="I247" s="189"/>
    </row>
    <row r="248">
      <c r="A248" s="222"/>
      <c r="B248" s="222"/>
      <c r="C248" s="222"/>
      <c r="D248" s="222"/>
      <c r="E248" s="222"/>
      <c r="F248" s="222"/>
      <c r="G248" s="222"/>
      <c r="H248" s="189"/>
      <c r="I248" s="189"/>
    </row>
    <row r="249">
      <c r="A249" s="219">
        <v>46108.0</v>
      </c>
      <c r="B249" s="222"/>
      <c r="C249" s="222"/>
      <c r="D249" s="222"/>
      <c r="E249" s="222"/>
      <c r="F249" s="222"/>
      <c r="G249" s="222"/>
      <c r="H249" s="189"/>
      <c r="I249" s="189"/>
    </row>
    <row r="250">
      <c r="A250" s="220" t="s">
        <v>851</v>
      </c>
      <c r="B250" s="250">
        <v>0.3333333333333333</v>
      </c>
      <c r="C250" s="222"/>
      <c r="D250" s="222"/>
      <c r="E250" s="222"/>
      <c r="F250" s="222"/>
      <c r="G250" s="222"/>
      <c r="H250" s="189"/>
      <c r="I250" s="189"/>
    </row>
    <row r="251">
      <c r="A251" s="220" t="s">
        <v>852</v>
      </c>
      <c r="B251" s="250">
        <v>0.4166666666666667</v>
      </c>
      <c r="C251" s="222"/>
      <c r="D251" s="220"/>
      <c r="E251" s="220"/>
      <c r="F251" s="222"/>
      <c r="G251" s="222"/>
      <c r="H251" s="189"/>
      <c r="I251" s="189"/>
    </row>
    <row r="252">
      <c r="A252" s="220" t="s">
        <v>696</v>
      </c>
      <c r="B252" s="220" t="s">
        <v>472</v>
      </c>
      <c r="C252" s="222"/>
      <c r="D252" s="220" t="s">
        <v>841</v>
      </c>
      <c r="E252" s="220" t="s">
        <v>678</v>
      </c>
      <c r="F252" s="222"/>
      <c r="G252" s="222"/>
      <c r="H252" s="189"/>
      <c r="I252" s="189"/>
    </row>
    <row r="253">
      <c r="A253" s="222"/>
      <c r="B253" s="222"/>
      <c r="C253" s="222"/>
      <c r="D253" s="222"/>
      <c r="E253" s="222"/>
      <c r="F253" s="222"/>
      <c r="G253" s="222"/>
      <c r="H253" s="189"/>
      <c r="I253" s="189"/>
    </row>
    <row r="254">
      <c r="A254" s="222"/>
      <c r="B254" s="222"/>
      <c r="C254" s="222"/>
      <c r="D254" s="222"/>
      <c r="E254" s="222"/>
      <c r="F254" s="222"/>
      <c r="G254" s="222"/>
      <c r="H254" s="189"/>
      <c r="I254" s="189"/>
    </row>
    <row r="255">
      <c r="A255" s="222"/>
      <c r="B255" s="222"/>
      <c r="C255" s="222"/>
      <c r="D255" s="222"/>
      <c r="E255" s="222"/>
      <c r="F255" s="222"/>
      <c r="G255" s="222"/>
      <c r="H255" s="189"/>
      <c r="I255" s="189"/>
    </row>
    <row r="256">
      <c r="A256" s="222"/>
      <c r="B256" s="222"/>
      <c r="C256" s="222"/>
      <c r="D256" s="222"/>
      <c r="E256" s="222"/>
      <c r="F256" s="222"/>
      <c r="G256" s="222"/>
      <c r="H256" s="189"/>
      <c r="I256" s="189"/>
    </row>
    <row r="257">
      <c r="A257" s="189"/>
      <c r="B257" s="189"/>
      <c r="C257" s="189"/>
      <c r="D257" s="189"/>
      <c r="E257" s="189"/>
      <c r="F257" s="222"/>
      <c r="G257" s="222"/>
      <c r="H257" s="189"/>
      <c r="I257" s="189"/>
    </row>
    <row r="258">
      <c r="A258" s="189"/>
      <c r="B258" s="189"/>
      <c r="C258" s="189"/>
      <c r="D258" s="189"/>
      <c r="E258" s="189"/>
      <c r="F258" s="222"/>
      <c r="G258" s="222"/>
      <c r="H258" s="189"/>
      <c r="I258" s="189"/>
    </row>
    <row r="259">
      <c r="A259" s="189"/>
      <c r="B259" s="189"/>
      <c r="C259" s="189"/>
      <c r="D259" s="189"/>
      <c r="E259" s="189"/>
      <c r="F259" s="189"/>
      <c r="G259" s="222"/>
      <c r="H259" s="189"/>
      <c r="I259" s="189"/>
    </row>
    <row r="260">
      <c r="A260" s="189"/>
      <c r="B260" s="189"/>
      <c r="C260" s="189"/>
      <c r="D260" s="189"/>
      <c r="E260" s="189"/>
      <c r="F260" s="189"/>
      <c r="G260" s="222"/>
      <c r="H260" s="189"/>
      <c r="I260" s="189"/>
    </row>
    <row r="261">
      <c r="A261" s="189"/>
      <c r="B261" s="189"/>
      <c r="C261" s="189"/>
      <c r="D261" s="189"/>
      <c r="E261" s="189"/>
      <c r="F261" s="189"/>
      <c r="G261" s="189"/>
      <c r="H261" s="189"/>
      <c r="I261" s="189"/>
    </row>
    <row r="262">
      <c r="A262" s="189"/>
      <c r="B262" s="189"/>
      <c r="C262" s="189"/>
      <c r="D262" s="189"/>
      <c r="E262" s="189"/>
      <c r="F262" s="189"/>
      <c r="G262" s="189"/>
      <c r="H262" s="189"/>
      <c r="I262" s="189"/>
    </row>
    <row r="263">
      <c r="A263" s="189"/>
      <c r="B263" s="189"/>
      <c r="C263" s="189"/>
      <c r="D263" s="189"/>
      <c r="E263" s="189"/>
      <c r="F263" s="189"/>
      <c r="G263" s="189"/>
      <c r="H263" s="189"/>
      <c r="I263" s="189"/>
    </row>
    <row r="264">
      <c r="A264" s="189"/>
      <c r="B264" s="189"/>
      <c r="C264" s="189"/>
      <c r="D264" s="189"/>
      <c r="E264" s="189"/>
      <c r="F264" s="189"/>
      <c r="G264" s="189"/>
      <c r="H264" s="189"/>
      <c r="I264" s="189"/>
    </row>
    <row r="265">
      <c r="A265" s="189"/>
      <c r="B265" s="189"/>
      <c r="C265" s="189"/>
      <c r="D265" s="189"/>
      <c r="E265" s="189"/>
      <c r="F265" s="189"/>
      <c r="G265" s="189"/>
      <c r="H265" s="189"/>
      <c r="I265" s="189"/>
    </row>
    <row r="266">
      <c r="A266" s="189"/>
      <c r="B266" s="189"/>
      <c r="C266" s="189"/>
      <c r="D266" s="189"/>
      <c r="E266" s="189"/>
      <c r="F266" s="189"/>
      <c r="G266" s="189"/>
      <c r="H266" s="189"/>
      <c r="I266" s="189"/>
    </row>
    <row r="267">
      <c r="A267" s="189"/>
      <c r="B267" s="189"/>
      <c r="C267" s="189"/>
      <c r="D267" s="189"/>
      <c r="E267" s="189"/>
      <c r="F267" s="189"/>
      <c r="G267" s="189"/>
      <c r="H267" s="189"/>
      <c r="I267" s="189"/>
    </row>
    <row r="268">
      <c r="A268" s="189"/>
      <c r="B268" s="189"/>
      <c r="C268" s="189"/>
      <c r="D268" s="189"/>
      <c r="E268" s="189"/>
      <c r="F268" s="189"/>
      <c r="G268" s="189"/>
      <c r="H268" s="189"/>
      <c r="I268" s="189"/>
    </row>
    <row r="269">
      <c r="A269" s="189"/>
      <c r="B269" s="189"/>
      <c r="C269" s="189"/>
      <c r="D269" s="189"/>
      <c r="E269" s="189"/>
      <c r="F269" s="189"/>
      <c r="G269" s="189"/>
      <c r="H269" s="189"/>
      <c r="I269" s="189"/>
    </row>
    <row r="270">
      <c r="A270" s="189"/>
      <c r="B270" s="189"/>
      <c r="C270" s="189"/>
      <c r="D270" s="189"/>
      <c r="E270" s="189"/>
      <c r="F270" s="189"/>
      <c r="G270" s="189"/>
      <c r="H270" s="189"/>
      <c r="I270" s="189"/>
    </row>
    <row r="271">
      <c r="A271" s="189"/>
      <c r="B271" s="189"/>
      <c r="C271" s="189"/>
      <c r="D271" s="189"/>
      <c r="E271" s="189"/>
      <c r="F271" s="189"/>
      <c r="G271" s="189"/>
      <c r="H271" s="189"/>
      <c r="I271" s="189"/>
    </row>
    <row r="272">
      <c r="A272" s="189"/>
      <c r="B272" s="189"/>
      <c r="C272" s="189"/>
      <c r="D272" s="189"/>
      <c r="E272" s="189"/>
      <c r="F272" s="189"/>
      <c r="G272" s="189"/>
      <c r="H272" s="189"/>
      <c r="I272" s="189"/>
    </row>
    <row r="273">
      <c r="A273" s="189"/>
      <c r="B273" s="189"/>
      <c r="C273" s="189"/>
      <c r="D273" s="189"/>
      <c r="E273" s="189"/>
      <c r="F273" s="189"/>
      <c r="G273" s="189"/>
      <c r="H273" s="189"/>
      <c r="I273" s="189"/>
    </row>
    <row r="274">
      <c r="A274" s="189"/>
      <c r="B274" s="189"/>
      <c r="C274" s="189"/>
      <c r="D274" s="189"/>
      <c r="E274" s="189"/>
      <c r="F274" s="189"/>
      <c r="G274" s="189"/>
      <c r="H274" s="189"/>
      <c r="I274" s="189"/>
    </row>
    <row r="275">
      <c r="A275" s="189"/>
      <c r="B275" s="189"/>
      <c r="C275" s="189"/>
      <c r="D275" s="189"/>
      <c r="E275" s="189"/>
      <c r="F275" s="189"/>
      <c r="G275" s="189"/>
      <c r="H275" s="189"/>
      <c r="I275" s="189"/>
    </row>
    <row r="276">
      <c r="A276" s="189"/>
      <c r="B276" s="189"/>
      <c r="C276" s="189"/>
      <c r="D276" s="189"/>
      <c r="E276" s="189"/>
      <c r="F276" s="189"/>
      <c r="G276" s="189"/>
      <c r="H276" s="189"/>
      <c r="I276" s="189"/>
    </row>
    <row r="277">
      <c r="A277" s="189"/>
      <c r="B277" s="189"/>
      <c r="C277" s="189"/>
      <c r="D277" s="189"/>
      <c r="E277" s="189"/>
      <c r="F277" s="189"/>
      <c r="G277" s="189"/>
      <c r="H277" s="189"/>
      <c r="I277" s="189"/>
    </row>
    <row r="278">
      <c r="A278" s="189"/>
      <c r="B278" s="189"/>
      <c r="C278" s="189"/>
      <c r="D278" s="189"/>
      <c r="E278" s="189"/>
      <c r="F278" s="189"/>
      <c r="G278" s="189"/>
      <c r="H278" s="189"/>
      <c r="I278" s="189"/>
    </row>
    <row r="279">
      <c r="A279" s="189"/>
      <c r="B279" s="189"/>
      <c r="C279" s="189"/>
      <c r="D279" s="189"/>
      <c r="E279" s="189"/>
      <c r="F279" s="189"/>
      <c r="G279" s="189"/>
      <c r="H279" s="189"/>
      <c r="I279" s="189"/>
    </row>
    <row r="280">
      <c r="A280" s="189"/>
      <c r="B280" s="189"/>
      <c r="C280" s="189"/>
      <c r="D280" s="189"/>
      <c r="E280" s="189"/>
      <c r="F280" s="189"/>
      <c r="G280" s="189"/>
      <c r="H280" s="189"/>
      <c r="I280" s="189"/>
    </row>
    <row r="281">
      <c r="A281" s="189"/>
      <c r="B281" s="189"/>
      <c r="C281" s="189"/>
      <c r="D281" s="189"/>
      <c r="E281" s="189"/>
      <c r="F281" s="189"/>
      <c r="G281" s="189"/>
      <c r="H281" s="189"/>
      <c r="I281" s="189"/>
    </row>
    <row r="282">
      <c r="A282" s="189"/>
      <c r="B282" s="189"/>
      <c r="C282" s="189"/>
      <c r="D282" s="189"/>
      <c r="E282" s="189"/>
      <c r="F282" s="189"/>
      <c r="G282" s="189"/>
      <c r="H282" s="189"/>
      <c r="I282" s="189"/>
    </row>
    <row r="283">
      <c r="A283" s="189"/>
      <c r="B283" s="189"/>
      <c r="C283" s="189"/>
      <c r="D283" s="189"/>
      <c r="E283" s="189"/>
      <c r="F283" s="189"/>
      <c r="G283" s="189"/>
      <c r="H283" s="189"/>
      <c r="I283" s="189"/>
    </row>
    <row r="284">
      <c r="A284" s="189"/>
      <c r="B284" s="189"/>
      <c r="C284" s="189"/>
      <c r="D284" s="189"/>
      <c r="E284" s="189"/>
      <c r="F284" s="189"/>
      <c r="G284" s="189"/>
      <c r="H284" s="189"/>
      <c r="I284" s="189"/>
    </row>
    <row r="285">
      <c r="A285" s="189"/>
      <c r="B285" s="189"/>
      <c r="C285" s="189"/>
      <c r="D285" s="189"/>
      <c r="E285" s="189"/>
      <c r="F285" s="189"/>
      <c r="G285" s="189"/>
      <c r="H285" s="189"/>
      <c r="I285" s="189"/>
    </row>
    <row r="286">
      <c r="A286" s="189"/>
      <c r="B286" s="189"/>
      <c r="C286" s="189"/>
      <c r="D286" s="189"/>
      <c r="E286" s="189"/>
      <c r="F286" s="189"/>
      <c r="G286" s="189"/>
      <c r="H286" s="189"/>
      <c r="I286" s="189"/>
    </row>
    <row r="287">
      <c r="A287" s="189"/>
      <c r="B287" s="189"/>
      <c r="C287" s="189"/>
      <c r="D287" s="189"/>
      <c r="E287" s="189"/>
      <c r="F287" s="189"/>
      <c r="G287" s="189"/>
      <c r="H287" s="189"/>
      <c r="I287" s="189"/>
    </row>
    <row r="288">
      <c r="A288" s="189"/>
      <c r="B288" s="189"/>
      <c r="C288" s="189"/>
      <c r="D288" s="189"/>
      <c r="E288" s="189"/>
      <c r="F288" s="189"/>
      <c r="G288" s="189"/>
      <c r="H288" s="189"/>
      <c r="I288" s="189"/>
    </row>
    <row r="289">
      <c r="A289" s="189"/>
      <c r="B289" s="189"/>
      <c r="C289" s="189"/>
      <c r="D289" s="189"/>
      <c r="E289" s="189"/>
      <c r="F289" s="189"/>
      <c r="G289" s="189"/>
      <c r="H289" s="189"/>
      <c r="I289" s="189"/>
    </row>
    <row r="290">
      <c r="A290" s="189"/>
      <c r="B290" s="189"/>
      <c r="C290" s="189"/>
      <c r="D290" s="189"/>
      <c r="E290" s="189"/>
      <c r="F290" s="189"/>
      <c r="G290" s="189"/>
      <c r="H290" s="189"/>
      <c r="I290" s="189"/>
    </row>
    <row r="291">
      <c r="A291" s="189"/>
      <c r="B291" s="189"/>
      <c r="C291" s="189"/>
      <c r="D291" s="189"/>
      <c r="E291" s="189"/>
      <c r="F291" s="189"/>
      <c r="G291" s="189"/>
      <c r="H291" s="189"/>
      <c r="I291" s="189"/>
    </row>
    <row r="292">
      <c r="A292" s="189"/>
      <c r="B292" s="189"/>
      <c r="C292" s="189"/>
      <c r="D292" s="189"/>
      <c r="E292" s="189"/>
      <c r="F292" s="189"/>
      <c r="G292" s="189"/>
      <c r="H292" s="189"/>
      <c r="I292" s="189"/>
    </row>
    <row r="293">
      <c r="A293" s="189"/>
      <c r="B293" s="189"/>
      <c r="C293" s="189"/>
      <c r="D293" s="189"/>
      <c r="E293" s="189"/>
      <c r="F293" s="189"/>
      <c r="G293" s="189"/>
      <c r="H293" s="189"/>
      <c r="I293" s="189"/>
    </row>
    <row r="294">
      <c r="A294" s="189"/>
      <c r="B294" s="189"/>
      <c r="C294" s="189"/>
      <c r="D294" s="189"/>
      <c r="E294" s="189"/>
      <c r="F294" s="189"/>
      <c r="G294" s="189"/>
      <c r="H294" s="189"/>
      <c r="I294" s="189"/>
    </row>
    <row r="295">
      <c r="A295" s="189"/>
      <c r="B295" s="189"/>
      <c r="C295" s="189"/>
      <c r="D295" s="189"/>
      <c r="E295" s="189"/>
      <c r="F295" s="189"/>
      <c r="G295" s="189"/>
      <c r="H295" s="189"/>
      <c r="I295" s="189"/>
    </row>
    <row r="296">
      <c r="A296" s="189"/>
      <c r="B296" s="189"/>
      <c r="C296" s="189"/>
      <c r="D296" s="189"/>
      <c r="E296" s="189"/>
      <c r="F296" s="189"/>
      <c r="G296" s="189"/>
      <c r="H296" s="189"/>
      <c r="I296" s="189"/>
    </row>
    <row r="297">
      <c r="A297" s="189"/>
      <c r="B297" s="189"/>
      <c r="C297" s="189"/>
      <c r="D297" s="189"/>
      <c r="E297" s="189"/>
      <c r="F297" s="189"/>
      <c r="G297" s="189"/>
      <c r="H297" s="189"/>
      <c r="I297" s="189"/>
    </row>
    <row r="298">
      <c r="A298" s="189"/>
      <c r="B298" s="189"/>
      <c r="C298" s="189"/>
      <c r="D298" s="189"/>
      <c r="E298" s="189"/>
      <c r="F298" s="189"/>
      <c r="G298" s="189"/>
      <c r="H298" s="189"/>
      <c r="I298" s="189"/>
    </row>
    <row r="299">
      <c r="A299" s="189"/>
      <c r="B299" s="189"/>
      <c r="C299" s="189"/>
      <c r="D299" s="189"/>
      <c r="E299" s="189"/>
      <c r="F299" s="189"/>
      <c r="G299" s="189"/>
      <c r="H299" s="189"/>
      <c r="I299" s="189"/>
    </row>
    <row r="300">
      <c r="A300" s="189"/>
      <c r="B300" s="189"/>
      <c r="C300" s="189"/>
      <c r="D300" s="189"/>
      <c r="E300" s="189"/>
      <c r="F300" s="189"/>
      <c r="G300" s="189"/>
      <c r="H300" s="189"/>
      <c r="I300" s="189"/>
    </row>
    <row r="301">
      <c r="A301" s="189"/>
      <c r="B301" s="189"/>
      <c r="C301" s="189"/>
      <c r="D301" s="189"/>
      <c r="E301" s="189"/>
      <c r="F301" s="189"/>
      <c r="G301" s="189"/>
      <c r="H301" s="189"/>
      <c r="I301" s="189"/>
    </row>
    <row r="302">
      <c r="A302" s="189"/>
      <c r="B302" s="189"/>
      <c r="C302" s="189"/>
      <c r="D302" s="189"/>
      <c r="E302" s="189"/>
      <c r="F302" s="189"/>
      <c r="G302" s="189"/>
      <c r="H302" s="189"/>
      <c r="I302" s="189"/>
    </row>
    <row r="303">
      <c r="A303" s="189"/>
      <c r="B303" s="189"/>
      <c r="C303" s="189"/>
      <c r="D303" s="189"/>
      <c r="E303" s="189"/>
      <c r="F303" s="189"/>
      <c r="G303" s="189"/>
      <c r="H303" s="189"/>
      <c r="I303" s="189"/>
    </row>
    <row r="304">
      <c r="A304" s="189"/>
      <c r="B304" s="189"/>
      <c r="C304" s="189"/>
      <c r="D304" s="189"/>
      <c r="E304" s="189"/>
      <c r="F304" s="189"/>
      <c r="G304" s="189"/>
      <c r="H304" s="189"/>
      <c r="I304" s="189"/>
    </row>
    <row r="305">
      <c r="A305" s="189"/>
      <c r="B305" s="189"/>
      <c r="C305" s="189"/>
      <c r="D305" s="189"/>
      <c r="E305" s="189"/>
      <c r="F305" s="189"/>
      <c r="G305" s="189"/>
      <c r="H305" s="189"/>
      <c r="I305" s="189"/>
    </row>
    <row r="306">
      <c r="A306" s="189"/>
      <c r="B306" s="189"/>
      <c r="C306" s="189"/>
      <c r="D306" s="189"/>
      <c r="E306" s="189"/>
      <c r="F306" s="189"/>
      <c r="G306" s="189"/>
      <c r="H306" s="189"/>
      <c r="I306" s="189"/>
    </row>
    <row r="307">
      <c r="A307" s="189"/>
      <c r="B307" s="189"/>
      <c r="C307" s="189"/>
      <c r="D307" s="189"/>
      <c r="E307" s="189"/>
      <c r="F307" s="189"/>
      <c r="G307" s="189"/>
      <c r="H307" s="189"/>
      <c r="I307" s="189"/>
    </row>
    <row r="308">
      <c r="A308" s="189"/>
      <c r="B308" s="189"/>
      <c r="C308" s="189"/>
      <c r="D308" s="189"/>
      <c r="E308" s="189"/>
      <c r="F308" s="189"/>
      <c r="G308" s="189"/>
      <c r="H308" s="189"/>
      <c r="I308" s="189"/>
    </row>
    <row r="309">
      <c r="A309" s="189"/>
      <c r="B309" s="189"/>
      <c r="C309" s="189"/>
      <c r="D309" s="189"/>
      <c r="E309" s="189"/>
      <c r="F309" s="189"/>
      <c r="G309" s="189"/>
      <c r="H309" s="189"/>
      <c r="I309" s="189"/>
    </row>
    <row r="310">
      <c r="A310" s="189"/>
      <c r="B310" s="189"/>
      <c r="C310" s="189"/>
      <c r="D310" s="189"/>
      <c r="E310" s="189"/>
      <c r="F310" s="189"/>
      <c r="G310" s="189"/>
      <c r="H310" s="189"/>
      <c r="I310" s="189"/>
    </row>
    <row r="311">
      <c r="A311" s="189"/>
      <c r="B311" s="189"/>
      <c r="C311" s="189"/>
      <c r="D311" s="189"/>
      <c r="E311" s="189"/>
      <c r="F311" s="189"/>
      <c r="G311" s="189"/>
      <c r="H311" s="189"/>
      <c r="I311" s="189"/>
    </row>
    <row r="312">
      <c r="A312" s="189"/>
      <c r="B312" s="189"/>
      <c r="C312" s="189"/>
      <c r="D312" s="189"/>
      <c r="E312" s="189"/>
      <c r="F312" s="189"/>
      <c r="G312" s="189"/>
      <c r="H312" s="189"/>
      <c r="I312" s="189"/>
    </row>
    <row r="313">
      <c r="A313" s="189"/>
      <c r="B313" s="189"/>
      <c r="C313" s="189"/>
      <c r="D313" s="189"/>
      <c r="E313" s="189"/>
      <c r="F313" s="189"/>
      <c r="G313" s="189"/>
      <c r="H313" s="189"/>
      <c r="I313" s="189"/>
    </row>
    <row r="314">
      <c r="A314" s="189"/>
      <c r="B314" s="189"/>
      <c r="C314" s="189"/>
      <c r="D314" s="189"/>
      <c r="E314" s="189"/>
      <c r="F314" s="189"/>
      <c r="G314" s="189"/>
      <c r="H314" s="189"/>
      <c r="I314" s="189"/>
    </row>
    <row r="315">
      <c r="A315" s="189"/>
      <c r="B315" s="189"/>
      <c r="C315" s="189"/>
      <c r="D315" s="189"/>
      <c r="E315" s="189"/>
      <c r="F315" s="189"/>
      <c r="G315" s="189"/>
      <c r="H315" s="189"/>
      <c r="I315" s="189"/>
    </row>
    <row r="316">
      <c r="A316" s="189"/>
      <c r="B316" s="189"/>
      <c r="C316" s="189"/>
      <c r="D316" s="189"/>
      <c r="E316" s="189"/>
      <c r="F316" s="189"/>
      <c r="G316" s="189"/>
      <c r="H316" s="189"/>
      <c r="I316" s="189"/>
    </row>
    <row r="317">
      <c r="A317" s="189"/>
      <c r="B317" s="189"/>
      <c r="C317" s="189"/>
      <c r="D317" s="189"/>
      <c r="E317" s="189"/>
      <c r="F317" s="189"/>
      <c r="G317" s="189"/>
      <c r="H317" s="189"/>
      <c r="I317" s="189"/>
    </row>
    <row r="318">
      <c r="A318" s="189"/>
      <c r="B318" s="189"/>
      <c r="C318" s="189"/>
      <c r="D318" s="189"/>
      <c r="E318" s="189"/>
      <c r="F318" s="189"/>
      <c r="G318" s="189"/>
      <c r="H318" s="189"/>
      <c r="I318" s="189"/>
    </row>
    <row r="319">
      <c r="A319" s="189"/>
      <c r="B319" s="189"/>
      <c r="C319" s="189"/>
      <c r="D319" s="189"/>
      <c r="E319" s="189"/>
      <c r="F319" s="189"/>
      <c r="G319" s="189"/>
      <c r="H319" s="189"/>
      <c r="I319" s="189"/>
    </row>
    <row r="320">
      <c r="A320" s="189"/>
      <c r="B320" s="189"/>
      <c r="C320" s="189"/>
      <c r="D320" s="189"/>
      <c r="E320" s="189"/>
      <c r="F320" s="189"/>
      <c r="G320" s="189"/>
      <c r="H320" s="189"/>
      <c r="I320" s="189"/>
    </row>
    <row r="321">
      <c r="A321" s="189"/>
      <c r="B321" s="189"/>
      <c r="C321" s="189"/>
      <c r="D321" s="189"/>
      <c r="E321" s="189"/>
      <c r="F321" s="189"/>
      <c r="G321" s="189"/>
      <c r="H321" s="189"/>
      <c r="I321" s="189"/>
    </row>
    <row r="322">
      <c r="A322" s="189"/>
      <c r="B322" s="189"/>
      <c r="C322" s="189"/>
      <c r="D322" s="189"/>
      <c r="E322" s="189"/>
      <c r="F322" s="189"/>
      <c r="G322" s="189"/>
      <c r="H322" s="189"/>
      <c r="I322" s="189"/>
    </row>
    <row r="323">
      <c r="A323" s="189"/>
      <c r="B323" s="189"/>
      <c r="C323" s="189"/>
      <c r="D323" s="189"/>
      <c r="E323" s="189"/>
      <c r="F323" s="189"/>
      <c r="G323" s="189"/>
      <c r="H323" s="189"/>
      <c r="I323" s="189"/>
    </row>
    <row r="324">
      <c r="A324" s="189"/>
      <c r="B324" s="189"/>
      <c r="C324" s="189"/>
      <c r="D324" s="189"/>
      <c r="E324" s="189"/>
      <c r="F324" s="189"/>
      <c r="G324" s="189"/>
      <c r="H324" s="189"/>
      <c r="I324" s="189"/>
    </row>
    <row r="325">
      <c r="A325" s="189"/>
      <c r="B325" s="189"/>
      <c r="C325" s="189"/>
      <c r="D325" s="189"/>
      <c r="E325" s="189"/>
      <c r="F325" s="189"/>
      <c r="G325" s="189"/>
      <c r="H325" s="189"/>
      <c r="I325" s="189"/>
    </row>
    <row r="326">
      <c r="A326" s="189"/>
      <c r="B326" s="189"/>
      <c r="C326" s="189"/>
      <c r="D326" s="189"/>
      <c r="E326" s="189"/>
      <c r="F326" s="189"/>
      <c r="G326" s="189"/>
      <c r="H326" s="189"/>
      <c r="I326" s="189"/>
    </row>
    <row r="327">
      <c r="A327" s="189"/>
      <c r="B327" s="189"/>
      <c r="C327" s="189"/>
      <c r="D327" s="189"/>
      <c r="E327" s="189"/>
      <c r="F327" s="189"/>
      <c r="G327" s="189"/>
      <c r="H327" s="189"/>
      <c r="I327" s="189"/>
    </row>
    <row r="328">
      <c r="A328" s="189"/>
      <c r="B328" s="189"/>
      <c r="C328" s="189"/>
      <c r="D328" s="189"/>
      <c r="E328" s="189"/>
      <c r="F328" s="189"/>
      <c r="G328" s="189"/>
      <c r="H328" s="189"/>
      <c r="I328" s="189"/>
    </row>
    <row r="329">
      <c r="A329" s="189"/>
      <c r="B329" s="189"/>
      <c r="C329" s="189"/>
      <c r="D329" s="189"/>
      <c r="E329" s="189"/>
      <c r="F329" s="189"/>
      <c r="G329" s="189"/>
      <c r="H329" s="189"/>
      <c r="I329" s="189"/>
    </row>
    <row r="330">
      <c r="A330" s="189"/>
      <c r="B330" s="189"/>
      <c r="C330" s="189"/>
      <c r="D330" s="189"/>
      <c r="E330" s="189"/>
      <c r="F330" s="189"/>
      <c r="G330" s="189"/>
      <c r="H330" s="189"/>
      <c r="I330" s="189"/>
    </row>
    <row r="331">
      <c r="A331" s="189"/>
      <c r="B331" s="189"/>
      <c r="C331" s="189"/>
      <c r="D331" s="189"/>
      <c r="E331" s="189"/>
      <c r="F331" s="189"/>
      <c r="G331" s="189"/>
      <c r="H331" s="189"/>
      <c r="I331" s="189"/>
    </row>
    <row r="332">
      <c r="A332" s="189"/>
      <c r="B332" s="189"/>
      <c r="C332" s="189"/>
      <c r="D332" s="189"/>
      <c r="E332" s="189"/>
      <c r="F332" s="189"/>
      <c r="G332" s="189"/>
      <c r="H332" s="189"/>
      <c r="I332" s="189"/>
    </row>
    <row r="333">
      <c r="A333" s="189"/>
      <c r="B333" s="189"/>
      <c r="C333" s="189"/>
      <c r="D333" s="189"/>
      <c r="E333" s="189"/>
      <c r="F333" s="189"/>
      <c r="G333" s="189"/>
      <c r="H333" s="189"/>
      <c r="I333" s="189"/>
    </row>
    <row r="334">
      <c r="A334" s="189"/>
      <c r="B334" s="189"/>
      <c r="C334" s="189"/>
      <c r="D334" s="189"/>
      <c r="E334" s="189"/>
      <c r="F334" s="189"/>
      <c r="G334" s="189"/>
      <c r="H334" s="189"/>
      <c r="I334" s="189"/>
    </row>
    <row r="335">
      <c r="A335" s="189"/>
      <c r="B335" s="189"/>
      <c r="C335" s="189"/>
      <c r="D335" s="189"/>
      <c r="E335" s="189"/>
      <c r="F335" s="189"/>
      <c r="G335" s="189"/>
      <c r="H335" s="189"/>
      <c r="I335" s="189"/>
    </row>
    <row r="336">
      <c r="A336" s="189"/>
      <c r="B336" s="189"/>
      <c r="C336" s="189"/>
      <c r="D336" s="189"/>
      <c r="E336" s="189"/>
      <c r="F336" s="189"/>
      <c r="G336" s="189"/>
      <c r="H336" s="189"/>
      <c r="I336" s="189"/>
    </row>
    <row r="337">
      <c r="A337" s="189"/>
      <c r="B337" s="189"/>
      <c r="C337" s="189"/>
      <c r="D337" s="189"/>
      <c r="E337" s="189"/>
      <c r="F337" s="189"/>
      <c r="G337" s="189"/>
      <c r="H337" s="189"/>
      <c r="I337" s="189"/>
    </row>
    <row r="338">
      <c r="A338" s="189"/>
      <c r="B338" s="189"/>
      <c r="C338" s="189"/>
      <c r="D338" s="189"/>
      <c r="E338" s="189"/>
      <c r="F338" s="189"/>
      <c r="G338" s="189"/>
      <c r="H338" s="189"/>
      <c r="I338" s="189"/>
    </row>
    <row r="339">
      <c r="A339" s="189"/>
      <c r="B339" s="189"/>
      <c r="C339" s="189"/>
      <c r="D339" s="189"/>
      <c r="E339" s="189"/>
      <c r="F339" s="189"/>
      <c r="G339" s="189"/>
      <c r="H339" s="189"/>
      <c r="I339" s="189"/>
    </row>
    <row r="340">
      <c r="A340" s="189"/>
      <c r="B340" s="189"/>
      <c r="C340" s="189"/>
      <c r="D340" s="189"/>
      <c r="E340" s="189"/>
      <c r="F340" s="189"/>
      <c r="G340" s="189"/>
      <c r="H340" s="189"/>
      <c r="I340" s="189"/>
    </row>
    <row r="341">
      <c r="A341" s="189"/>
      <c r="B341" s="189"/>
      <c r="C341" s="189"/>
      <c r="D341" s="189"/>
      <c r="E341" s="189"/>
      <c r="F341" s="189"/>
      <c r="G341" s="189"/>
      <c r="H341" s="189"/>
      <c r="I341" s="189"/>
    </row>
    <row r="342">
      <c r="A342" s="189"/>
      <c r="B342" s="189"/>
      <c r="C342" s="189"/>
      <c r="D342" s="189"/>
      <c r="E342" s="189"/>
      <c r="F342" s="189"/>
      <c r="G342" s="189"/>
      <c r="H342" s="189"/>
      <c r="I342" s="189"/>
    </row>
    <row r="343">
      <c r="A343" s="189"/>
      <c r="B343" s="189"/>
      <c r="C343" s="189"/>
      <c r="D343" s="189"/>
      <c r="E343" s="189"/>
      <c r="F343" s="189"/>
      <c r="G343" s="189"/>
      <c r="H343" s="189"/>
      <c r="I343" s="189"/>
    </row>
    <row r="344">
      <c r="A344" s="189"/>
      <c r="B344" s="189"/>
      <c r="C344" s="189"/>
      <c r="D344" s="189"/>
      <c r="E344" s="189"/>
      <c r="F344" s="189"/>
      <c r="G344" s="189"/>
      <c r="H344" s="189"/>
      <c r="I344" s="189"/>
    </row>
    <row r="345">
      <c r="A345" s="189"/>
      <c r="B345" s="189"/>
      <c r="C345" s="189"/>
      <c r="D345" s="189"/>
      <c r="E345" s="189"/>
      <c r="F345" s="189"/>
      <c r="G345" s="189"/>
      <c r="H345" s="189"/>
      <c r="I345" s="189"/>
    </row>
    <row r="346">
      <c r="A346" s="189"/>
      <c r="B346" s="189"/>
      <c r="C346" s="189"/>
      <c r="D346" s="189"/>
      <c r="E346" s="189"/>
      <c r="F346" s="189"/>
      <c r="G346" s="189"/>
      <c r="H346" s="189"/>
      <c r="I346" s="189"/>
    </row>
    <row r="347">
      <c r="A347" s="189"/>
      <c r="B347" s="189"/>
      <c r="C347" s="189"/>
      <c r="D347" s="189"/>
      <c r="E347" s="189"/>
      <c r="F347" s="189"/>
      <c r="G347" s="189"/>
      <c r="H347" s="189"/>
      <c r="I347" s="189"/>
    </row>
    <row r="348">
      <c r="A348" s="189"/>
      <c r="B348" s="189"/>
      <c r="C348" s="189"/>
      <c r="D348" s="189"/>
      <c r="E348" s="189"/>
      <c r="F348" s="189"/>
      <c r="G348" s="189"/>
      <c r="H348" s="189"/>
      <c r="I348" s="189"/>
    </row>
    <row r="349">
      <c r="A349" s="189"/>
      <c r="B349" s="189"/>
      <c r="C349" s="189"/>
      <c r="D349" s="189"/>
      <c r="E349" s="189"/>
      <c r="F349" s="189"/>
      <c r="G349" s="189"/>
      <c r="H349" s="189"/>
      <c r="I349" s="189"/>
    </row>
    <row r="350">
      <c r="A350" s="189"/>
      <c r="B350" s="189"/>
      <c r="C350" s="189"/>
      <c r="D350" s="189"/>
      <c r="E350" s="189"/>
      <c r="F350" s="189"/>
      <c r="G350" s="189"/>
      <c r="H350" s="189"/>
      <c r="I350" s="189"/>
    </row>
    <row r="351">
      <c r="A351" s="189"/>
      <c r="B351" s="189"/>
      <c r="C351" s="189"/>
      <c r="D351" s="189"/>
      <c r="E351" s="189"/>
      <c r="F351" s="189"/>
      <c r="G351" s="189"/>
      <c r="H351" s="189"/>
      <c r="I351" s="189"/>
    </row>
    <row r="352">
      <c r="A352" s="189"/>
      <c r="B352" s="189"/>
      <c r="C352" s="189"/>
      <c r="D352" s="189"/>
      <c r="E352" s="189"/>
      <c r="F352" s="189"/>
      <c r="G352" s="189"/>
      <c r="H352" s="189"/>
      <c r="I352" s="189"/>
    </row>
    <row r="353">
      <c r="A353" s="189"/>
      <c r="B353" s="189"/>
      <c r="C353" s="189"/>
      <c r="D353" s="189"/>
      <c r="E353" s="189"/>
      <c r="F353" s="189"/>
      <c r="G353" s="189"/>
      <c r="H353" s="189"/>
      <c r="I353" s="189"/>
    </row>
    <row r="354">
      <c r="A354" s="189"/>
      <c r="B354" s="189"/>
      <c r="C354" s="189"/>
      <c r="D354" s="189"/>
      <c r="E354" s="189"/>
      <c r="F354" s="189"/>
      <c r="G354" s="189"/>
      <c r="H354" s="189"/>
      <c r="I354" s="189"/>
    </row>
    <row r="355">
      <c r="A355" s="189"/>
      <c r="B355" s="189"/>
      <c r="C355" s="189"/>
      <c r="D355" s="189"/>
      <c r="E355" s="189"/>
      <c r="F355" s="189"/>
      <c r="G355" s="189"/>
      <c r="H355" s="189"/>
      <c r="I355" s="189"/>
    </row>
    <row r="356">
      <c r="A356" s="189"/>
      <c r="B356" s="189"/>
      <c r="C356" s="189"/>
      <c r="D356" s="189"/>
      <c r="E356" s="189"/>
      <c r="F356" s="189"/>
      <c r="G356" s="189"/>
      <c r="H356" s="189"/>
      <c r="I356" s="189"/>
    </row>
    <row r="357">
      <c r="A357" s="189"/>
      <c r="B357" s="189"/>
      <c r="C357" s="189"/>
      <c r="D357" s="189"/>
      <c r="E357" s="189"/>
      <c r="F357" s="189"/>
      <c r="G357" s="189"/>
      <c r="H357" s="189"/>
      <c r="I357" s="189"/>
    </row>
    <row r="358">
      <c r="A358" s="189"/>
      <c r="B358" s="189"/>
      <c r="C358" s="189"/>
      <c r="D358" s="189"/>
      <c r="E358" s="189"/>
      <c r="F358" s="189"/>
      <c r="G358" s="189"/>
      <c r="H358" s="189"/>
      <c r="I358" s="189"/>
    </row>
    <row r="359">
      <c r="A359" s="189"/>
      <c r="B359" s="189"/>
      <c r="C359" s="189"/>
      <c r="D359" s="189"/>
      <c r="E359" s="189"/>
      <c r="F359" s="189"/>
      <c r="G359" s="189"/>
      <c r="H359" s="189"/>
      <c r="I359" s="189"/>
    </row>
    <row r="360">
      <c r="A360" s="189"/>
      <c r="B360" s="189"/>
      <c r="C360" s="189"/>
      <c r="D360" s="189"/>
      <c r="E360" s="189"/>
      <c r="F360" s="189"/>
      <c r="G360" s="189"/>
      <c r="H360" s="189"/>
      <c r="I360" s="189"/>
    </row>
    <row r="361">
      <c r="A361" s="189"/>
      <c r="B361" s="189"/>
      <c r="C361" s="189"/>
      <c r="D361" s="189"/>
      <c r="E361" s="189"/>
      <c r="F361" s="189"/>
      <c r="G361" s="189"/>
      <c r="H361" s="189"/>
      <c r="I361" s="189"/>
    </row>
    <row r="362">
      <c r="A362" s="189"/>
      <c r="B362" s="189"/>
      <c r="C362" s="189"/>
      <c r="D362" s="189"/>
      <c r="E362" s="189"/>
      <c r="F362" s="189"/>
      <c r="G362" s="189"/>
      <c r="H362" s="189"/>
      <c r="I362" s="189"/>
    </row>
    <row r="363">
      <c r="A363" s="189"/>
      <c r="B363" s="189"/>
      <c r="C363" s="189"/>
      <c r="D363" s="189"/>
      <c r="E363" s="189"/>
      <c r="F363" s="189"/>
      <c r="G363" s="189"/>
      <c r="H363" s="189"/>
      <c r="I363" s="189"/>
    </row>
    <row r="364">
      <c r="A364" s="189"/>
      <c r="B364" s="189"/>
      <c r="C364" s="189"/>
      <c r="D364" s="189"/>
      <c r="E364" s="189"/>
      <c r="F364" s="189"/>
      <c r="G364" s="189"/>
      <c r="H364" s="189"/>
      <c r="I364" s="189"/>
    </row>
    <row r="365">
      <c r="A365" s="189"/>
      <c r="B365" s="189"/>
      <c r="C365" s="189"/>
      <c r="D365" s="189"/>
      <c r="E365" s="189"/>
      <c r="F365" s="189"/>
      <c r="G365" s="189"/>
      <c r="H365" s="189"/>
      <c r="I365" s="189"/>
    </row>
    <row r="366">
      <c r="A366" s="189"/>
      <c r="B366" s="189"/>
      <c r="C366" s="189"/>
      <c r="D366" s="189"/>
      <c r="E366" s="189"/>
      <c r="F366" s="189"/>
      <c r="G366" s="189"/>
      <c r="H366" s="189"/>
      <c r="I366" s="189"/>
    </row>
    <row r="367">
      <c r="A367" s="189"/>
      <c r="B367" s="189"/>
      <c r="C367" s="189"/>
      <c r="D367" s="189"/>
      <c r="E367" s="189"/>
      <c r="F367" s="189"/>
      <c r="G367" s="189"/>
      <c r="H367" s="189"/>
      <c r="I367" s="189"/>
    </row>
    <row r="368">
      <c r="A368" s="189"/>
      <c r="B368" s="189"/>
      <c r="C368" s="189"/>
      <c r="D368" s="189"/>
      <c r="E368" s="189"/>
      <c r="F368" s="189"/>
      <c r="G368" s="189"/>
      <c r="H368" s="189"/>
      <c r="I368" s="189"/>
    </row>
    <row r="369">
      <c r="A369" s="189"/>
      <c r="B369" s="189"/>
      <c r="C369" s="189"/>
      <c r="D369" s="189"/>
      <c r="E369" s="189"/>
      <c r="F369" s="189"/>
      <c r="G369" s="189"/>
      <c r="H369" s="189"/>
      <c r="I369" s="189"/>
    </row>
    <row r="370">
      <c r="A370" s="189"/>
      <c r="B370" s="189"/>
      <c r="C370" s="189"/>
      <c r="D370" s="189"/>
      <c r="E370" s="189"/>
      <c r="F370" s="189"/>
      <c r="G370" s="189"/>
      <c r="H370" s="189"/>
      <c r="I370" s="189"/>
    </row>
    <row r="371">
      <c r="A371" s="189"/>
      <c r="B371" s="189"/>
      <c r="C371" s="189"/>
      <c r="D371" s="189"/>
      <c r="E371" s="189"/>
      <c r="F371" s="189"/>
      <c r="G371" s="189"/>
      <c r="H371" s="189"/>
      <c r="I371" s="189"/>
    </row>
    <row r="372">
      <c r="A372" s="189"/>
      <c r="B372" s="189"/>
      <c r="C372" s="189"/>
      <c r="D372" s="189"/>
      <c r="E372" s="189"/>
      <c r="F372" s="189"/>
      <c r="G372" s="189"/>
      <c r="H372" s="189"/>
      <c r="I372" s="189"/>
    </row>
    <row r="373">
      <c r="A373" s="189"/>
      <c r="B373" s="189"/>
      <c r="C373" s="189"/>
      <c r="D373" s="189"/>
      <c r="E373" s="189"/>
      <c r="F373" s="189"/>
      <c r="G373" s="189"/>
      <c r="H373" s="189"/>
      <c r="I373" s="189"/>
    </row>
    <row r="374">
      <c r="A374" s="189"/>
      <c r="B374" s="189"/>
      <c r="C374" s="189"/>
      <c r="D374" s="189"/>
      <c r="E374" s="189"/>
      <c r="F374" s="189"/>
      <c r="G374" s="189"/>
      <c r="H374" s="189"/>
      <c r="I374" s="189"/>
    </row>
    <row r="375">
      <c r="A375" s="189"/>
      <c r="B375" s="189"/>
      <c r="C375" s="189"/>
      <c r="D375" s="189"/>
      <c r="E375" s="189"/>
      <c r="F375" s="189"/>
      <c r="G375" s="189"/>
      <c r="H375" s="189"/>
      <c r="I375" s="189"/>
    </row>
    <row r="376">
      <c r="A376" s="189"/>
      <c r="B376" s="189"/>
      <c r="C376" s="189"/>
      <c r="D376" s="189"/>
      <c r="E376" s="189"/>
      <c r="F376" s="189"/>
      <c r="G376" s="189"/>
      <c r="H376" s="189"/>
      <c r="I376" s="189"/>
    </row>
    <row r="377">
      <c r="A377" s="189"/>
      <c r="B377" s="189"/>
      <c r="C377" s="189"/>
      <c r="D377" s="189"/>
      <c r="E377" s="189"/>
      <c r="F377" s="189"/>
      <c r="G377" s="189"/>
      <c r="H377" s="189"/>
      <c r="I377" s="189"/>
    </row>
    <row r="378">
      <c r="A378" s="189"/>
      <c r="B378" s="189"/>
      <c r="C378" s="189"/>
      <c r="D378" s="189"/>
      <c r="E378" s="189"/>
      <c r="F378" s="189"/>
      <c r="G378" s="189"/>
      <c r="H378" s="189"/>
      <c r="I378" s="189"/>
    </row>
    <row r="379">
      <c r="A379" s="189"/>
      <c r="B379" s="189"/>
      <c r="C379" s="189"/>
      <c r="D379" s="189"/>
      <c r="E379" s="189"/>
      <c r="F379" s="189"/>
      <c r="G379" s="189"/>
      <c r="H379" s="189"/>
      <c r="I379" s="189"/>
    </row>
    <row r="380">
      <c r="A380" s="189"/>
      <c r="B380" s="189"/>
      <c r="C380" s="189"/>
      <c r="D380" s="189"/>
      <c r="E380" s="189"/>
      <c r="F380" s="189"/>
      <c r="G380" s="189"/>
      <c r="H380" s="189"/>
      <c r="I380" s="189"/>
    </row>
    <row r="381">
      <c r="A381" s="189"/>
      <c r="B381" s="189"/>
      <c r="C381" s="189"/>
      <c r="D381" s="189"/>
      <c r="E381" s="189"/>
      <c r="F381" s="189"/>
      <c r="G381" s="189"/>
      <c r="H381" s="189"/>
      <c r="I381" s="189"/>
    </row>
    <row r="382">
      <c r="A382" s="189"/>
      <c r="B382" s="189"/>
      <c r="C382" s="189"/>
      <c r="D382" s="189"/>
      <c r="E382" s="189"/>
      <c r="F382" s="189"/>
      <c r="G382" s="189"/>
      <c r="H382" s="189"/>
      <c r="I382" s="189"/>
    </row>
    <row r="383">
      <c r="A383" s="189"/>
      <c r="B383" s="189"/>
      <c r="C383" s="189"/>
      <c r="D383" s="189"/>
      <c r="E383" s="189"/>
      <c r="F383" s="189"/>
      <c r="G383" s="189"/>
      <c r="H383" s="189"/>
      <c r="I383" s="189"/>
    </row>
    <row r="384">
      <c r="A384" s="189"/>
      <c r="B384" s="189"/>
      <c r="C384" s="189"/>
      <c r="D384" s="189"/>
      <c r="E384" s="189"/>
      <c r="F384" s="189"/>
      <c r="G384" s="189"/>
      <c r="H384" s="189"/>
      <c r="I384" s="189"/>
    </row>
    <row r="385">
      <c r="A385" s="189"/>
      <c r="B385" s="189"/>
      <c r="C385" s="189"/>
      <c r="D385" s="189"/>
      <c r="E385" s="189"/>
      <c r="F385" s="189"/>
      <c r="G385" s="189"/>
      <c r="H385" s="189"/>
      <c r="I385" s="189"/>
    </row>
    <row r="386">
      <c r="A386" s="189"/>
      <c r="B386" s="189"/>
      <c r="C386" s="189"/>
      <c r="D386" s="189"/>
      <c r="E386" s="189"/>
      <c r="F386" s="189"/>
      <c r="G386" s="189"/>
      <c r="H386" s="189"/>
      <c r="I386" s="189"/>
    </row>
    <row r="387">
      <c r="A387" s="189"/>
      <c r="B387" s="189"/>
      <c r="C387" s="189"/>
      <c r="D387" s="189"/>
      <c r="E387" s="189"/>
      <c r="F387" s="189"/>
      <c r="G387" s="189"/>
      <c r="H387" s="189"/>
      <c r="I387" s="189"/>
    </row>
    <row r="388">
      <c r="A388" s="189"/>
      <c r="B388" s="189"/>
      <c r="C388" s="189"/>
      <c r="D388" s="189"/>
      <c r="E388" s="189"/>
      <c r="F388" s="189"/>
      <c r="G388" s="189"/>
      <c r="H388" s="189"/>
      <c r="I388" s="189"/>
    </row>
    <row r="389">
      <c r="A389" s="189"/>
      <c r="B389" s="189"/>
      <c r="C389" s="189"/>
      <c r="D389" s="189"/>
      <c r="E389" s="189"/>
      <c r="F389" s="189"/>
      <c r="G389" s="189"/>
      <c r="H389" s="189"/>
      <c r="I389" s="189"/>
    </row>
    <row r="390">
      <c r="A390" s="189"/>
      <c r="B390" s="189"/>
      <c r="C390" s="189"/>
      <c r="D390" s="189"/>
      <c r="E390" s="189"/>
      <c r="F390" s="189"/>
      <c r="G390" s="189"/>
      <c r="H390" s="189"/>
      <c r="I390" s="189"/>
    </row>
    <row r="391">
      <c r="A391" s="189"/>
      <c r="B391" s="189"/>
      <c r="C391" s="189"/>
      <c r="D391" s="189"/>
      <c r="E391" s="189"/>
      <c r="F391" s="189"/>
      <c r="G391" s="189"/>
      <c r="H391" s="189"/>
      <c r="I391" s="189"/>
    </row>
    <row r="392">
      <c r="A392" s="189"/>
      <c r="B392" s="189"/>
      <c r="C392" s="189"/>
      <c r="D392" s="189"/>
      <c r="E392" s="189"/>
      <c r="F392" s="189"/>
      <c r="G392" s="189"/>
      <c r="H392" s="189"/>
      <c r="I392" s="189"/>
    </row>
    <row r="393">
      <c r="A393" s="189"/>
      <c r="B393" s="189"/>
      <c r="C393" s="189"/>
      <c r="D393" s="189"/>
      <c r="E393" s="189"/>
      <c r="F393" s="189"/>
      <c r="G393" s="189"/>
      <c r="H393" s="189"/>
      <c r="I393" s="189"/>
    </row>
    <row r="394">
      <c r="A394" s="189"/>
      <c r="B394" s="189"/>
      <c r="C394" s="189"/>
      <c r="D394" s="189"/>
      <c r="E394" s="189"/>
      <c r="F394" s="189"/>
      <c r="G394" s="189"/>
      <c r="H394" s="189"/>
      <c r="I394" s="189"/>
    </row>
    <row r="395">
      <c r="A395" s="189"/>
      <c r="B395" s="189"/>
      <c r="C395" s="189"/>
      <c r="D395" s="189"/>
      <c r="E395" s="189"/>
      <c r="F395" s="189"/>
      <c r="G395" s="189"/>
      <c r="H395" s="189"/>
      <c r="I395" s="189"/>
    </row>
    <row r="396">
      <c r="A396" s="189"/>
      <c r="B396" s="189"/>
      <c r="C396" s="189"/>
      <c r="D396" s="189"/>
      <c r="E396" s="189"/>
      <c r="F396" s="189"/>
      <c r="G396" s="189"/>
      <c r="H396" s="189"/>
      <c r="I396" s="189"/>
    </row>
    <row r="397">
      <c r="A397" s="189"/>
      <c r="B397" s="189"/>
      <c r="C397" s="189"/>
      <c r="D397" s="189"/>
      <c r="E397" s="189"/>
      <c r="F397" s="189"/>
      <c r="G397" s="189"/>
      <c r="H397" s="189"/>
      <c r="I397" s="189"/>
    </row>
    <row r="398">
      <c r="A398" s="189"/>
      <c r="B398" s="189"/>
      <c r="C398" s="189"/>
      <c r="D398" s="189"/>
      <c r="E398" s="189"/>
      <c r="F398" s="189"/>
      <c r="G398" s="189"/>
      <c r="H398" s="189"/>
      <c r="I398" s="189"/>
    </row>
    <row r="399">
      <c r="A399" s="189"/>
      <c r="B399" s="189"/>
      <c r="C399" s="189"/>
      <c r="D399" s="189"/>
      <c r="E399" s="189"/>
      <c r="F399" s="189"/>
      <c r="G399" s="189"/>
      <c r="H399" s="189"/>
      <c r="I399" s="189"/>
    </row>
    <row r="400">
      <c r="A400" s="189"/>
      <c r="B400" s="189"/>
      <c r="C400" s="189"/>
      <c r="D400" s="189"/>
      <c r="E400" s="189"/>
      <c r="F400" s="189"/>
      <c r="G400" s="189"/>
      <c r="H400" s="189"/>
      <c r="I400" s="189"/>
    </row>
    <row r="401">
      <c r="A401" s="189"/>
      <c r="B401" s="189"/>
      <c r="C401" s="189"/>
      <c r="D401" s="189"/>
      <c r="E401" s="189"/>
      <c r="F401" s="189"/>
      <c r="G401" s="189"/>
      <c r="H401" s="189"/>
      <c r="I401" s="189"/>
    </row>
    <row r="402">
      <c r="A402" s="189"/>
      <c r="B402" s="189"/>
      <c r="C402" s="189"/>
      <c r="D402" s="189"/>
      <c r="E402" s="189"/>
      <c r="F402" s="189"/>
      <c r="G402" s="189"/>
      <c r="H402" s="189"/>
      <c r="I402" s="189"/>
    </row>
    <row r="403">
      <c r="A403" s="189"/>
      <c r="B403" s="189"/>
      <c r="C403" s="189"/>
      <c r="D403" s="189"/>
      <c r="E403" s="189"/>
      <c r="F403" s="189"/>
      <c r="G403" s="189"/>
      <c r="H403" s="189"/>
      <c r="I403" s="189"/>
    </row>
    <row r="404">
      <c r="A404" s="189"/>
      <c r="B404" s="189"/>
      <c r="C404" s="189"/>
      <c r="D404" s="189"/>
      <c r="E404" s="189"/>
      <c r="F404" s="189"/>
      <c r="G404" s="189"/>
      <c r="H404" s="189"/>
      <c r="I404" s="189"/>
    </row>
    <row r="405">
      <c r="A405" s="189"/>
      <c r="B405" s="189"/>
      <c r="C405" s="189"/>
      <c r="D405" s="189"/>
      <c r="E405" s="189"/>
      <c r="F405" s="189"/>
      <c r="G405" s="189"/>
      <c r="H405" s="189"/>
      <c r="I405" s="189"/>
    </row>
    <row r="406">
      <c r="A406" s="189"/>
      <c r="B406" s="189"/>
      <c r="C406" s="189"/>
      <c r="D406" s="189"/>
      <c r="E406" s="189"/>
      <c r="F406" s="189"/>
      <c r="G406" s="189"/>
      <c r="H406" s="189"/>
      <c r="I406" s="189"/>
    </row>
    <row r="407">
      <c r="A407" s="189"/>
      <c r="B407" s="189"/>
      <c r="C407" s="189"/>
      <c r="D407" s="189"/>
      <c r="E407" s="189"/>
      <c r="F407" s="189"/>
      <c r="G407" s="189"/>
      <c r="H407" s="189"/>
      <c r="I407" s="189"/>
    </row>
    <row r="408">
      <c r="A408" s="189"/>
      <c r="B408" s="189"/>
      <c r="C408" s="189"/>
      <c r="D408" s="189"/>
      <c r="E408" s="189"/>
      <c r="F408" s="189"/>
      <c r="G408" s="189"/>
      <c r="H408" s="189"/>
      <c r="I408" s="189"/>
    </row>
    <row r="409">
      <c r="A409" s="189"/>
      <c r="B409" s="189"/>
      <c r="C409" s="189"/>
      <c r="D409" s="189"/>
      <c r="E409" s="189"/>
      <c r="F409" s="189"/>
      <c r="G409" s="189"/>
      <c r="H409" s="189"/>
      <c r="I409" s="189"/>
    </row>
    <row r="410">
      <c r="A410" s="189"/>
      <c r="B410" s="189"/>
      <c r="C410" s="189"/>
      <c r="D410" s="189"/>
      <c r="E410" s="189"/>
      <c r="F410" s="189"/>
      <c r="G410" s="189"/>
      <c r="H410" s="189"/>
      <c r="I410" s="189"/>
    </row>
    <row r="411">
      <c r="A411" s="189"/>
      <c r="B411" s="189"/>
      <c r="C411" s="189"/>
      <c r="D411" s="189"/>
      <c r="E411" s="189"/>
      <c r="F411" s="189"/>
      <c r="G411" s="189"/>
      <c r="H411" s="189"/>
      <c r="I411" s="189"/>
    </row>
    <row r="412">
      <c r="A412" s="189"/>
      <c r="B412" s="189"/>
      <c r="C412" s="189"/>
      <c r="D412" s="189"/>
      <c r="E412" s="189"/>
      <c r="F412" s="189"/>
      <c r="G412" s="189"/>
      <c r="H412" s="189"/>
      <c r="I412" s="189"/>
    </row>
    <row r="413">
      <c r="A413" s="189"/>
      <c r="B413" s="189"/>
      <c r="C413" s="189"/>
      <c r="D413" s="189"/>
      <c r="E413" s="189"/>
      <c r="F413" s="189"/>
      <c r="G413" s="189"/>
      <c r="H413" s="189"/>
      <c r="I413" s="189"/>
    </row>
    <row r="414">
      <c r="A414" s="189"/>
      <c r="B414" s="189"/>
      <c r="C414" s="189"/>
      <c r="D414" s="189"/>
      <c r="E414" s="189"/>
      <c r="F414" s="189"/>
      <c r="G414" s="189"/>
      <c r="H414" s="189"/>
      <c r="I414" s="189"/>
    </row>
    <row r="415">
      <c r="A415" s="189"/>
      <c r="B415" s="189"/>
      <c r="C415" s="189"/>
      <c r="D415" s="189"/>
      <c r="E415" s="189"/>
      <c r="F415" s="189"/>
      <c r="G415" s="189"/>
      <c r="H415" s="189"/>
      <c r="I415" s="189"/>
    </row>
    <row r="416">
      <c r="A416" s="189"/>
      <c r="B416" s="189"/>
      <c r="C416" s="189"/>
      <c r="D416" s="189"/>
      <c r="E416" s="189"/>
      <c r="F416" s="189"/>
      <c r="G416" s="189"/>
      <c r="H416" s="189"/>
      <c r="I416" s="189"/>
    </row>
    <row r="417">
      <c r="A417" s="189"/>
      <c r="B417" s="189"/>
      <c r="C417" s="189"/>
      <c r="D417" s="189"/>
      <c r="E417" s="189"/>
      <c r="F417" s="189"/>
      <c r="G417" s="189"/>
      <c r="H417" s="189"/>
      <c r="I417" s="189"/>
    </row>
    <row r="418">
      <c r="A418" s="189"/>
      <c r="B418" s="189"/>
      <c r="C418" s="189"/>
      <c r="D418" s="189"/>
      <c r="E418" s="189"/>
      <c r="F418" s="189"/>
      <c r="G418" s="189"/>
      <c r="H418" s="189"/>
      <c r="I418" s="189"/>
    </row>
    <row r="419">
      <c r="A419" s="189"/>
      <c r="B419" s="189"/>
      <c r="C419" s="189"/>
      <c r="D419" s="189"/>
      <c r="E419" s="189"/>
      <c r="F419" s="189"/>
      <c r="G419" s="189"/>
      <c r="H419" s="189"/>
      <c r="I419" s="189"/>
    </row>
    <row r="420">
      <c r="A420" s="189"/>
      <c r="B420" s="189"/>
      <c r="C420" s="189"/>
      <c r="D420" s="189"/>
      <c r="E420" s="189"/>
      <c r="F420" s="189"/>
      <c r="G420" s="189"/>
      <c r="H420" s="189"/>
      <c r="I420" s="189"/>
    </row>
    <row r="421">
      <c r="A421" s="189"/>
      <c r="B421" s="189"/>
      <c r="C421" s="189"/>
      <c r="D421" s="189"/>
      <c r="E421" s="189"/>
      <c r="F421" s="189"/>
      <c r="G421" s="189"/>
      <c r="H421" s="189"/>
      <c r="I421" s="189"/>
    </row>
    <row r="422">
      <c r="A422" s="189"/>
      <c r="B422" s="189"/>
      <c r="C422" s="189"/>
      <c r="D422" s="189"/>
      <c r="E422" s="189"/>
      <c r="F422" s="189"/>
      <c r="G422" s="189"/>
      <c r="H422" s="189"/>
      <c r="I422" s="189"/>
    </row>
    <row r="423">
      <c r="A423" s="189"/>
      <c r="B423" s="189"/>
      <c r="C423" s="189"/>
      <c r="D423" s="189"/>
      <c r="E423" s="189"/>
      <c r="F423" s="189"/>
      <c r="G423" s="189"/>
      <c r="H423" s="189"/>
      <c r="I423" s="189"/>
    </row>
    <row r="424">
      <c r="A424" s="189"/>
      <c r="B424" s="189"/>
      <c r="C424" s="189"/>
      <c r="D424" s="189"/>
      <c r="E424" s="189"/>
      <c r="F424" s="189"/>
      <c r="G424" s="189"/>
      <c r="H424" s="189"/>
      <c r="I424" s="189"/>
    </row>
    <row r="425">
      <c r="A425" s="189"/>
      <c r="B425" s="189"/>
      <c r="C425" s="189"/>
      <c r="D425" s="189"/>
      <c r="E425" s="189"/>
      <c r="F425" s="189"/>
      <c r="G425" s="189"/>
      <c r="H425" s="189"/>
      <c r="I425" s="189"/>
    </row>
    <row r="426">
      <c r="A426" s="189"/>
      <c r="B426" s="189"/>
      <c r="C426" s="189"/>
      <c r="D426" s="189"/>
      <c r="E426" s="189"/>
      <c r="F426" s="189"/>
      <c r="G426" s="189"/>
      <c r="H426" s="189"/>
      <c r="I426" s="189"/>
    </row>
    <row r="427">
      <c r="A427" s="189"/>
      <c r="B427" s="189"/>
      <c r="C427" s="189"/>
      <c r="D427" s="189"/>
      <c r="E427" s="189"/>
      <c r="F427" s="189"/>
      <c r="G427" s="189"/>
      <c r="H427" s="189"/>
      <c r="I427" s="189"/>
    </row>
    <row r="428">
      <c r="A428" s="189"/>
      <c r="B428" s="189"/>
      <c r="C428" s="189"/>
      <c r="D428" s="189"/>
      <c r="E428" s="189"/>
      <c r="F428" s="189"/>
      <c r="G428" s="189"/>
      <c r="H428" s="189"/>
      <c r="I428" s="189"/>
    </row>
    <row r="429">
      <c r="A429" s="189"/>
      <c r="B429" s="189"/>
      <c r="C429" s="189"/>
      <c r="D429" s="189"/>
      <c r="E429" s="189"/>
      <c r="F429" s="189"/>
      <c r="G429" s="189"/>
      <c r="H429" s="189"/>
      <c r="I429" s="189"/>
    </row>
    <row r="430">
      <c r="A430" s="189"/>
      <c r="B430" s="189"/>
      <c r="C430" s="189"/>
      <c r="D430" s="189"/>
      <c r="E430" s="189"/>
      <c r="F430" s="189"/>
      <c r="G430" s="189"/>
      <c r="H430" s="189"/>
      <c r="I430" s="189"/>
    </row>
    <row r="431">
      <c r="A431" s="189"/>
      <c r="B431" s="189"/>
      <c r="C431" s="189"/>
      <c r="D431" s="189"/>
      <c r="E431" s="189"/>
      <c r="F431" s="189"/>
      <c r="G431" s="189"/>
      <c r="H431" s="189"/>
      <c r="I431" s="189"/>
    </row>
    <row r="432">
      <c r="A432" s="189"/>
      <c r="B432" s="189"/>
      <c r="C432" s="189"/>
      <c r="D432" s="189"/>
      <c r="E432" s="189"/>
      <c r="F432" s="189"/>
      <c r="G432" s="189"/>
      <c r="H432" s="189"/>
      <c r="I432" s="189"/>
    </row>
    <row r="433">
      <c r="A433" s="189"/>
      <c r="B433" s="189"/>
      <c r="C433" s="189"/>
      <c r="D433" s="189"/>
      <c r="E433" s="189"/>
      <c r="F433" s="189"/>
      <c r="G433" s="189"/>
      <c r="H433" s="189"/>
      <c r="I433" s="189"/>
    </row>
    <row r="434">
      <c r="A434" s="189"/>
      <c r="B434" s="189"/>
      <c r="C434" s="189"/>
      <c r="D434" s="189"/>
      <c r="E434" s="189"/>
      <c r="F434" s="189"/>
      <c r="G434" s="189"/>
      <c r="H434" s="189"/>
      <c r="I434" s="189"/>
    </row>
    <row r="435">
      <c r="A435" s="189"/>
      <c r="B435" s="189"/>
      <c r="C435" s="189"/>
      <c r="D435" s="189"/>
      <c r="E435" s="189"/>
      <c r="F435" s="189"/>
      <c r="G435" s="189"/>
      <c r="H435" s="189"/>
      <c r="I435" s="189"/>
    </row>
    <row r="436">
      <c r="A436" s="189"/>
      <c r="B436" s="189"/>
      <c r="C436" s="189"/>
      <c r="D436" s="189"/>
      <c r="E436" s="189"/>
      <c r="F436" s="189"/>
      <c r="G436" s="189"/>
      <c r="H436" s="189"/>
      <c r="I436" s="189"/>
    </row>
    <row r="437">
      <c r="A437" s="189"/>
      <c r="B437" s="189"/>
      <c r="C437" s="189"/>
      <c r="D437" s="189"/>
      <c r="E437" s="189"/>
      <c r="F437" s="189"/>
      <c r="G437" s="189"/>
      <c r="H437" s="189"/>
      <c r="I437" s="189"/>
    </row>
    <row r="438">
      <c r="A438" s="189"/>
      <c r="B438" s="189"/>
      <c r="C438" s="189"/>
      <c r="D438" s="189"/>
      <c r="E438" s="189"/>
      <c r="F438" s="189"/>
      <c r="G438" s="189"/>
      <c r="H438" s="189"/>
      <c r="I438" s="189"/>
    </row>
    <row r="439">
      <c r="A439" s="189"/>
      <c r="B439" s="189"/>
      <c r="C439" s="189"/>
      <c r="D439" s="189"/>
      <c r="E439" s="189"/>
      <c r="F439" s="189"/>
      <c r="G439" s="189"/>
      <c r="H439" s="189"/>
      <c r="I439" s="189"/>
    </row>
    <row r="440">
      <c r="A440" s="189"/>
      <c r="B440" s="189"/>
      <c r="C440" s="189"/>
      <c r="D440" s="189"/>
      <c r="E440" s="189"/>
      <c r="F440" s="189"/>
      <c r="G440" s="189"/>
      <c r="H440" s="189"/>
      <c r="I440" s="189"/>
    </row>
    <row r="441">
      <c r="A441" s="189"/>
      <c r="B441" s="189"/>
      <c r="C441" s="189"/>
      <c r="D441" s="189"/>
      <c r="E441" s="189"/>
      <c r="F441" s="189"/>
      <c r="G441" s="189"/>
      <c r="H441" s="189"/>
      <c r="I441" s="189"/>
    </row>
    <row r="442">
      <c r="A442" s="189"/>
      <c r="B442" s="189"/>
      <c r="C442" s="189"/>
      <c r="D442" s="189"/>
      <c r="E442" s="189"/>
      <c r="F442" s="189"/>
      <c r="G442" s="189"/>
      <c r="H442" s="189"/>
      <c r="I442" s="189"/>
    </row>
    <row r="443">
      <c r="A443" s="189"/>
      <c r="B443" s="189"/>
      <c r="C443" s="189"/>
      <c r="D443" s="189"/>
      <c r="E443" s="189"/>
      <c r="F443" s="189"/>
      <c r="G443" s="189"/>
      <c r="H443" s="189"/>
      <c r="I443" s="189"/>
    </row>
    <row r="444">
      <c r="A444" s="189"/>
      <c r="B444" s="189"/>
      <c r="C444" s="189"/>
      <c r="D444" s="189"/>
      <c r="E444" s="189"/>
      <c r="F444" s="189"/>
      <c r="G444" s="189"/>
      <c r="H444" s="189"/>
      <c r="I444" s="189"/>
    </row>
    <row r="445">
      <c r="A445" s="189"/>
      <c r="B445" s="189"/>
      <c r="C445" s="189"/>
      <c r="D445" s="189"/>
      <c r="E445" s="189"/>
      <c r="F445" s="189"/>
      <c r="G445" s="189"/>
      <c r="H445" s="189"/>
      <c r="I445" s="189"/>
    </row>
    <row r="446">
      <c r="A446" s="189"/>
      <c r="B446" s="189"/>
      <c r="C446" s="189"/>
      <c r="D446" s="189"/>
      <c r="E446" s="189"/>
      <c r="F446" s="189"/>
      <c r="G446" s="189"/>
      <c r="H446" s="189"/>
      <c r="I446" s="189"/>
    </row>
    <row r="447">
      <c r="A447" s="189"/>
      <c r="B447" s="189"/>
      <c r="C447" s="189"/>
      <c r="D447" s="189"/>
      <c r="E447" s="189"/>
      <c r="F447" s="189"/>
      <c r="G447" s="189"/>
      <c r="H447" s="189"/>
      <c r="I447" s="189"/>
    </row>
    <row r="448">
      <c r="A448" s="189"/>
      <c r="B448" s="189"/>
      <c r="C448" s="189"/>
      <c r="D448" s="189"/>
      <c r="E448" s="189"/>
      <c r="F448" s="189"/>
      <c r="G448" s="189"/>
      <c r="H448" s="189"/>
      <c r="I448" s="189"/>
    </row>
    <row r="449">
      <c r="A449" s="189"/>
      <c r="B449" s="189"/>
      <c r="C449" s="189"/>
      <c r="D449" s="189"/>
      <c r="E449" s="189"/>
      <c r="F449" s="189"/>
      <c r="G449" s="189"/>
      <c r="H449" s="189"/>
      <c r="I449" s="189"/>
    </row>
    <row r="450">
      <c r="A450" s="189"/>
      <c r="B450" s="189"/>
      <c r="C450" s="189"/>
      <c r="D450" s="189"/>
      <c r="E450" s="189"/>
      <c r="F450" s="189"/>
      <c r="G450" s="189"/>
      <c r="H450" s="189"/>
      <c r="I450" s="189"/>
    </row>
    <row r="451">
      <c r="A451" s="189"/>
      <c r="B451" s="189"/>
      <c r="C451" s="189"/>
      <c r="D451" s="189"/>
      <c r="E451" s="189"/>
      <c r="F451" s="189"/>
      <c r="G451" s="189"/>
      <c r="H451" s="189"/>
      <c r="I451" s="189"/>
    </row>
    <row r="452">
      <c r="A452" s="189"/>
      <c r="B452" s="189"/>
      <c r="C452" s="189"/>
      <c r="D452" s="189"/>
      <c r="E452" s="189"/>
      <c r="F452" s="189"/>
      <c r="G452" s="189"/>
      <c r="H452" s="189"/>
      <c r="I452" s="189"/>
    </row>
    <row r="453">
      <c r="A453" s="189"/>
      <c r="B453" s="189"/>
      <c r="C453" s="189"/>
      <c r="D453" s="189"/>
      <c r="E453" s="189"/>
      <c r="F453" s="189"/>
      <c r="G453" s="189"/>
      <c r="H453" s="189"/>
      <c r="I453" s="189"/>
    </row>
    <row r="454">
      <c r="A454" s="189"/>
      <c r="B454" s="189"/>
      <c r="C454" s="189"/>
      <c r="D454" s="189"/>
      <c r="E454" s="189"/>
      <c r="F454" s="189"/>
      <c r="G454" s="189"/>
      <c r="H454" s="189"/>
      <c r="I454" s="189"/>
    </row>
    <row r="455">
      <c r="A455" s="189"/>
      <c r="B455" s="189"/>
      <c r="C455" s="189"/>
      <c r="D455" s="189"/>
      <c r="E455" s="189"/>
      <c r="F455" s="189"/>
      <c r="G455" s="189"/>
      <c r="H455" s="189"/>
      <c r="I455" s="189"/>
    </row>
    <row r="456">
      <c r="A456" s="189"/>
      <c r="B456" s="189"/>
      <c r="C456" s="189"/>
      <c r="D456" s="189"/>
      <c r="E456" s="189"/>
      <c r="F456" s="189"/>
      <c r="G456" s="189"/>
      <c r="H456" s="189"/>
      <c r="I456" s="189"/>
    </row>
    <row r="457">
      <c r="A457" s="189"/>
      <c r="B457" s="189"/>
      <c r="C457" s="189"/>
      <c r="D457" s="189"/>
      <c r="E457" s="189"/>
      <c r="F457" s="189"/>
      <c r="G457" s="189"/>
      <c r="H457" s="189"/>
      <c r="I457" s="189"/>
    </row>
    <row r="458">
      <c r="A458" s="189"/>
      <c r="B458" s="189"/>
      <c r="C458" s="189"/>
      <c r="D458" s="189"/>
      <c r="E458" s="189"/>
      <c r="F458" s="189"/>
      <c r="G458" s="189"/>
      <c r="H458" s="189"/>
      <c r="I458" s="189"/>
    </row>
    <row r="459">
      <c r="A459" s="189"/>
      <c r="B459" s="189"/>
      <c r="C459" s="189"/>
      <c r="D459" s="189"/>
      <c r="E459" s="189"/>
      <c r="F459" s="189"/>
      <c r="G459" s="189"/>
      <c r="H459" s="189"/>
      <c r="I459" s="189"/>
    </row>
    <row r="460">
      <c r="A460" s="189"/>
      <c r="B460" s="189"/>
      <c r="C460" s="189"/>
      <c r="D460" s="189"/>
      <c r="E460" s="189"/>
      <c r="F460" s="189"/>
      <c r="G460" s="189"/>
      <c r="H460" s="189"/>
      <c r="I460" s="189"/>
    </row>
    <row r="461">
      <c r="A461" s="189"/>
      <c r="B461" s="189"/>
      <c r="C461" s="189"/>
      <c r="D461" s="189"/>
      <c r="E461" s="189"/>
      <c r="F461" s="189"/>
      <c r="G461" s="189"/>
      <c r="H461" s="189"/>
      <c r="I461" s="189"/>
    </row>
    <row r="462">
      <c r="A462" s="189"/>
      <c r="B462" s="189"/>
      <c r="C462" s="189"/>
      <c r="D462" s="189"/>
      <c r="E462" s="189"/>
      <c r="F462" s="189"/>
      <c r="G462" s="189"/>
      <c r="H462" s="189"/>
      <c r="I462" s="189"/>
    </row>
    <row r="463">
      <c r="A463" s="189"/>
      <c r="B463" s="189"/>
      <c r="C463" s="189"/>
      <c r="D463" s="189"/>
      <c r="E463" s="189"/>
      <c r="F463" s="189"/>
      <c r="G463" s="189"/>
      <c r="H463" s="189"/>
      <c r="I463" s="189"/>
    </row>
    <row r="464">
      <c r="A464" s="189"/>
      <c r="B464" s="189"/>
      <c r="C464" s="189"/>
      <c r="D464" s="189"/>
      <c r="E464" s="189"/>
      <c r="F464" s="189"/>
      <c r="G464" s="189"/>
      <c r="H464" s="189"/>
      <c r="I464" s="189"/>
    </row>
    <row r="465">
      <c r="A465" s="189"/>
      <c r="B465" s="189"/>
      <c r="C465" s="189"/>
      <c r="D465" s="189"/>
      <c r="E465" s="189"/>
      <c r="F465" s="189"/>
      <c r="G465" s="189"/>
      <c r="H465" s="189"/>
      <c r="I465" s="189"/>
    </row>
    <row r="466">
      <c r="A466" s="189"/>
      <c r="B466" s="189"/>
      <c r="C466" s="189"/>
      <c r="D466" s="189"/>
      <c r="E466" s="189"/>
      <c r="F466" s="189"/>
      <c r="G466" s="189"/>
      <c r="H466" s="189"/>
      <c r="I466" s="189"/>
    </row>
    <row r="467">
      <c r="A467" s="189"/>
      <c r="B467" s="189"/>
      <c r="C467" s="189"/>
      <c r="D467" s="189"/>
      <c r="E467" s="189"/>
      <c r="F467" s="189"/>
      <c r="G467" s="189"/>
      <c r="H467" s="189"/>
      <c r="I467" s="189"/>
    </row>
    <row r="468">
      <c r="A468" s="189"/>
      <c r="B468" s="189"/>
      <c r="C468" s="189"/>
      <c r="D468" s="189"/>
      <c r="E468" s="189"/>
      <c r="F468" s="189"/>
      <c r="G468" s="189"/>
      <c r="H468" s="189"/>
      <c r="I468" s="189"/>
    </row>
    <row r="469">
      <c r="A469" s="189"/>
      <c r="B469" s="189"/>
      <c r="C469" s="189"/>
      <c r="D469" s="189"/>
      <c r="E469" s="189"/>
      <c r="F469" s="189"/>
      <c r="G469" s="189"/>
      <c r="H469" s="189"/>
      <c r="I469" s="189"/>
    </row>
    <row r="470">
      <c r="A470" s="189"/>
      <c r="B470" s="189"/>
      <c r="C470" s="189"/>
      <c r="D470" s="189"/>
      <c r="E470" s="189"/>
      <c r="F470" s="189"/>
      <c r="G470" s="189"/>
      <c r="H470" s="189"/>
      <c r="I470" s="189"/>
    </row>
    <row r="471">
      <c r="A471" s="189"/>
      <c r="B471" s="189"/>
      <c r="C471" s="189"/>
      <c r="D471" s="189"/>
      <c r="E471" s="189"/>
      <c r="F471" s="189"/>
      <c r="G471" s="189"/>
      <c r="H471" s="189"/>
      <c r="I471" s="189"/>
    </row>
    <row r="472">
      <c r="A472" s="189"/>
      <c r="B472" s="189"/>
      <c r="C472" s="189"/>
      <c r="D472" s="189"/>
      <c r="E472" s="189"/>
      <c r="F472" s="189"/>
      <c r="G472" s="189"/>
      <c r="H472" s="189"/>
      <c r="I472" s="189"/>
    </row>
    <row r="473">
      <c r="A473" s="189"/>
      <c r="B473" s="189"/>
      <c r="C473" s="189"/>
      <c r="D473" s="189"/>
      <c r="E473" s="189"/>
      <c r="F473" s="189"/>
      <c r="G473" s="189"/>
      <c r="H473" s="189"/>
      <c r="I473" s="189"/>
    </row>
    <row r="474">
      <c r="A474" s="189"/>
      <c r="B474" s="189"/>
      <c r="C474" s="189"/>
      <c r="D474" s="189"/>
      <c r="E474" s="189"/>
      <c r="F474" s="189"/>
      <c r="G474" s="189"/>
      <c r="H474" s="189"/>
      <c r="I474" s="189"/>
    </row>
    <row r="475">
      <c r="A475" s="189"/>
      <c r="B475" s="189"/>
      <c r="C475" s="189"/>
      <c r="D475" s="189"/>
      <c r="E475" s="189"/>
      <c r="F475" s="189"/>
      <c r="G475" s="189"/>
      <c r="H475" s="189"/>
      <c r="I475" s="189"/>
    </row>
    <row r="476">
      <c r="A476" s="189"/>
      <c r="B476" s="189"/>
      <c r="C476" s="189"/>
      <c r="D476" s="189"/>
      <c r="E476" s="189"/>
      <c r="F476" s="189"/>
      <c r="G476" s="189"/>
      <c r="H476" s="189"/>
      <c r="I476" s="189"/>
    </row>
    <row r="477">
      <c r="A477" s="189"/>
      <c r="B477" s="189"/>
      <c r="C477" s="189"/>
      <c r="D477" s="189"/>
      <c r="E477" s="189"/>
      <c r="F477" s="189"/>
      <c r="G477" s="189"/>
      <c r="H477" s="189"/>
      <c r="I477" s="189"/>
    </row>
    <row r="478">
      <c r="A478" s="189"/>
      <c r="B478" s="189"/>
      <c r="C478" s="189"/>
      <c r="D478" s="189"/>
      <c r="E478" s="189"/>
      <c r="F478" s="189"/>
      <c r="G478" s="189"/>
      <c r="H478" s="189"/>
      <c r="I478" s="189"/>
    </row>
    <row r="479">
      <c r="A479" s="189"/>
      <c r="B479" s="189"/>
      <c r="C479" s="189"/>
      <c r="D479" s="189"/>
      <c r="E479" s="189"/>
      <c r="F479" s="189"/>
      <c r="G479" s="189"/>
      <c r="H479" s="189"/>
      <c r="I479" s="189"/>
    </row>
    <row r="480">
      <c r="A480" s="189"/>
      <c r="B480" s="189"/>
      <c r="C480" s="189"/>
      <c r="D480" s="189"/>
      <c r="E480" s="189"/>
      <c r="F480" s="189"/>
      <c r="G480" s="189"/>
      <c r="H480" s="189"/>
      <c r="I480" s="189"/>
    </row>
    <row r="481">
      <c r="A481" s="189"/>
      <c r="B481" s="189"/>
      <c r="C481" s="189"/>
      <c r="D481" s="189"/>
      <c r="E481" s="189"/>
      <c r="F481" s="189"/>
      <c r="G481" s="189"/>
      <c r="H481" s="189"/>
      <c r="I481" s="189"/>
    </row>
    <row r="482">
      <c r="A482" s="189"/>
      <c r="B482" s="189"/>
      <c r="C482" s="189"/>
      <c r="D482" s="189"/>
      <c r="E482" s="189"/>
      <c r="F482" s="189"/>
      <c r="G482" s="189"/>
      <c r="H482" s="189"/>
      <c r="I482" s="189"/>
    </row>
    <row r="483">
      <c r="A483" s="189"/>
      <c r="B483" s="189"/>
      <c r="C483" s="189"/>
      <c r="D483" s="189"/>
      <c r="E483" s="189"/>
      <c r="F483" s="189"/>
      <c r="G483" s="189"/>
      <c r="H483" s="189"/>
      <c r="I483" s="189"/>
    </row>
    <row r="484">
      <c r="A484" s="189"/>
      <c r="B484" s="189"/>
      <c r="C484" s="189"/>
      <c r="D484" s="189"/>
      <c r="E484" s="189"/>
      <c r="F484" s="189"/>
      <c r="G484" s="189"/>
      <c r="H484" s="189"/>
      <c r="I484" s="189"/>
    </row>
    <row r="485">
      <c r="A485" s="189"/>
      <c r="B485" s="189"/>
      <c r="C485" s="189"/>
      <c r="D485" s="189"/>
      <c r="E485" s="189"/>
      <c r="F485" s="189"/>
      <c r="G485" s="189"/>
      <c r="H485" s="189"/>
      <c r="I485" s="189"/>
    </row>
    <row r="486">
      <c r="A486" s="189"/>
      <c r="B486" s="189"/>
      <c r="C486" s="189"/>
      <c r="D486" s="189"/>
      <c r="E486" s="189"/>
      <c r="F486" s="189"/>
      <c r="G486" s="189"/>
      <c r="H486" s="189"/>
      <c r="I486" s="189"/>
    </row>
    <row r="487">
      <c r="A487" s="189"/>
      <c r="B487" s="189"/>
      <c r="C487" s="189"/>
      <c r="D487" s="189"/>
      <c r="E487" s="189"/>
      <c r="F487" s="189"/>
      <c r="G487" s="189"/>
      <c r="H487" s="189"/>
      <c r="I487" s="189"/>
    </row>
    <row r="488">
      <c r="A488" s="189"/>
      <c r="B488" s="189"/>
      <c r="C488" s="189"/>
      <c r="D488" s="189"/>
      <c r="E488" s="189"/>
      <c r="F488" s="189"/>
      <c r="G488" s="189"/>
      <c r="H488" s="189"/>
      <c r="I488" s="189"/>
    </row>
    <row r="489">
      <c r="A489" s="189"/>
      <c r="B489" s="189"/>
      <c r="C489" s="189"/>
      <c r="D489" s="189"/>
      <c r="E489" s="189"/>
      <c r="F489" s="189"/>
      <c r="G489" s="189"/>
      <c r="H489" s="189"/>
      <c r="I489" s="189"/>
    </row>
    <row r="490">
      <c r="A490" s="189"/>
      <c r="B490" s="189"/>
      <c r="C490" s="189"/>
      <c r="D490" s="189"/>
      <c r="E490" s="189"/>
      <c r="F490" s="189"/>
      <c r="G490" s="189"/>
      <c r="H490" s="189"/>
      <c r="I490" s="189"/>
    </row>
    <row r="491">
      <c r="A491" s="189"/>
      <c r="B491" s="189"/>
      <c r="C491" s="189"/>
      <c r="D491" s="189"/>
      <c r="E491" s="189"/>
      <c r="F491" s="189"/>
      <c r="G491" s="189"/>
      <c r="H491" s="189"/>
      <c r="I491" s="189"/>
    </row>
    <row r="492">
      <c r="A492" s="189"/>
      <c r="B492" s="189"/>
      <c r="C492" s="189"/>
      <c r="D492" s="189"/>
      <c r="E492" s="189"/>
      <c r="F492" s="189"/>
      <c r="G492" s="189"/>
      <c r="H492" s="189"/>
      <c r="I492" s="189"/>
    </row>
    <row r="493">
      <c r="A493" s="189"/>
      <c r="B493" s="189"/>
      <c r="C493" s="189"/>
      <c r="D493" s="189"/>
      <c r="E493" s="189"/>
      <c r="F493" s="189"/>
      <c r="G493" s="189"/>
      <c r="H493" s="189"/>
      <c r="I493" s="189"/>
    </row>
    <row r="494">
      <c r="A494" s="189"/>
      <c r="B494" s="189"/>
      <c r="C494" s="189"/>
      <c r="D494" s="189"/>
      <c r="E494" s="189"/>
      <c r="F494" s="189"/>
      <c r="G494" s="189"/>
      <c r="H494" s="189"/>
      <c r="I494" s="189"/>
    </row>
    <row r="495">
      <c r="A495" s="189"/>
      <c r="B495" s="189"/>
      <c r="C495" s="189"/>
      <c r="D495" s="189"/>
      <c r="E495" s="189"/>
      <c r="F495" s="189"/>
      <c r="G495" s="189"/>
      <c r="H495" s="189"/>
      <c r="I495" s="189"/>
    </row>
    <row r="496">
      <c r="A496" s="189"/>
      <c r="B496" s="189"/>
      <c r="C496" s="189"/>
      <c r="D496" s="189"/>
      <c r="E496" s="189"/>
      <c r="F496" s="189"/>
      <c r="G496" s="189"/>
      <c r="H496" s="189"/>
      <c r="I496" s="189"/>
    </row>
    <row r="497">
      <c r="A497" s="189"/>
      <c r="B497" s="189"/>
      <c r="C497" s="189"/>
      <c r="D497" s="189"/>
      <c r="E497" s="189"/>
      <c r="F497" s="189"/>
      <c r="G497" s="189"/>
      <c r="H497" s="189"/>
      <c r="I497" s="189"/>
    </row>
    <row r="498">
      <c r="A498" s="189"/>
      <c r="B498" s="189"/>
      <c r="C498" s="189"/>
      <c r="D498" s="189"/>
      <c r="E498" s="189"/>
      <c r="F498" s="189"/>
      <c r="G498" s="189"/>
      <c r="H498" s="189"/>
      <c r="I498" s="189"/>
    </row>
    <row r="499">
      <c r="A499" s="189"/>
      <c r="B499" s="189"/>
      <c r="C499" s="189"/>
      <c r="D499" s="189"/>
      <c r="E499" s="189"/>
      <c r="F499" s="189"/>
      <c r="G499" s="189"/>
      <c r="H499" s="189"/>
      <c r="I499" s="189"/>
    </row>
    <row r="500">
      <c r="A500" s="189"/>
      <c r="B500" s="189"/>
      <c r="C500" s="189"/>
      <c r="D500" s="189"/>
      <c r="E500" s="189"/>
      <c r="F500" s="189"/>
      <c r="G500" s="189"/>
      <c r="H500" s="189"/>
      <c r="I500" s="189"/>
    </row>
    <row r="501">
      <c r="A501" s="189"/>
      <c r="B501" s="189"/>
      <c r="C501" s="189"/>
      <c r="D501" s="189"/>
      <c r="E501" s="189"/>
      <c r="F501" s="189"/>
      <c r="G501" s="189"/>
      <c r="H501" s="189"/>
      <c r="I501" s="189"/>
    </row>
    <row r="502">
      <c r="A502" s="189"/>
      <c r="B502" s="189"/>
      <c r="C502" s="189"/>
      <c r="D502" s="189"/>
      <c r="E502" s="189"/>
      <c r="F502" s="189"/>
      <c r="G502" s="189"/>
      <c r="H502" s="189"/>
      <c r="I502" s="189"/>
    </row>
    <row r="503">
      <c r="A503" s="189"/>
      <c r="B503" s="189"/>
      <c r="C503" s="189"/>
      <c r="D503" s="189"/>
      <c r="E503" s="189"/>
      <c r="F503" s="189"/>
      <c r="G503" s="189"/>
      <c r="H503" s="189"/>
      <c r="I503" s="189"/>
    </row>
    <row r="504">
      <c r="A504" s="189"/>
      <c r="B504" s="189"/>
      <c r="C504" s="189"/>
      <c r="D504" s="189"/>
      <c r="E504" s="189"/>
      <c r="F504" s="189"/>
      <c r="G504" s="189"/>
      <c r="H504" s="189"/>
      <c r="I504" s="189"/>
    </row>
    <row r="505">
      <c r="A505" s="189"/>
      <c r="B505" s="189"/>
      <c r="C505" s="189"/>
      <c r="D505" s="189"/>
      <c r="E505" s="189"/>
      <c r="F505" s="189"/>
      <c r="G505" s="189"/>
      <c r="H505" s="189"/>
      <c r="I505" s="189"/>
    </row>
    <row r="506">
      <c r="A506" s="189"/>
      <c r="B506" s="189"/>
      <c r="C506" s="189"/>
      <c r="D506" s="189"/>
      <c r="E506" s="189"/>
      <c r="F506" s="189"/>
      <c r="G506" s="189"/>
      <c r="H506" s="189"/>
      <c r="I506" s="189"/>
    </row>
    <row r="507">
      <c r="A507" s="189"/>
      <c r="B507" s="189"/>
      <c r="C507" s="189"/>
      <c r="D507" s="189"/>
      <c r="E507" s="189"/>
      <c r="F507" s="189"/>
      <c r="G507" s="189"/>
      <c r="H507" s="189"/>
      <c r="I507" s="189"/>
    </row>
    <row r="508">
      <c r="A508" s="189"/>
      <c r="B508" s="189"/>
      <c r="C508" s="189"/>
      <c r="D508" s="189"/>
      <c r="E508" s="189"/>
      <c r="F508" s="189"/>
      <c r="G508" s="189"/>
      <c r="H508" s="189"/>
      <c r="I508" s="189"/>
    </row>
    <row r="509">
      <c r="A509" s="189"/>
      <c r="B509" s="189"/>
      <c r="C509" s="189"/>
      <c r="D509" s="189"/>
      <c r="E509" s="189"/>
      <c r="F509" s="189"/>
      <c r="G509" s="189"/>
      <c r="H509" s="189"/>
      <c r="I509" s="189"/>
    </row>
    <row r="510">
      <c r="A510" s="189"/>
      <c r="B510" s="189"/>
      <c r="C510" s="189"/>
      <c r="D510" s="189"/>
      <c r="E510" s="189"/>
      <c r="F510" s="189"/>
      <c r="G510" s="189"/>
      <c r="H510" s="189"/>
      <c r="I510" s="189"/>
    </row>
    <row r="511">
      <c r="A511" s="189"/>
      <c r="B511" s="189"/>
      <c r="C511" s="189"/>
      <c r="D511" s="189"/>
      <c r="E511" s="189"/>
      <c r="F511" s="189"/>
      <c r="G511" s="189"/>
      <c r="H511" s="189"/>
      <c r="I511" s="189"/>
    </row>
    <row r="512">
      <c r="A512" s="189"/>
      <c r="B512" s="189"/>
      <c r="C512" s="189"/>
      <c r="D512" s="189"/>
      <c r="E512" s="189"/>
      <c r="F512" s="189"/>
      <c r="G512" s="189"/>
      <c r="H512" s="189"/>
      <c r="I512" s="189"/>
    </row>
    <row r="513">
      <c r="A513" s="189"/>
      <c r="B513" s="189"/>
      <c r="C513" s="189"/>
      <c r="D513" s="189"/>
      <c r="E513" s="189"/>
      <c r="F513" s="189"/>
      <c r="G513" s="189"/>
      <c r="H513" s="189"/>
      <c r="I513" s="189"/>
    </row>
    <row r="514">
      <c r="A514" s="189"/>
      <c r="B514" s="189"/>
      <c r="C514" s="189"/>
      <c r="D514" s="189"/>
      <c r="E514" s="189"/>
      <c r="F514" s="189"/>
      <c r="G514" s="189"/>
      <c r="H514" s="189"/>
      <c r="I514" s="189"/>
    </row>
    <row r="515">
      <c r="A515" s="189"/>
      <c r="B515" s="189"/>
      <c r="C515" s="189"/>
      <c r="D515" s="189"/>
      <c r="E515" s="189"/>
      <c r="F515" s="189"/>
      <c r="G515" s="189"/>
      <c r="H515" s="189"/>
      <c r="I515" s="189"/>
    </row>
    <row r="516">
      <c r="A516" s="189"/>
      <c r="B516" s="189"/>
      <c r="C516" s="189"/>
      <c r="D516" s="189"/>
      <c r="E516" s="189"/>
      <c r="F516" s="189"/>
      <c r="G516" s="189"/>
      <c r="H516" s="189"/>
      <c r="I516" s="189"/>
    </row>
    <row r="517">
      <c r="A517" s="189"/>
      <c r="B517" s="189"/>
      <c r="C517" s="189"/>
      <c r="D517" s="189"/>
      <c r="E517" s="189"/>
      <c r="F517" s="189"/>
      <c r="G517" s="189"/>
      <c r="H517" s="189"/>
      <c r="I517" s="189"/>
    </row>
    <row r="518">
      <c r="A518" s="189"/>
      <c r="B518" s="189"/>
      <c r="C518" s="189"/>
      <c r="D518" s="189"/>
      <c r="E518" s="189"/>
      <c r="F518" s="189"/>
      <c r="G518" s="189"/>
      <c r="H518" s="189"/>
      <c r="I518" s="189"/>
    </row>
    <row r="519">
      <c r="A519" s="189"/>
      <c r="B519" s="189"/>
      <c r="C519" s="189"/>
      <c r="D519" s="189"/>
      <c r="E519" s="189"/>
      <c r="F519" s="189"/>
      <c r="G519" s="189"/>
      <c r="H519" s="189"/>
      <c r="I519" s="189"/>
    </row>
    <row r="520">
      <c r="A520" s="189"/>
      <c r="B520" s="189"/>
      <c r="C520" s="189"/>
      <c r="D520" s="189"/>
      <c r="E520" s="189"/>
      <c r="F520" s="189"/>
      <c r="G520" s="189"/>
      <c r="H520" s="189"/>
      <c r="I520" s="189"/>
    </row>
    <row r="521">
      <c r="A521" s="189"/>
      <c r="B521" s="189"/>
      <c r="C521" s="189"/>
      <c r="D521" s="189"/>
      <c r="E521" s="189"/>
      <c r="F521" s="189"/>
      <c r="G521" s="189"/>
      <c r="H521" s="189"/>
      <c r="I521" s="189"/>
    </row>
    <row r="522">
      <c r="A522" s="189"/>
      <c r="B522" s="189"/>
      <c r="C522" s="189"/>
      <c r="D522" s="189"/>
      <c r="E522" s="189"/>
      <c r="F522" s="189"/>
      <c r="G522" s="189"/>
      <c r="H522" s="189"/>
      <c r="I522" s="189"/>
    </row>
    <row r="523">
      <c r="A523" s="189"/>
      <c r="B523" s="189"/>
      <c r="C523" s="189"/>
      <c r="D523" s="189"/>
      <c r="E523" s="189"/>
      <c r="F523" s="189"/>
      <c r="G523" s="189"/>
      <c r="H523" s="189"/>
      <c r="I523" s="189"/>
    </row>
    <row r="524">
      <c r="A524" s="189"/>
      <c r="B524" s="189"/>
      <c r="C524" s="189"/>
      <c r="D524" s="189"/>
      <c r="E524" s="189"/>
      <c r="F524" s="189"/>
      <c r="G524" s="189"/>
      <c r="H524" s="189"/>
      <c r="I524" s="189"/>
    </row>
    <row r="525">
      <c r="A525" s="189"/>
      <c r="B525" s="189"/>
      <c r="C525" s="189"/>
      <c r="D525" s="189"/>
      <c r="E525" s="189"/>
      <c r="F525" s="189"/>
      <c r="G525" s="189"/>
      <c r="H525" s="189"/>
      <c r="I525" s="189"/>
    </row>
    <row r="526">
      <c r="A526" s="189"/>
      <c r="B526" s="189"/>
      <c r="C526" s="189"/>
      <c r="D526" s="189"/>
      <c r="E526" s="189"/>
      <c r="F526" s="189"/>
      <c r="G526" s="189"/>
      <c r="H526" s="189"/>
      <c r="I526" s="189"/>
    </row>
    <row r="527">
      <c r="A527" s="189"/>
      <c r="B527" s="189"/>
      <c r="C527" s="189"/>
      <c r="D527" s="189"/>
      <c r="E527" s="189"/>
      <c r="F527" s="189"/>
      <c r="G527" s="189"/>
      <c r="H527" s="189"/>
      <c r="I527" s="189"/>
    </row>
    <row r="528">
      <c r="A528" s="189"/>
      <c r="B528" s="189"/>
      <c r="C528" s="189"/>
      <c r="D528" s="189"/>
      <c r="E528" s="189"/>
      <c r="F528" s="189"/>
      <c r="G528" s="189"/>
      <c r="H528" s="189"/>
      <c r="I528" s="189"/>
    </row>
    <row r="529">
      <c r="A529" s="189"/>
      <c r="B529" s="189"/>
      <c r="C529" s="189"/>
      <c r="D529" s="189"/>
      <c r="E529" s="189"/>
      <c r="F529" s="189"/>
      <c r="G529" s="189"/>
      <c r="H529" s="189"/>
      <c r="I529" s="189"/>
    </row>
    <row r="530">
      <c r="A530" s="189"/>
      <c r="B530" s="189"/>
      <c r="C530" s="189"/>
      <c r="D530" s="189"/>
      <c r="E530" s="189"/>
      <c r="F530" s="189"/>
      <c r="G530" s="189"/>
      <c r="H530" s="189"/>
      <c r="I530" s="189"/>
    </row>
    <row r="531">
      <c r="A531" s="189"/>
      <c r="B531" s="189"/>
      <c r="C531" s="189"/>
      <c r="D531" s="189"/>
      <c r="E531" s="189"/>
      <c r="F531" s="189"/>
      <c r="G531" s="189"/>
      <c r="H531" s="189"/>
      <c r="I531" s="189"/>
    </row>
    <row r="532">
      <c r="A532" s="189"/>
      <c r="B532" s="189"/>
      <c r="C532" s="189"/>
      <c r="D532" s="189"/>
      <c r="E532" s="189"/>
      <c r="F532" s="189"/>
      <c r="G532" s="189"/>
      <c r="H532" s="189"/>
      <c r="I532" s="189"/>
    </row>
    <row r="533">
      <c r="A533" s="189"/>
      <c r="B533" s="189"/>
      <c r="C533" s="189"/>
      <c r="D533" s="189"/>
      <c r="E533" s="189"/>
      <c r="F533" s="189"/>
      <c r="G533" s="189"/>
      <c r="H533" s="189"/>
      <c r="I533" s="189"/>
    </row>
    <row r="534">
      <c r="A534" s="189"/>
      <c r="B534" s="189"/>
      <c r="C534" s="189"/>
      <c r="D534" s="189"/>
      <c r="E534" s="189"/>
      <c r="F534" s="189"/>
      <c r="G534" s="189"/>
      <c r="H534" s="189"/>
      <c r="I534" s="189"/>
    </row>
    <row r="535">
      <c r="A535" s="189"/>
      <c r="B535" s="189"/>
      <c r="C535" s="189"/>
      <c r="D535" s="189"/>
      <c r="E535" s="189"/>
      <c r="F535" s="189"/>
      <c r="G535" s="189"/>
      <c r="H535" s="189"/>
      <c r="I535" s="189"/>
    </row>
    <row r="536">
      <c r="A536" s="189"/>
      <c r="B536" s="189"/>
      <c r="C536" s="189"/>
      <c r="D536" s="189"/>
      <c r="E536" s="189"/>
      <c r="F536" s="189"/>
      <c r="G536" s="189"/>
      <c r="H536" s="189"/>
      <c r="I536" s="189"/>
    </row>
    <row r="537">
      <c r="A537" s="189"/>
      <c r="B537" s="189"/>
      <c r="C537" s="189"/>
      <c r="D537" s="189"/>
      <c r="E537" s="189"/>
      <c r="F537" s="189"/>
      <c r="G537" s="189"/>
      <c r="H537" s="189"/>
      <c r="I537" s="189"/>
    </row>
    <row r="538">
      <c r="A538" s="189"/>
      <c r="B538" s="189"/>
      <c r="C538" s="189"/>
      <c r="D538" s="189"/>
      <c r="E538" s="189"/>
      <c r="F538" s="189"/>
      <c r="G538" s="189"/>
      <c r="H538" s="189"/>
      <c r="I538" s="189"/>
    </row>
    <row r="539">
      <c r="A539" s="189"/>
      <c r="B539" s="189"/>
      <c r="C539" s="189"/>
      <c r="D539" s="189"/>
      <c r="E539" s="189"/>
      <c r="F539" s="189"/>
      <c r="G539" s="189"/>
      <c r="H539" s="189"/>
      <c r="I539" s="189"/>
    </row>
    <row r="540">
      <c r="A540" s="189"/>
      <c r="B540" s="189"/>
      <c r="C540" s="189"/>
      <c r="D540" s="189"/>
      <c r="E540" s="189"/>
      <c r="F540" s="189"/>
      <c r="G540" s="189"/>
      <c r="H540" s="189"/>
      <c r="I540" s="189"/>
    </row>
    <row r="541">
      <c r="A541" s="189"/>
      <c r="B541" s="189"/>
      <c r="C541" s="189"/>
      <c r="D541" s="189"/>
      <c r="E541" s="189"/>
      <c r="F541" s="189"/>
      <c r="G541" s="189"/>
      <c r="H541" s="189"/>
      <c r="I541" s="189"/>
    </row>
    <row r="542">
      <c r="A542" s="189"/>
      <c r="B542" s="189"/>
      <c r="C542" s="189"/>
      <c r="D542" s="189"/>
      <c r="E542" s="189"/>
      <c r="F542" s="189"/>
      <c r="G542" s="189"/>
      <c r="H542" s="189"/>
      <c r="I542" s="189"/>
    </row>
    <row r="543">
      <c r="A543" s="189"/>
      <c r="B543" s="189"/>
      <c r="C543" s="189"/>
      <c r="D543" s="189"/>
      <c r="E543" s="189"/>
      <c r="F543" s="189"/>
      <c r="G543" s="189"/>
      <c r="H543" s="189"/>
      <c r="I543" s="189"/>
    </row>
    <row r="544">
      <c r="A544" s="189"/>
      <c r="B544" s="189"/>
      <c r="C544" s="189"/>
      <c r="D544" s="189"/>
      <c r="E544" s="189"/>
      <c r="F544" s="189"/>
      <c r="G544" s="189"/>
      <c r="H544" s="189"/>
      <c r="I544" s="189"/>
    </row>
    <row r="545">
      <c r="A545" s="189"/>
      <c r="B545" s="189"/>
      <c r="C545" s="189"/>
      <c r="D545" s="189"/>
      <c r="E545" s="189"/>
      <c r="F545" s="189"/>
      <c r="G545" s="189"/>
      <c r="H545" s="189"/>
      <c r="I545" s="189"/>
    </row>
    <row r="546">
      <c r="A546" s="189"/>
      <c r="B546" s="189"/>
      <c r="C546" s="189"/>
      <c r="D546" s="189"/>
      <c r="E546" s="189"/>
      <c r="F546" s="189"/>
      <c r="G546" s="189"/>
      <c r="H546" s="189"/>
      <c r="I546" s="189"/>
    </row>
    <row r="547">
      <c r="A547" s="189"/>
      <c r="B547" s="189"/>
      <c r="C547" s="189"/>
      <c r="D547" s="189"/>
      <c r="E547" s="189"/>
      <c r="F547" s="189"/>
      <c r="G547" s="189"/>
      <c r="H547" s="189"/>
      <c r="I547" s="189"/>
    </row>
    <row r="548">
      <c r="A548" s="189"/>
      <c r="B548" s="189"/>
      <c r="C548" s="189"/>
      <c r="D548" s="189"/>
      <c r="E548" s="189"/>
      <c r="F548" s="189"/>
      <c r="G548" s="189"/>
      <c r="H548" s="189"/>
      <c r="I548" s="189"/>
    </row>
    <row r="549">
      <c r="A549" s="189"/>
      <c r="B549" s="189"/>
      <c r="C549" s="189"/>
      <c r="D549" s="189"/>
      <c r="E549" s="189"/>
      <c r="F549" s="189"/>
      <c r="G549" s="189"/>
      <c r="H549" s="189"/>
      <c r="I549" s="189"/>
    </row>
    <row r="550">
      <c r="A550" s="189"/>
      <c r="B550" s="189"/>
      <c r="C550" s="189"/>
      <c r="D550" s="189"/>
      <c r="E550" s="189"/>
      <c r="F550" s="189"/>
      <c r="G550" s="189"/>
      <c r="H550" s="189"/>
      <c r="I550" s="189"/>
    </row>
    <row r="551">
      <c r="A551" s="189"/>
      <c r="B551" s="189"/>
      <c r="C551" s="189"/>
      <c r="D551" s="189"/>
      <c r="E551" s="189"/>
      <c r="F551" s="189"/>
      <c r="G551" s="189"/>
      <c r="H551" s="189"/>
      <c r="I551" s="189"/>
    </row>
    <row r="552">
      <c r="A552" s="189"/>
      <c r="B552" s="189"/>
      <c r="C552" s="189"/>
      <c r="D552" s="189"/>
      <c r="E552" s="189"/>
      <c r="F552" s="189"/>
      <c r="G552" s="189"/>
      <c r="H552" s="189"/>
      <c r="I552" s="189"/>
    </row>
    <row r="553">
      <c r="A553" s="189"/>
      <c r="B553" s="189"/>
      <c r="C553" s="189"/>
      <c r="D553" s="189"/>
      <c r="E553" s="189"/>
      <c r="F553" s="189"/>
      <c r="G553" s="189"/>
      <c r="H553" s="189"/>
      <c r="I553" s="189"/>
    </row>
    <row r="554">
      <c r="A554" s="189"/>
      <c r="B554" s="189"/>
      <c r="C554" s="189"/>
      <c r="D554" s="189"/>
      <c r="E554" s="189"/>
      <c r="F554" s="189"/>
      <c r="G554" s="189"/>
      <c r="H554" s="189"/>
      <c r="I554" s="189"/>
    </row>
    <row r="555">
      <c r="A555" s="189"/>
      <c r="B555" s="189"/>
      <c r="C555" s="189"/>
      <c r="D555" s="189"/>
      <c r="E555" s="189"/>
      <c r="F555" s="189"/>
      <c r="G555" s="189"/>
      <c r="H555" s="189"/>
      <c r="I555" s="189"/>
    </row>
    <row r="556">
      <c r="A556" s="189"/>
      <c r="B556" s="189"/>
      <c r="C556" s="189"/>
      <c r="D556" s="189"/>
      <c r="E556" s="189"/>
      <c r="F556" s="189"/>
      <c r="G556" s="189"/>
      <c r="H556" s="189"/>
      <c r="I556" s="189"/>
    </row>
    <row r="557">
      <c r="A557" s="189"/>
      <c r="B557" s="189"/>
      <c r="C557" s="189"/>
      <c r="D557" s="189"/>
      <c r="E557" s="189"/>
      <c r="F557" s="189"/>
      <c r="G557" s="189"/>
      <c r="H557" s="189"/>
      <c r="I557" s="189"/>
    </row>
    <row r="558">
      <c r="A558" s="189"/>
      <c r="B558" s="189"/>
      <c r="C558" s="189"/>
      <c r="D558" s="189"/>
      <c r="E558" s="189"/>
      <c r="F558" s="189"/>
      <c r="G558" s="189"/>
      <c r="H558" s="189"/>
      <c r="I558" s="189"/>
    </row>
    <row r="559">
      <c r="A559" s="189"/>
      <c r="B559" s="189"/>
      <c r="C559" s="189"/>
      <c r="D559" s="189"/>
      <c r="E559" s="189"/>
      <c r="F559" s="189"/>
      <c r="G559" s="189"/>
      <c r="H559" s="189"/>
      <c r="I559" s="189"/>
    </row>
    <row r="560">
      <c r="A560" s="189"/>
      <c r="B560" s="189"/>
      <c r="C560" s="189"/>
      <c r="D560" s="189"/>
      <c r="E560" s="189"/>
      <c r="F560" s="189"/>
      <c r="G560" s="189"/>
      <c r="H560" s="189"/>
      <c r="I560" s="189"/>
    </row>
    <row r="561">
      <c r="A561" s="189"/>
      <c r="B561" s="189"/>
      <c r="C561" s="189"/>
      <c r="D561" s="189"/>
      <c r="E561" s="189"/>
      <c r="F561" s="189"/>
      <c r="G561" s="189"/>
      <c r="H561" s="189"/>
      <c r="I561" s="189"/>
    </row>
    <row r="562">
      <c r="A562" s="189"/>
      <c r="B562" s="189"/>
      <c r="C562" s="189"/>
      <c r="D562" s="189"/>
      <c r="E562" s="189"/>
      <c r="F562" s="189"/>
      <c r="G562" s="189"/>
      <c r="H562" s="189"/>
      <c r="I562" s="189"/>
    </row>
    <row r="563">
      <c r="A563" s="189"/>
      <c r="B563" s="189"/>
      <c r="C563" s="189"/>
      <c r="D563" s="189"/>
      <c r="E563" s="189"/>
      <c r="F563" s="189"/>
      <c r="G563" s="189"/>
      <c r="H563" s="189"/>
      <c r="I563" s="189"/>
    </row>
    <row r="564">
      <c r="A564" s="189"/>
      <c r="B564" s="189"/>
      <c r="C564" s="189"/>
      <c r="D564" s="189"/>
      <c r="E564" s="189"/>
      <c r="F564" s="189"/>
      <c r="G564" s="189"/>
      <c r="H564" s="189"/>
      <c r="I564" s="189"/>
    </row>
    <row r="565">
      <c r="A565" s="189"/>
      <c r="B565" s="189"/>
      <c r="C565" s="189"/>
      <c r="D565" s="189"/>
      <c r="E565" s="189"/>
      <c r="F565" s="189"/>
      <c r="G565" s="189"/>
      <c r="H565" s="189"/>
      <c r="I565" s="189"/>
    </row>
    <row r="566">
      <c r="A566" s="189"/>
      <c r="B566" s="189"/>
      <c r="C566" s="189"/>
      <c r="D566" s="189"/>
      <c r="E566" s="189"/>
      <c r="F566" s="189"/>
      <c r="G566" s="189"/>
      <c r="H566" s="189"/>
      <c r="I566" s="189"/>
    </row>
    <row r="567">
      <c r="A567" s="189"/>
      <c r="B567" s="189"/>
      <c r="C567" s="189"/>
      <c r="D567" s="189"/>
      <c r="E567" s="189"/>
      <c r="F567" s="189"/>
      <c r="G567" s="189"/>
      <c r="H567" s="189"/>
      <c r="I567" s="189"/>
    </row>
    <row r="568">
      <c r="A568" s="189"/>
      <c r="B568" s="189"/>
      <c r="C568" s="189"/>
      <c r="D568" s="189"/>
      <c r="E568" s="189"/>
      <c r="F568" s="189"/>
      <c r="G568" s="189"/>
      <c r="H568" s="189"/>
      <c r="I568" s="189"/>
    </row>
    <row r="569">
      <c r="A569" s="189"/>
      <c r="B569" s="189"/>
      <c r="C569" s="189"/>
      <c r="D569" s="189"/>
      <c r="E569" s="189"/>
      <c r="F569" s="189"/>
      <c r="G569" s="189"/>
      <c r="H569" s="189"/>
      <c r="I569" s="189"/>
    </row>
    <row r="570">
      <c r="A570" s="189"/>
      <c r="B570" s="189"/>
      <c r="C570" s="189"/>
      <c r="D570" s="189"/>
      <c r="E570" s="189"/>
      <c r="F570" s="189"/>
      <c r="G570" s="189"/>
      <c r="H570" s="189"/>
      <c r="I570" s="189"/>
    </row>
    <row r="571">
      <c r="A571" s="189"/>
      <c r="B571" s="189"/>
      <c r="C571" s="189"/>
      <c r="D571" s="189"/>
      <c r="E571" s="189"/>
      <c r="F571" s="189"/>
      <c r="G571" s="189"/>
      <c r="H571" s="189"/>
      <c r="I571" s="189"/>
    </row>
    <row r="572">
      <c r="A572" s="189"/>
      <c r="B572" s="189"/>
      <c r="C572" s="189"/>
      <c r="D572" s="189"/>
      <c r="E572" s="189"/>
      <c r="F572" s="189"/>
      <c r="G572" s="189"/>
      <c r="H572" s="189"/>
      <c r="I572" s="189"/>
    </row>
    <row r="573">
      <c r="A573" s="189"/>
      <c r="B573" s="189"/>
      <c r="C573" s="189"/>
      <c r="D573" s="189"/>
      <c r="E573" s="189"/>
      <c r="F573" s="189"/>
      <c r="G573" s="189"/>
      <c r="H573" s="189"/>
      <c r="I573" s="189"/>
    </row>
    <row r="574">
      <c r="A574" s="189"/>
      <c r="B574" s="189"/>
      <c r="C574" s="189"/>
      <c r="D574" s="189"/>
      <c r="E574" s="189"/>
      <c r="F574" s="189"/>
      <c r="G574" s="189"/>
      <c r="H574" s="189"/>
      <c r="I574" s="189"/>
    </row>
    <row r="575">
      <c r="A575" s="189"/>
      <c r="B575" s="189"/>
      <c r="C575" s="189"/>
      <c r="D575" s="189"/>
      <c r="E575" s="189"/>
      <c r="F575" s="189"/>
      <c r="G575" s="189"/>
      <c r="H575" s="189"/>
      <c r="I575" s="189"/>
    </row>
    <row r="576">
      <c r="A576" s="189"/>
      <c r="B576" s="189"/>
      <c r="C576" s="189"/>
      <c r="D576" s="189"/>
      <c r="E576" s="189"/>
      <c r="F576" s="189"/>
      <c r="G576" s="189"/>
      <c r="H576" s="189"/>
      <c r="I576" s="189"/>
    </row>
    <row r="577">
      <c r="A577" s="189"/>
      <c r="B577" s="189"/>
      <c r="C577" s="189"/>
      <c r="D577" s="189"/>
      <c r="E577" s="189"/>
      <c r="F577" s="189"/>
      <c r="G577" s="189"/>
      <c r="H577" s="189"/>
      <c r="I577" s="189"/>
    </row>
    <row r="578">
      <c r="A578" s="189"/>
      <c r="B578" s="189"/>
      <c r="C578" s="189"/>
      <c r="D578" s="189"/>
      <c r="E578" s="189"/>
      <c r="F578" s="189"/>
      <c r="G578" s="189"/>
      <c r="H578" s="189"/>
      <c r="I578" s="189"/>
    </row>
    <row r="579">
      <c r="A579" s="189"/>
      <c r="B579" s="189"/>
      <c r="C579" s="189"/>
      <c r="D579" s="189"/>
      <c r="E579" s="189"/>
      <c r="F579" s="189"/>
      <c r="G579" s="189"/>
      <c r="H579" s="189"/>
      <c r="I579" s="189"/>
    </row>
    <row r="580">
      <c r="A580" s="189"/>
      <c r="B580" s="189"/>
      <c r="C580" s="189"/>
      <c r="D580" s="189"/>
      <c r="E580" s="189"/>
      <c r="F580" s="189"/>
      <c r="G580" s="189"/>
      <c r="H580" s="189"/>
      <c r="I580" s="189"/>
    </row>
    <row r="581">
      <c r="A581" s="189"/>
      <c r="B581" s="189"/>
      <c r="C581" s="189"/>
      <c r="D581" s="189"/>
      <c r="E581" s="189"/>
      <c r="F581" s="189"/>
      <c r="G581" s="189"/>
      <c r="H581" s="189"/>
      <c r="I581" s="189"/>
    </row>
    <row r="582">
      <c r="A582" s="189"/>
      <c r="B582" s="189"/>
      <c r="C582" s="189"/>
      <c r="D582" s="189"/>
      <c r="E582" s="189"/>
      <c r="F582" s="189"/>
      <c r="G582" s="189"/>
      <c r="H582" s="189"/>
      <c r="I582" s="189"/>
    </row>
    <row r="583">
      <c r="A583" s="189"/>
      <c r="B583" s="189"/>
      <c r="C583" s="189"/>
      <c r="D583" s="189"/>
      <c r="E583" s="189"/>
      <c r="F583" s="189"/>
      <c r="G583" s="189"/>
      <c r="H583" s="189"/>
      <c r="I583" s="189"/>
    </row>
    <row r="584">
      <c r="A584" s="189"/>
      <c r="B584" s="189"/>
      <c r="C584" s="189"/>
      <c r="D584" s="189"/>
      <c r="E584" s="189"/>
      <c r="F584" s="189"/>
      <c r="G584" s="189"/>
      <c r="H584" s="189"/>
      <c r="I584" s="189"/>
    </row>
    <row r="585">
      <c r="A585" s="189"/>
      <c r="B585" s="189"/>
      <c r="C585" s="189"/>
      <c r="D585" s="189"/>
      <c r="E585" s="189"/>
      <c r="F585" s="189"/>
      <c r="G585" s="189"/>
      <c r="H585" s="189"/>
      <c r="I585" s="189"/>
    </row>
    <row r="586">
      <c r="A586" s="189"/>
      <c r="B586" s="189"/>
      <c r="C586" s="189"/>
      <c r="D586" s="189"/>
      <c r="E586" s="189"/>
      <c r="F586" s="189"/>
      <c r="G586" s="189"/>
      <c r="H586" s="189"/>
      <c r="I586" s="189"/>
    </row>
    <row r="587">
      <c r="A587" s="189"/>
      <c r="B587" s="189"/>
      <c r="C587" s="189"/>
      <c r="D587" s="189"/>
      <c r="E587" s="189"/>
      <c r="F587" s="189"/>
      <c r="G587" s="189"/>
      <c r="H587" s="189"/>
      <c r="I587" s="189"/>
    </row>
    <row r="588">
      <c r="A588" s="189"/>
      <c r="B588" s="189"/>
      <c r="C588" s="189"/>
      <c r="D588" s="189"/>
      <c r="E588" s="189"/>
      <c r="F588" s="189"/>
      <c r="G588" s="189"/>
      <c r="H588" s="189"/>
      <c r="I588" s="189"/>
    </row>
    <row r="589">
      <c r="A589" s="189"/>
      <c r="B589" s="189"/>
      <c r="C589" s="189"/>
      <c r="D589" s="189"/>
      <c r="E589" s="189"/>
      <c r="F589" s="189"/>
      <c r="G589" s="189"/>
      <c r="H589" s="189"/>
      <c r="I589" s="189"/>
    </row>
    <row r="590">
      <c r="A590" s="189"/>
      <c r="B590" s="189"/>
      <c r="C590" s="189"/>
      <c r="D590" s="189"/>
      <c r="E590" s="189"/>
      <c r="F590" s="189"/>
      <c r="G590" s="189"/>
      <c r="H590" s="189"/>
      <c r="I590" s="189"/>
    </row>
    <row r="591">
      <c r="A591" s="189"/>
      <c r="B591" s="189"/>
      <c r="C591" s="189"/>
      <c r="D591" s="189"/>
      <c r="E591" s="189"/>
      <c r="F591" s="189"/>
      <c r="G591" s="189"/>
      <c r="H591" s="189"/>
      <c r="I591" s="189"/>
    </row>
    <row r="592">
      <c r="A592" s="189"/>
      <c r="B592" s="189"/>
      <c r="C592" s="189"/>
      <c r="D592" s="189"/>
      <c r="E592" s="189"/>
      <c r="F592" s="189"/>
      <c r="G592" s="189"/>
      <c r="H592" s="189"/>
      <c r="I592" s="189"/>
    </row>
    <row r="593">
      <c r="A593" s="189"/>
      <c r="B593" s="189"/>
      <c r="C593" s="189"/>
      <c r="D593" s="189"/>
      <c r="E593" s="189"/>
      <c r="F593" s="189"/>
      <c r="G593" s="189"/>
      <c r="H593" s="189"/>
      <c r="I593" s="189"/>
    </row>
    <row r="594">
      <c r="A594" s="189"/>
      <c r="B594" s="189"/>
      <c r="C594" s="189"/>
      <c r="D594" s="189"/>
      <c r="E594" s="189"/>
      <c r="F594" s="189"/>
      <c r="G594" s="189"/>
      <c r="H594" s="189"/>
      <c r="I594" s="189"/>
    </row>
    <row r="595">
      <c r="A595" s="189"/>
      <c r="B595" s="189"/>
      <c r="C595" s="189"/>
      <c r="D595" s="189"/>
      <c r="E595" s="189"/>
      <c r="F595" s="189"/>
      <c r="G595" s="189"/>
      <c r="H595" s="189"/>
      <c r="I595" s="189"/>
    </row>
    <row r="596">
      <c r="A596" s="189"/>
      <c r="B596" s="189"/>
      <c r="C596" s="189"/>
      <c r="D596" s="189"/>
      <c r="E596" s="189"/>
      <c r="F596" s="189"/>
      <c r="G596" s="189"/>
      <c r="H596" s="189"/>
      <c r="I596" s="189"/>
    </row>
    <row r="597">
      <c r="A597" s="189"/>
      <c r="B597" s="189"/>
      <c r="C597" s="189"/>
      <c r="D597" s="189"/>
      <c r="E597" s="189"/>
      <c r="F597" s="189"/>
      <c r="G597" s="189"/>
      <c r="H597" s="189"/>
      <c r="I597" s="189"/>
    </row>
    <row r="598">
      <c r="A598" s="189"/>
      <c r="B598" s="189"/>
      <c r="C598" s="189"/>
      <c r="D598" s="189"/>
      <c r="E598" s="189"/>
      <c r="F598" s="189"/>
      <c r="G598" s="189"/>
      <c r="H598" s="189"/>
      <c r="I598" s="189"/>
    </row>
    <row r="599">
      <c r="A599" s="189"/>
      <c r="B599" s="189"/>
      <c r="C599" s="189"/>
      <c r="D599" s="189"/>
      <c r="E599" s="189"/>
      <c r="F599" s="189"/>
      <c r="G599" s="189"/>
      <c r="H599" s="189"/>
      <c r="I599" s="189"/>
    </row>
    <row r="600">
      <c r="A600" s="189"/>
      <c r="B600" s="189"/>
      <c r="C600" s="189"/>
      <c r="D600" s="189"/>
      <c r="E600" s="189"/>
      <c r="F600" s="189"/>
      <c r="G600" s="189"/>
      <c r="H600" s="189"/>
      <c r="I600" s="189"/>
    </row>
    <row r="601">
      <c r="A601" s="189"/>
      <c r="B601" s="189"/>
      <c r="C601" s="189"/>
      <c r="D601" s="189"/>
      <c r="E601" s="189"/>
      <c r="F601" s="189"/>
      <c r="G601" s="189"/>
      <c r="H601" s="189"/>
      <c r="I601" s="189"/>
    </row>
    <row r="602">
      <c r="A602" s="189"/>
      <c r="B602" s="189"/>
      <c r="C602" s="189"/>
      <c r="D602" s="189"/>
      <c r="E602" s="189"/>
      <c r="F602" s="189"/>
      <c r="G602" s="189"/>
      <c r="H602" s="189"/>
      <c r="I602" s="189"/>
    </row>
    <row r="603">
      <c r="A603" s="189"/>
      <c r="B603" s="189"/>
      <c r="C603" s="189"/>
      <c r="D603" s="189"/>
      <c r="E603" s="189"/>
      <c r="F603" s="189"/>
      <c r="G603" s="189"/>
      <c r="H603" s="189"/>
      <c r="I603" s="189"/>
    </row>
    <row r="604">
      <c r="A604" s="189"/>
      <c r="B604" s="189"/>
      <c r="C604" s="189"/>
      <c r="D604" s="189"/>
      <c r="E604" s="189"/>
      <c r="F604" s="189"/>
      <c r="G604" s="189"/>
      <c r="H604" s="189"/>
      <c r="I604" s="189"/>
    </row>
    <row r="605">
      <c r="A605" s="189"/>
      <c r="B605" s="189"/>
      <c r="C605" s="189"/>
      <c r="D605" s="189"/>
      <c r="E605" s="189"/>
      <c r="F605" s="189"/>
      <c r="G605" s="189"/>
      <c r="H605" s="189"/>
      <c r="I605" s="189"/>
    </row>
    <row r="606">
      <c r="A606" s="189"/>
      <c r="B606" s="189"/>
      <c r="C606" s="189"/>
      <c r="D606" s="189"/>
      <c r="E606" s="189"/>
      <c r="F606" s="189"/>
      <c r="G606" s="189"/>
      <c r="H606" s="189"/>
      <c r="I606" s="189"/>
    </row>
    <row r="607">
      <c r="A607" s="189"/>
      <c r="B607" s="189"/>
      <c r="C607" s="189"/>
      <c r="D607" s="189"/>
      <c r="E607" s="189"/>
      <c r="F607" s="189"/>
      <c r="G607" s="189"/>
      <c r="H607" s="189"/>
      <c r="I607" s="189"/>
    </row>
    <row r="608">
      <c r="A608" s="189"/>
      <c r="B608" s="189"/>
      <c r="C608" s="189"/>
      <c r="D608" s="189"/>
      <c r="E608" s="189"/>
      <c r="F608" s="189"/>
      <c r="G608" s="189"/>
      <c r="H608" s="189"/>
      <c r="I608" s="189"/>
    </row>
    <row r="609">
      <c r="A609" s="189"/>
      <c r="B609" s="189"/>
      <c r="C609" s="189"/>
      <c r="D609" s="189"/>
      <c r="E609" s="189"/>
      <c r="F609" s="189"/>
      <c r="G609" s="189"/>
      <c r="H609" s="189"/>
      <c r="I609" s="189"/>
    </row>
    <row r="610">
      <c r="A610" s="189"/>
      <c r="B610" s="189"/>
      <c r="C610" s="189"/>
      <c r="D610" s="189"/>
      <c r="E610" s="189"/>
      <c r="F610" s="189"/>
      <c r="G610" s="189"/>
      <c r="H610" s="189"/>
      <c r="I610" s="189"/>
    </row>
    <row r="611">
      <c r="A611" s="189"/>
      <c r="B611" s="189"/>
      <c r="C611" s="189"/>
      <c r="D611" s="189"/>
      <c r="E611" s="189"/>
      <c r="F611" s="189"/>
      <c r="G611" s="189"/>
      <c r="H611" s="189"/>
      <c r="I611" s="189"/>
    </row>
    <row r="612">
      <c r="A612" s="189"/>
      <c r="B612" s="189"/>
      <c r="C612" s="189"/>
      <c r="D612" s="189"/>
      <c r="E612" s="189"/>
      <c r="F612" s="189"/>
      <c r="G612" s="189"/>
      <c r="H612" s="189"/>
      <c r="I612" s="189"/>
    </row>
    <row r="613">
      <c r="A613" s="189"/>
      <c r="B613" s="189"/>
      <c r="C613" s="189"/>
      <c r="D613" s="189"/>
      <c r="E613" s="189"/>
      <c r="F613" s="189"/>
      <c r="G613" s="189"/>
      <c r="H613" s="189"/>
      <c r="I613" s="189"/>
    </row>
    <row r="614">
      <c r="A614" s="189"/>
      <c r="B614" s="189"/>
      <c r="C614" s="189"/>
      <c r="D614" s="189"/>
      <c r="E614" s="189"/>
      <c r="F614" s="189"/>
      <c r="G614" s="189"/>
      <c r="H614" s="189"/>
      <c r="I614" s="189"/>
    </row>
    <row r="615">
      <c r="A615" s="189"/>
      <c r="B615" s="189"/>
      <c r="C615" s="189"/>
      <c r="D615" s="189"/>
      <c r="E615" s="189"/>
      <c r="F615" s="189"/>
      <c r="G615" s="189"/>
      <c r="H615" s="189"/>
      <c r="I615" s="189"/>
    </row>
    <row r="616">
      <c r="A616" s="189"/>
      <c r="B616" s="189"/>
      <c r="C616" s="189"/>
      <c r="D616" s="189"/>
      <c r="E616" s="189"/>
      <c r="F616" s="189"/>
      <c r="G616" s="189"/>
      <c r="H616" s="189"/>
      <c r="I616" s="189"/>
    </row>
    <row r="617">
      <c r="A617" s="189"/>
      <c r="B617" s="189"/>
      <c r="C617" s="189"/>
      <c r="D617" s="189"/>
      <c r="E617" s="189"/>
      <c r="F617" s="189"/>
      <c r="G617" s="189"/>
      <c r="H617" s="189"/>
      <c r="I617" s="189"/>
    </row>
    <row r="618">
      <c r="A618" s="189"/>
      <c r="B618" s="189"/>
      <c r="C618" s="189"/>
      <c r="D618" s="189"/>
      <c r="E618" s="189"/>
      <c r="F618" s="189"/>
      <c r="G618" s="189"/>
      <c r="H618" s="189"/>
      <c r="I618" s="189"/>
    </row>
    <row r="619">
      <c r="A619" s="189"/>
      <c r="B619" s="189"/>
      <c r="C619" s="189"/>
      <c r="D619" s="189"/>
      <c r="E619" s="189"/>
      <c r="F619" s="189"/>
      <c r="G619" s="189"/>
      <c r="H619" s="189"/>
      <c r="I619" s="189"/>
    </row>
    <row r="620">
      <c r="A620" s="189"/>
      <c r="B620" s="189"/>
      <c r="C620" s="189"/>
      <c r="D620" s="189"/>
      <c r="E620" s="189"/>
      <c r="F620" s="189"/>
      <c r="G620" s="189"/>
      <c r="H620" s="189"/>
      <c r="I620" s="189"/>
    </row>
    <row r="621">
      <c r="A621" s="189"/>
      <c r="B621" s="189"/>
      <c r="C621" s="189"/>
      <c r="D621" s="189"/>
      <c r="E621" s="189"/>
      <c r="F621" s="189"/>
      <c r="G621" s="189"/>
      <c r="H621" s="189"/>
      <c r="I621" s="189"/>
    </row>
    <row r="622">
      <c r="A622" s="189"/>
      <c r="B622" s="189"/>
      <c r="C622" s="189"/>
      <c r="D622" s="189"/>
      <c r="E622" s="189"/>
      <c r="F622" s="189"/>
      <c r="G622" s="189"/>
      <c r="H622" s="189"/>
      <c r="I622" s="189"/>
    </row>
    <row r="623">
      <c r="A623" s="189"/>
      <c r="B623" s="189"/>
      <c r="C623" s="189"/>
      <c r="D623" s="189"/>
      <c r="E623" s="189"/>
      <c r="F623" s="189"/>
      <c r="G623" s="189"/>
      <c r="H623" s="189"/>
      <c r="I623" s="189"/>
    </row>
    <row r="624">
      <c r="A624" s="189"/>
      <c r="B624" s="189"/>
      <c r="C624" s="189"/>
      <c r="D624" s="189"/>
      <c r="E624" s="189"/>
      <c r="F624" s="189"/>
      <c r="G624" s="189"/>
      <c r="H624" s="189"/>
      <c r="I624" s="189"/>
    </row>
    <row r="625">
      <c r="A625" s="189"/>
      <c r="B625" s="189"/>
      <c r="C625" s="189"/>
      <c r="D625" s="189"/>
      <c r="E625" s="189"/>
      <c r="F625" s="189"/>
      <c r="G625" s="189"/>
      <c r="H625" s="189"/>
      <c r="I625" s="189"/>
    </row>
    <row r="626">
      <c r="A626" s="189"/>
      <c r="B626" s="189"/>
      <c r="C626" s="189"/>
      <c r="D626" s="189"/>
      <c r="E626" s="189"/>
      <c r="F626" s="189"/>
      <c r="G626" s="189"/>
      <c r="H626" s="189"/>
      <c r="I626" s="189"/>
    </row>
    <row r="627">
      <c r="A627" s="189"/>
      <c r="B627" s="189"/>
      <c r="C627" s="189"/>
      <c r="D627" s="189"/>
      <c r="E627" s="189"/>
      <c r="F627" s="189"/>
      <c r="G627" s="189"/>
      <c r="H627" s="189"/>
      <c r="I627" s="189"/>
    </row>
    <row r="628">
      <c r="A628" s="189"/>
      <c r="B628" s="189"/>
      <c r="C628" s="189"/>
      <c r="D628" s="189"/>
      <c r="E628" s="189"/>
      <c r="F628" s="189"/>
      <c r="G628" s="189"/>
      <c r="H628" s="189"/>
      <c r="I628" s="189"/>
    </row>
    <row r="629">
      <c r="A629" s="189"/>
      <c r="B629" s="189"/>
      <c r="C629" s="189"/>
      <c r="D629" s="189"/>
      <c r="E629" s="189"/>
      <c r="F629" s="189"/>
      <c r="G629" s="189"/>
      <c r="H629" s="189"/>
      <c r="I629" s="189"/>
    </row>
    <row r="630">
      <c r="A630" s="189"/>
      <c r="B630" s="189"/>
      <c r="C630" s="189"/>
      <c r="D630" s="189"/>
      <c r="E630" s="189"/>
      <c r="F630" s="189"/>
      <c r="G630" s="189"/>
      <c r="H630" s="189"/>
      <c r="I630" s="189"/>
    </row>
    <row r="631">
      <c r="A631" s="189"/>
      <c r="B631" s="189"/>
      <c r="C631" s="189"/>
      <c r="D631" s="189"/>
      <c r="E631" s="189"/>
      <c r="F631" s="189"/>
      <c r="G631" s="189"/>
      <c r="H631" s="189"/>
      <c r="I631" s="189"/>
    </row>
    <row r="632">
      <c r="A632" s="189"/>
      <c r="B632" s="189"/>
      <c r="C632" s="189"/>
      <c r="D632" s="189"/>
      <c r="E632" s="189"/>
      <c r="F632" s="189"/>
      <c r="G632" s="189"/>
      <c r="H632" s="189"/>
      <c r="I632" s="189"/>
    </row>
    <row r="633">
      <c r="A633" s="189"/>
      <c r="B633" s="189"/>
      <c r="C633" s="189"/>
      <c r="D633" s="189"/>
      <c r="E633" s="189"/>
      <c r="F633" s="189"/>
      <c r="G633" s="189"/>
      <c r="H633" s="189"/>
      <c r="I633" s="189"/>
    </row>
    <row r="634">
      <c r="A634" s="189"/>
      <c r="B634" s="189"/>
      <c r="C634" s="189"/>
      <c r="D634" s="189"/>
      <c r="E634" s="189"/>
      <c r="F634" s="189"/>
      <c r="G634" s="189"/>
      <c r="H634" s="189"/>
      <c r="I634" s="189"/>
    </row>
    <row r="635">
      <c r="A635" s="189"/>
      <c r="B635" s="189"/>
      <c r="C635" s="189"/>
      <c r="D635" s="189"/>
      <c r="E635" s="189"/>
      <c r="F635" s="189"/>
      <c r="G635" s="189"/>
      <c r="H635" s="189"/>
      <c r="I635" s="189"/>
    </row>
    <row r="636">
      <c r="A636" s="189"/>
      <c r="B636" s="189"/>
      <c r="C636" s="189"/>
      <c r="D636" s="189"/>
      <c r="E636" s="189"/>
      <c r="F636" s="189"/>
      <c r="G636" s="189"/>
      <c r="H636" s="189"/>
      <c r="I636" s="189"/>
    </row>
    <row r="637">
      <c r="A637" s="189"/>
      <c r="B637" s="189"/>
      <c r="C637" s="189"/>
      <c r="D637" s="189"/>
      <c r="E637" s="189"/>
      <c r="F637" s="189"/>
      <c r="G637" s="189"/>
      <c r="H637" s="189"/>
      <c r="I637" s="189"/>
    </row>
    <row r="638">
      <c r="A638" s="189"/>
      <c r="B638" s="189"/>
      <c r="C638" s="189"/>
      <c r="D638" s="189"/>
      <c r="E638" s="189"/>
      <c r="F638" s="189"/>
      <c r="G638" s="189"/>
      <c r="H638" s="189"/>
      <c r="I638" s="189"/>
    </row>
    <row r="639">
      <c r="A639" s="189"/>
      <c r="B639" s="189"/>
      <c r="C639" s="189"/>
      <c r="D639" s="189"/>
      <c r="E639" s="189"/>
      <c r="F639" s="189"/>
      <c r="G639" s="189"/>
      <c r="H639" s="189"/>
      <c r="I639" s="189"/>
    </row>
    <row r="640">
      <c r="A640" s="189"/>
      <c r="B640" s="189"/>
      <c r="C640" s="189"/>
      <c r="D640" s="189"/>
      <c r="E640" s="189"/>
      <c r="F640" s="189"/>
      <c r="G640" s="189"/>
      <c r="H640" s="189"/>
      <c r="I640" s="189"/>
    </row>
    <row r="641">
      <c r="A641" s="189"/>
      <c r="B641" s="189"/>
      <c r="C641" s="189"/>
      <c r="D641" s="189"/>
      <c r="E641" s="189"/>
      <c r="F641" s="189"/>
      <c r="G641" s="189"/>
      <c r="H641" s="189"/>
      <c r="I641" s="189"/>
    </row>
    <row r="642">
      <c r="A642" s="189"/>
      <c r="B642" s="189"/>
      <c r="C642" s="189"/>
      <c r="D642" s="189"/>
      <c r="E642" s="189"/>
      <c r="F642" s="189"/>
      <c r="G642" s="189"/>
      <c r="H642" s="189"/>
      <c r="I642" s="189"/>
    </row>
    <row r="643">
      <c r="A643" s="189"/>
      <c r="B643" s="189"/>
      <c r="C643" s="189"/>
      <c r="D643" s="189"/>
      <c r="E643" s="189"/>
      <c r="F643" s="189"/>
      <c r="G643" s="189"/>
      <c r="H643" s="189"/>
      <c r="I643" s="189"/>
    </row>
    <row r="644">
      <c r="A644" s="189"/>
      <c r="B644" s="189"/>
      <c r="C644" s="189"/>
      <c r="D644" s="189"/>
      <c r="E644" s="189"/>
      <c r="F644" s="189"/>
      <c r="G644" s="189"/>
      <c r="H644" s="189"/>
      <c r="I644" s="189"/>
    </row>
    <row r="645">
      <c r="A645" s="189"/>
      <c r="B645" s="189"/>
      <c r="C645" s="189"/>
      <c r="D645" s="189"/>
      <c r="E645" s="189"/>
      <c r="F645" s="189"/>
      <c r="G645" s="189"/>
      <c r="H645" s="189"/>
      <c r="I645" s="189"/>
    </row>
    <row r="646">
      <c r="A646" s="189"/>
      <c r="B646" s="189"/>
      <c r="C646" s="189"/>
      <c r="D646" s="189"/>
      <c r="E646" s="189"/>
      <c r="F646" s="189"/>
      <c r="G646" s="189"/>
      <c r="H646" s="189"/>
      <c r="I646" s="189"/>
    </row>
    <row r="647">
      <c r="A647" s="189"/>
      <c r="B647" s="189"/>
      <c r="C647" s="189"/>
      <c r="D647" s="189"/>
      <c r="E647" s="189"/>
      <c r="F647" s="189"/>
      <c r="G647" s="189"/>
      <c r="H647" s="189"/>
      <c r="I647" s="189"/>
    </row>
    <row r="648">
      <c r="A648" s="189"/>
      <c r="B648" s="189"/>
      <c r="C648" s="189"/>
      <c r="D648" s="189"/>
      <c r="E648" s="189"/>
      <c r="F648" s="189"/>
      <c r="G648" s="189"/>
      <c r="H648" s="189"/>
      <c r="I648" s="189"/>
    </row>
    <row r="649">
      <c r="A649" s="189"/>
      <c r="B649" s="189"/>
      <c r="C649" s="189"/>
      <c r="D649" s="189"/>
      <c r="E649" s="189"/>
      <c r="F649" s="189"/>
      <c r="G649" s="189"/>
      <c r="H649" s="189"/>
      <c r="I649" s="189"/>
    </row>
    <row r="650">
      <c r="A650" s="189"/>
      <c r="B650" s="189"/>
      <c r="C650" s="189"/>
      <c r="D650" s="189"/>
      <c r="E650" s="189"/>
      <c r="F650" s="189"/>
      <c r="G650" s="189"/>
      <c r="H650" s="189"/>
      <c r="I650" s="189"/>
    </row>
    <row r="651">
      <c r="A651" s="189"/>
      <c r="B651" s="189"/>
      <c r="C651" s="189"/>
      <c r="D651" s="189"/>
      <c r="E651" s="189"/>
      <c r="F651" s="189"/>
      <c r="G651" s="189"/>
      <c r="H651" s="189"/>
      <c r="I651" s="189"/>
    </row>
    <row r="652">
      <c r="A652" s="189"/>
      <c r="B652" s="189"/>
      <c r="C652" s="189"/>
      <c r="D652" s="189"/>
      <c r="E652" s="189"/>
      <c r="F652" s="189"/>
      <c r="G652" s="189"/>
      <c r="H652" s="189"/>
      <c r="I652" s="189"/>
    </row>
    <row r="653">
      <c r="A653" s="189"/>
      <c r="B653" s="189"/>
      <c r="C653" s="189"/>
      <c r="D653" s="189"/>
      <c r="E653" s="189"/>
      <c r="F653" s="189"/>
      <c r="G653" s="189"/>
      <c r="H653" s="189"/>
      <c r="I653" s="189"/>
    </row>
    <row r="654">
      <c r="A654" s="189"/>
      <c r="B654" s="189"/>
      <c r="C654" s="189"/>
      <c r="D654" s="189"/>
      <c r="E654" s="189"/>
      <c r="F654" s="189"/>
      <c r="G654" s="189"/>
      <c r="H654" s="189"/>
      <c r="I654" s="189"/>
    </row>
    <row r="655">
      <c r="A655" s="189"/>
      <c r="B655" s="189"/>
      <c r="C655" s="189"/>
      <c r="D655" s="189"/>
      <c r="E655" s="189"/>
      <c r="F655" s="189"/>
      <c r="G655" s="189"/>
      <c r="H655" s="189"/>
      <c r="I655" s="189"/>
    </row>
    <row r="656">
      <c r="A656" s="189"/>
      <c r="B656" s="189"/>
      <c r="C656" s="189"/>
      <c r="D656" s="189"/>
      <c r="E656" s="189"/>
      <c r="F656" s="189"/>
      <c r="G656" s="189"/>
      <c r="H656" s="189"/>
      <c r="I656" s="189"/>
    </row>
    <row r="657">
      <c r="A657" s="189"/>
      <c r="B657" s="189"/>
      <c r="C657" s="189"/>
      <c r="D657" s="189"/>
      <c r="E657" s="189"/>
      <c r="F657" s="189"/>
      <c r="G657" s="189"/>
      <c r="H657" s="189"/>
      <c r="I657" s="189"/>
    </row>
    <row r="658">
      <c r="A658" s="189"/>
      <c r="B658" s="189"/>
      <c r="C658" s="189"/>
      <c r="D658" s="189"/>
      <c r="E658" s="189"/>
      <c r="F658" s="189"/>
      <c r="G658" s="189"/>
      <c r="H658" s="189"/>
      <c r="I658" s="189"/>
    </row>
    <row r="659">
      <c r="A659" s="189"/>
      <c r="B659" s="189"/>
      <c r="C659" s="189"/>
      <c r="D659" s="189"/>
      <c r="E659" s="189"/>
      <c r="F659" s="189"/>
      <c r="G659" s="189"/>
      <c r="H659" s="189"/>
      <c r="I659" s="189"/>
    </row>
    <row r="660">
      <c r="A660" s="189"/>
      <c r="B660" s="189"/>
      <c r="C660" s="189"/>
      <c r="D660" s="189"/>
      <c r="E660" s="189"/>
      <c r="F660" s="189"/>
      <c r="G660" s="189"/>
      <c r="H660" s="189"/>
      <c r="I660" s="189"/>
    </row>
    <row r="661">
      <c r="A661" s="189"/>
      <c r="B661" s="189"/>
      <c r="C661" s="189"/>
      <c r="D661" s="189"/>
      <c r="E661" s="189"/>
      <c r="F661" s="189"/>
      <c r="G661" s="189"/>
      <c r="H661" s="189"/>
      <c r="I661" s="189"/>
    </row>
    <row r="662">
      <c r="A662" s="189"/>
      <c r="B662" s="189"/>
      <c r="C662" s="189"/>
      <c r="D662" s="189"/>
      <c r="E662" s="189"/>
      <c r="F662" s="189"/>
      <c r="G662" s="189"/>
      <c r="H662" s="189"/>
      <c r="I662" s="189"/>
    </row>
    <row r="663">
      <c r="A663" s="189"/>
      <c r="B663" s="189"/>
      <c r="C663" s="189"/>
      <c r="D663" s="189"/>
      <c r="E663" s="189"/>
      <c r="F663" s="189"/>
      <c r="G663" s="189"/>
      <c r="H663" s="189"/>
      <c r="I663" s="189"/>
    </row>
    <row r="664">
      <c r="A664" s="189"/>
      <c r="B664" s="189"/>
      <c r="C664" s="189"/>
      <c r="D664" s="189"/>
      <c r="E664" s="189"/>
      <c r="F664" s="189"/>
      <c r="G664" s="189"/>
      <c r="H664" s="189"/>
      <c r="I664" s="189"/>
    </row>
    <row r="665">
      <c r="A665" s="189"/>
      <c r="B665" s="189"/>
      <c r="C665" s="189"/>
      <c r="D665" s="189"/>
      <c r="E665" s="189"/>
      <c r="F665" s="189"/>
      <c r="G665" s="189"/>
      <c r="H665" s="189"/>
      <c r="I665" s="189"/>
    </row>
    <row r="666">
      <c r="A666" s="189"/>
      <c r="B666" s="189"/>
      <c r="C666" s="189"/>
      <c r="D666" s="189"/>
      <c r="E666" s="189"/>
      <c r="F666" s="189"/>
      <c r="G666" s="189"/>
      <c r="H666" s="189"/>
      <c r="I666" s="189"/>
    </row>
    <row r="667">
      <c r="A667" s="189"/>
      <c r="B667" s="189"/>
      <c r="C667" s="189"/>
      <c r="D667" s="189"/>
      <c r="E667" s="189"/>
      <c r="F667" s="189"/>
      <c r="G667" s="189"/>
      <c r="H667" s="189"/>
      <c r="I667" s="189"/>
    </row>
    <row r="668">
      <c r="A668" s="189"/>
      <c r="B668" s="189"/>
      <c r="C668" s="189"/>
      <c r="D668" s="189"/>
      <c r="E668" s="189"/>
      <c r="F668" s="189"/>
      <c r="G668" s="189"/>
      <c r="H668" s="189"/>
      <c r="I668" s="189"/>
    </row>
    <row r="669">
      <c r="A669" s="189"/>
      <c r="B669" s="189"/>
      <c r="C669" s="189"/>
      <c r="D669" s="189"/>
      <c r="E669" s="189"/>
      <c r="F669" s="189"/>
      <c r="G669" s="189"/>
      <c r="H669" s="189"/>
      <c r="I669" s="189"/>
    </row>
    <row r="670">
      <c r="A670" s="189"/>
      <c r="B670" s="189"/>
      <c r="C670" s="189"/>
      <c r="D670" s="189"/>
      <c r="E670" s="189"/>
      <c r="F670" s="189"/>
      <c r="G670" s="189"/>
      <c r="H670" s="189"/>
      <c r="I670" s="189"/>
    </row>
    <row r="671">
      <c r="A671" s="189"/>
      <c r="B671" s="189"/>
      <c r="C671" s="189"/>
      <c r="D671" s="189"/>
      <c r="E671" s="189"/>
      <c r="F671" s="189"/>
      <c r="G671" s="189"/>
      <c r="H671" s="189"/>
      <c r="I671" s="189"/>
    </row>
    <row r="672">
      <c r="A672" s="189"/>
      <c r="B672" s="189"/>
      <c r="C672" s="189"/>
      <c r="D672" s="189"/>
      <c r="E672" s="189"/>
      <c r="F672" s="189"/>
      <c r="G672" s="189"/>
      <c r="H672" s="189"/>
      <c r="I672" s="189"/>
    </row>
    <row r="673">
      <c r="A673" s="189"/>
      <c r="B673" s="189"/>
      <c r="C673" s="189"/>
      <c r="D673" s="189"/>
      <c r="E673" s="189"/>
      <c r="F673" s="189"/>
      <c r="G673" s="189"/>
      <c r="H673" s="189"/>
      <c r="I673" s="189"/>
    </row>
    <row r="674">
      <c r="A674" s="189"/>
      <c r="B674" s="189"/>
      <c r="C674" s="189"/>
      <c r="D674" s="189"/>
      <c r="E674" s="189"/>
      <c r="F674" s="189"/>
      <c r="G674" s="189"/>
      <c r="H674" s="189"/>
      <c r="I674" s="189"/>
    </row>
    <row r="675">
      <c r="A675" s="189"/>
      <c r="B675" s="189"/>
      <c r="C675" s="189"/>
      <c r="D675" s="189"/>
      <c r="E675" s="189"/>
      <c r="F675" s="189"/>
      <c r="G675" s="189"/>
      <c r="H675" s="189"/>
      <c r="I675" s="189"/>
    </row>
    <row r="676">
      <c r="A676" s="189"/>
      <c r="B676" s="189"/>
      <c r="C676" s="189"/>
      <c r="D676" s="189"/>
      <c r="E676" s="189"/>
      <c r="F676" s="189"/>
      <c r="G676" s="189"/>
      <c r="H676" s="189"/>
      <c r="I676" s="189"/>
    </row>
    <row r="677">
      <c r="A677" s="189"/>
      <c r="B677" s="189"/>
      <c r="C677" s="189"/>
      <c r="D677" s="189"/>
      <c r="E677" s="189"/>
      <c r="F677" s="189"/>
      <c r="G677" s="189"/>
      <c r="H677" s="189"/>
      <c r="I677" s="189"/>
    </row>
    <row r="678">
      <c r="A678" s="189"/>
      <c r="B678" s="189"/>
      <c r="C678" s="189"/>
      <c r="D678" s="189"/>
      <c r="E678" s="189"/>
      <c r="F678" s="189"/>
      <c r="G678" s="189"/>
      <c r="H678" s="189"/>
      <c r="I678" s="189"/>
    </row>
    <row r="679">
      <c r="A679" s="189"/>
      <c r="B679" s="189"/>
      <c r="C679" s="189"/>
      <c r="D679" s="189"/>
      <c r="E679" s="189"/>
      <c r="F679" s="189"/>
      <c r="G679" s="189"/>
      <c r="H679" s="189"/>
      <c r="I679" s="189"/>
    </row>
    <row r="680">
      <c r="A680" s="189"/>
      <c r="B680" s="189"/>
      <c r="C680" s="189"/>
      <c r="D680" s="189"/>
      <c r="E680" s="189"/>
      <c r="F680" s="189"/>
      <c r="G680" s="189"/>
      <c r="H680" s="189"/>
      <c r="I680" s="189"/>
    </row>
    <row r="681">
      <c r="A681" s="189"/>
      <c r="B681" s="189"/>
      <c r="C681" s="189"/>
      <c r="D681" s="189"/>
      <c r="E681" s="189"/>
      <c r="F681" s="189"/>
      <c r="G681" s="189"/>
      <c r="H681" s="189"/>
      <c r="I681" s="189"/>
    </row>
    <row r="682">
      <c r="A682" s="189"/>
      <c r="B682" s="189"/>
      <c r="C682" s="189"/>
      <c r="D682" s="189"/>
      <c r="E682" s="189"/>
      <c r="F682" s="189"/>
      <c r="G682" s="189"/>
      <c r="H682" s="189"/>
      <c r="I682" s="189"/>
    </row>
    <row r="683">
      <c r="A683" s="189"/>
      <c r="B683" s="189"/>
      <c r="C683" s="189"/>
      <c r="D683" s="189"/>
      <c r="E683" s="189"/>
      <c r="F683" s="189"/>
      <c r="G683" s="189"/>
      <c r="H683" s="189"/>
      <c r="I683" s="189"/>
    </row>
    <row r="684">
      <c r="A684" s="189"/>
      <c r="B684" s="189"/>
      <c r="C684" s="189"/>
      <c r="D684" s="189"/>
      <c r="E684" s="189"/>
      <c r="F684" s="189"/>
      <c r="G684" s="189"/>
      <c r="H684" s="189"/>
      <c r="I684" s="189"/>
    </row>
    <row r="685">
      <c r="A685" s="189"/>
      <c r="B685" s="189"/>
      <c r="C685" s="189"/>
      <c r="D685" s="189"/>
      <c r="E685" s="189"/>
      <c r="F685" s="189"/>
      <c r="G685" s="189"/>
      <c r="H685" s="189"/>
      <c r="I685" s="189"/>
    </row>
    <row r="686">
      <c r="A686" s="189"/>
      <c r="B686" s="189"/>
      <c r="C686" s="189"/>
      <c r="D686" s="189"/>
      <c r="E686" s="189"/>
      <c r="F686" s="189"/>
      <c r="G686" s="189"/>
      <c r="H686" s="189"/>
      <c r="I686" s="189"/>
    </row>
    <row r="687">
      <c r="A687" s="189"/>
      <c r="B687" s="189"/>
      <c r="C687" s="189"/>
      <c r="D687" s="189"/>
      <c r="E687" s="189"/>
      <c r="F687" s="189"/>
      <c r="G687" s="189"/>
      <c r="H687" s="189"/>
      <c r="I687" s="189"/>
    </row>
    <row r="688">
      <c r="A688" s="189"/>
      <c r="B688" s="189"/>
      <c r="C688" s="189"/>
      <c r="D688" s="189"/>
      <c r="E688" s="189"/>
      <c r="F688" s="189"/>
      <c r="G688" s="189"/>
      <c r="H688" s="189"/>
      <c r="I688" s="189"/>
    </row>
    <row r="689">
      <c r="A689" s="189"/>
      <c r="B689" s="189"/>
      <c r="C689" s="189"/>
      <c r="D689" s="189"/>
      <c r="E689" s="189"/>
      <c r="F689" s="189"/>
      <c r="G689" s="189"/>
      <c r="H689" s="189"/>
      <c r="I689" s="189"/>
    </row>
    <row r="690">
      <c r="A690" s="189"/>
      <c r="B690" s="189"/>
      <c r="C690" s="189"/>
      <c r="D690" s="189"/>
      <c r="E690" s="189"/>
      <c r="F690" s="189"/>
      <c r="G690" s="189"/>
      <c r="H690" s="189"/>
      <c r="I690" s="189"/>
    </row>
    <row r="691">
      <c r="A691" s="189"/>
      <c r="B691" s="189"/>
      <c r="C691" s="189"/>
      <c r="D691" s="189"/>
      <c r="E691" s="189"/>
      <c r="F691" s="189"/>
      <c r="G691" s="189"/>
      <c r="H691" s="189"/>
      <c r="I691" s="189"/>
    </row>
    <row r="692">
      <c r="A692" s="189"/>
      <c r="B692" s="189"/>
      <c r="C692" s="189"/>
      <c r="D692" s="189"/>
      <c r="E692" s="189"/>
      <c r="F692" s="189"/>
      <c r="G692" s="189"/>
      <c r="H692" s="189"/>
      <c r="I692" s="189"/>
    </row>
    <row r="693">
      <c r="A693" s="189"/>
      <c r="B693" s="189"/>
      <c r="C693" s="189"/>
      <c r="D693" s="189"/>
      <c r="E693" s="189"/>
      <c r="F693" s="189"/>
      <c r="G693" s="189"/>
      <c r="H693" s="189"/>
      <c r="I693" s="189"/>
    </row>
    <row r="694">
      <c r="A694" s="189"/>
      <c r="B694" s="189"/>
      <c r="C694" s="189"/>
      <c r="D694" s="189"/>
      <c r="E694" s="189"/>
      <c r="F694" s="189"/>
      <c r="G694" s="189"/>
      <c r="H694" s="189"/>
      <c r="I694" s="189"/>
    </row>
    <row r="695">
      <c r="A695" s="189"/>
      <c r="B695" s="189"/>
      <c r="C695" s="189"/>
      <c r="D695" s="189"/>
      <c r="E695" s="189"/>
      <c r="F695" s="189"/>
      <c r="G695" s="189"/>
      <c r="H695" s="189"/>
      <c r="I695" s="189"/>
    </row>
    <row r="696">
      <c r="A696" s="189"/>
      <c r="B696" s="189"/>
      <c r="C696" s="189"/>
      <c r="D696" s="189"/>
      <c r="E696" s="189"/>
      <c r="F696" s="189"/>
      <c r="G696" s="189"/>
      <c r="H696" s="189"/>
      <c r="I696" s="189"/>
    </row>
    <row r="697">
      <c r="A697" s="189"/>
      <c r="B697" s="189"/>
      <c r="C697" s="189"/>
      <c r="D697" s="189"/>
      <c r="E697" s="189"/>
      <c r="F697" s="189"/>
      <c r="G697" s="189"/>
      <c r="H697" s="189"/>
      <c r="I697" s="189"/>
    </row>
    <row r="698">
      <c r="A698" s="189"/>
      <c r="B698" s="189"/>
      <c r="C698" s="189"/>
      <c r="D698" s="189"/>
      <c r="E698" s="189"/>
      <c r="F698" s="189"/>
      <c r="G698" s="189"/>
      <c r="H698" s="189"/>
      <c r="I698" s="189"/>
    </row>
    <row r="699">
      <c r="A699" s="189"/>
      <c r="B699" s="189"/>
      <c r="C699" s="189"/>
      <c r="D699" s="189"/>
      <c r="E699" s="189"/>
      <c r="F699" s="189"/>
      <c r="G699" s="189"/>
      <c r="H699" s="189"/>
      <c r="I699" s="189"/>
    </row>
    <row r="700">
      <c r="A700" s="189"/>
      <c r="B700" s="189"/>
      <c r="C700" s="189"/>
      <c r="D700" s="189"/>
      <c r="E700" s="189"/>
      <c r="F700" s="189"/>
      <c r="G700" s="189"/>
      <c r="H700" s="189"/>
      <c r="I700" s="189"/>
    </row>
    <row r="701">
      <c r="A701" s="189"/>
      <c r="B701" s="189"/>
      <c r="C701" s="189"/>
      <c r="D701" s="189"/>
      <c r="E701" s="189"/>
      <c r="F701" s="189"/>
      <c r="G701" s="189"/>
      <c r="H701" s="189"/>
      <c r="I701" s="189"/>
    </row>
    <row r="702">
      <c r="A702" s="189"/>
      <c r="B702" s="189"/>
      <c r="C702" s="189"/>
      <c r="D702" s="189"/>
      <c r="E702" s="189"/>
      <c r="F702" s="189"/>
      <c r="G702" s="189"/>
      <c r="H702" s="189"/>
      <c r="I702" s="189"/>
    </row>
    <row r="703">
      <c r="A703" s="189"/>
      <c r="B703" s="189"/>
      <c r="C703" s="189"/>
      <c r="D703" s="189"/>
      <c r="E703" s="189"/>
      <c r="F703" s="189"/>
      <c r="G703" s="189"/>
      <c r="H703" s="189"/>
      <c r="I703" s="189"/>
    </row>
    <row r="704">
      <c r="A704" s="189"/>
      <c r="B704" s="189"/>
      <c r="C704" s="189"/>
      <c r="D704" s="189"/>
      <c r="E704" s="189"/>
      <c r="F704" s="189"/>
      <c r="G704" s="189"/>
      <c r="H704" s="189"/>
      <c r="I704" s="189"/>
    </row>
    <row r="705">
      <c r="A705" s="189"/>
      <c r="B705" s="189"/>
      <c r="C705" s="189"/>
      <c r="D705" s="189"/>
      <c r="E705" s="189"/>
      <c r="F705" s="189"/>
      <c r="G705" s="189"/>
      <c r="H705" s="189"/>
      <c r="I705" s="189"/>
    </row>
    <row r="706">
      <c r="A706" s="189"/>
      <c r="B706" s="189"/>
      <c r="C706" s="189"/>
      <c r="D706" s="189"/>
      <c r="E706" s="189"/>
      <c r="F706" s="189"/>
      <c r="G706" s="189"/>
      <c r="H706" s="189"/>
      <c r="I706" s="189"/>
    </row>
    <row r="707">
      <c r="A707" s="189"/>
      <c r="B707" s="189"/>
      <c r="C707" s="189"/>
      <c r="D707" s="189"/>
      <c r="E707" s="189"/>
      <c r="F707" s="189"/>
      <c r="G707" s="189"/>
      <c r="H707" s="189"/>
      <c r="I707" s="189"/>
    </row>
    <row r="708">
      <c r="A708" s="189"/>
      <c r="B708" s="189"/>
      <c r="C708" s="189"/>
      <c r="D708" s="189"/>
      <c r="E708" s="189"/>
      <c r="F708" s="189"/>
      <c r="G708" s="189"/>
      <c r="H708" s="189"/>
      <c r="I708" s="189"/>
    </row>
    <row r="709">
      <c r="A709" s="189"/>
      <c r="B709" s="189"/>
      <c r="C709" s="189"/>
      <c r="D709" s="189"/>
      <c r="E709" s="189"/>
      <c r="F709" s="189"/>
      <c r="G709" s="189"/>
      <c r="H709" s="189"/>
      <c r="I709" s="189"/>
    </row>
    <row r="710">
      <c r="A710" s="189"/>
      <c r="B710" s="189"/>
      <c r="C710" s="189"/>
      <c r="D710" s="189"/>
      <c r="E710" s="189"/>
      <c r="F710" s="189"/>
      <c r="G710" s="189"/>
      <c r="H710" s="189"/>
      <c r="I710" s="189"/>
    </row>
    <row r="711">
      <c r="A711" s="189"/>
      <c r="B711" s="189"/>
      <c r="C711" s="189"/>
      <c r="D711" s="189"/>
      <c r="E711" s="189"/>
      <c r="F711" s="189"/>
      <c r="G711" s="189"/>
      <c r="H711" s="189"/>
      <c r="I711" s="189"/>
    </row>
    <row r="712">
      <c r="A712" s="189"/>
      <c r="B712" s="189"/>
      <c r="C712" s="189"/>
      <c r="D712" s="189"/>
      <c r="E712" s="189"/>
      <c r="F712" s="189"/>
      <c r="G712" s="189"/>
      <c r="H712" s="189"/>
      <c r="I712" s="189"/>
    </row>
    <row r="713">
      <c r="A713" s="189"/>
      <c r="B713" s="189"/>
      <c r="C713" s="189"/>
      <c r="D713" s="189"/>
      <c r="E713" s="189"/>
      <c r="F713" s="189"/>
      <c r="G713" s="189"/>
      <c r="H713" s="189"/>
      <c r="I713" s="189"/>
    </row>
    <row r="714">
      <c r="A714" s="189"/>
      <c r="B714" s="189"/>
      <c r="C714" s="189"/>
      <c r="D714" s="189"/>
      <c r="E714" s="189"/>
      <c r="F714" s="189"/>
      <c r="G714" s="189"/>
      <c r="H714" s="189"/>
      <c r="I714" s="189"/>
    </row>
    <row r="715">
      <c r="A715" s="189"/>
      <c r="B715" s="189"/>
      <c r="C715" s="189"/>
      <c r="D715" s="189"/>
      <c r="E715" s="189"/>
      <c r="F715" s="189"/>
      <c r="G715" s="189"/>
      <c r="H715" s="189"/>
      <c r="I715" s="189"/>
    </row>
    <row r="716">
      <c r="A716" s="189"/>
      <c r="B716" s="189"/>
      <c r="C716" s="189"/>
      <c r="D716" s="189"/>
      <c r="E716" s="189"/>
      <c r="F716" s="189"/>
      <c r="G716" s="189"/>
      <c r="H716" s="189"/>
      <c r="I716" s="189"/>
    </row>
    <row r="717">
      <c r="A717" s="189"/>
      <c r="B717" s="189"/>
      <c r="C717" s="189"/>
      <c r="D717" s="189"/>
      <c r="E717" s="189"/>
      <c r="F717" s="189"/>
      <c r="G717" s="189"/>
      <c r="H717" s="189"/>
      <c r="I717" s="189"/>
    </row>
    <row r="718">
      <c r="A718" s="189"/>
      <c r="B718" s="189"/>
      <c r="C718" s="189"/>
      <c r="D718" s="189"/>
      <c r="E718" s="189"/>
      <c r="F718" s="189"/>
      <c r="G718" s="189"/>
      <c r="H718" s="189"/>
      <c r="I718" s="189"/>
    </row>
    <row r="719">
      <c r="A719" s="189"/>
      <c r="B719" s="189"/>
      <c r="C719" s="189"/>
      <c r="D719" s="189"/>
      <c r="E719" s="189"/>
      <c r="F719" s="189"/>
      <c r="G719" s="189"/>
      <c r="H719" s="189"/>
      <c r="I719" s="189"/>
    </row>
    <row r="720">
      <c r="A720" s="189"/>
      <c r="B720" s="189"/>
      <c r="C720" s="189"/>
      <c r="D720" s="189"/>
      <c r="E720" s="189"/>
      <c r="F720" s="189"/>
      <c r="G720" s="189"/>
      <c r="H720" s="189"/>
      <c r="I720" s="189"/>
    </row>
    <row r="721">
      <c r="A721" s="189"/>
      <c r="B721" s="189"/>
      <c r="C721" s="189"/>
      <c r="D721" s="189"/>
      <c r="E721" s="189"/>
      <c r="F721" s="189"/>
      <c r="G721" s="189"/>
      <c r="H721" s="189"/>
      <c r="I721" s="189"/>
    </row>
    <row r="722">
      <c r="A722" s="189"/>
      <c r="B722" s="189"/>
      <c r="C722" s="189"/>
      <c r="D722" s="189"/>
      <c r="E722" s="189"/>
      <c r="F722" s="189"/>
      <c r="G722" s="189"/>
      <c r="H722" s="189"/>
      <c r="I722" s="189"/>
    </row>
    <row r="723">
      <c r="A723" s="189"/>
      <c r="B723" s="189"/>
      <c r="C723" s="189"/>
      <c r="D723" s="189"/>
      <c r="E723" s="189"/>
      <c r="F723" s="189"/>
      <c r="G723" s="189"/>
      <c r="H723" s="189"/>
      <c r="I723" s="189"/>
    </row>
    <row r="724">
      <c r="A724" s="189"/>
      <c r="B724" s="189"/>
      <c r="C724" s="189"/>
      <c r="D724" s="189"/>
      <c r="E724" s="189"/>
      <c r="F724" s="189"/>
      <c r="G724" s="189"/>
      <c r="H724" s="189"/>
      <c r="I724" s="189"/>
    </row>
    <row r="725">
      <c r="A725" s="189"/>
      <c r="B725" s="189"/>
      <c r="C725" s="189"/>
      <c r="D725" s="189"/>
      <c r="E725" s="189"/>
      <c r="F725" s="189"/>
      <c r="G725" s="189"/>
      <c r="H725" s="189"/>
      <c r="I725" s="189"/>
    </row>
    <row r="726">
      <c r="A726" s="189"/>
      <c r="B726" s="189"/>
      <c r="C726" s="189"/>
      <c r="D726" s="189"/>
      <c r="E726" s="189"/>
      <c r="F726" s="189"/>
      <c r="G726" s="189"/>
      <c r="H726" s="189"/>
      <c r="I726" s="189"/>
    </row>
    <row r="727">
      <c r="A727" s="189"/>
      <c r="B727" s="189"/>
      <c r="C727" s="189"/>
      <c r="D727" s="189"/>
      <c r="E727" s="189"/>
      <c r="F727" s="189"/>
      <c r="G727" s="189"/>
      <c r="H727" s="189"/>
      <c r="I727" s="189"/>
    </row>
    <row r="728">
      <c r="A728" s="189"/>
      <c r="B728" s="189"/>
      <c r="C728" s="189"/>
      <c r="D728" s="189"/>
      <c r="E728" s="189"/>
      <c r="F728" s="189"/>
      <c r="G728" s="189"/>
      <c r="H728" s="189"/>
      <c r="I728" s="189"/>
    </row>
    <row r="729">
      <c r="A729" s="189"/>
      <c r="B729" s="189"/>
      <c r="C729" s="189"/>
      <c r="D729" s="189"/>
      <c r="E729" s="189"/>
      <c r="F729" s="189"/>
      <c r="G729" s="189"/>
      <c r="H729" s="189"/>
      <c r="I729" s="189"/>
    </row>
    <row r="730">
      <c r="A730" s="189"/>
      <c r="B730" s="189"/>
      <c r="C730" s="189"/>
      <c r="D730" s="189"/>
      <c r="E730" s="189"/>
      <c r="F730" s="189"/>
      <c r="G730" s="189"/>
      <c r="H730" s="189"/>
      <c r="I730" s="189"/>
    </row>
    <row r="731">
      <c r="A731" s="189"/>
      <c r="B731" s="189"/>
      <c r="C731" s="189"/>
      <c r="D731" s="189"/>
      <c r="E731" s="189"/>
      <c r="F731" s="189"/>
      <c r="G731" s="189"/>
      <c r="H731" s="189"/>
      <c r="I731" s="189"/>
    </row>
    <row r="732">
      <c r="A732" s="189"/>
      <c r="B732" s="189"/>
      <c r="C732" s="189"/>
      <c r="D732" s="189"/>
      <c r="E732" s="189"/>
      <c r="F732" s="189"/>
      <c r="G732" s="189"/>
      <c r="H732" s="189"/>
      <c r="I732" s="189"/>
    </row>
    <row r="733">
      <c r="A733" s="189"/>
      <c r="B733" s="189"/>
      <c r="C733" s="189"/>
      <c r="D733" s="189"/>
      <c r="E733" s="189"/>
      <c r="F733" s="189"/>
      <c r="G733" s="189"/>
      <c r="H733" s="189"/>
      <c r="I733" s="189"/>
    </row>
    <row r="734">
      <c r="A734" s="189"/>
      <c r="B734" s="189"/>
      <c r="C734" s="189"/>
      <c r="D734" s="189"/>
      <c r="E734" s="189"/>
      <c r="F734" s="189"/>
      <c r="G734" s="189"/>
      <c r="H734" s="189"/>
      <c r="I734" s="189"/>
    </row>
    <row r="735">
      <c r="A735" s="189"/>
      <c r="B735" s="189"/>
      <c r="C735" s="189"/>
      <c r="D735" s="189"/>
      <c r="E735" s="189"/>
      <c r="F735" s="189"/>
      <c r="G735" s="189"/>
      <c r="H735" s="189"/>
      <c r="I735" s="189"/>
    </row>
    <row r="736">
      <c r="A736" s="189"/>
      <c r="B736" s="189"/>
      <c r="C736" s="189"/>
      <c r="D736" s="189"/>
      <c r="E736" s="189"/>
      <c r="F736" s="189"/>
      <c r="G736" s="189"/>
      <c r="H736" s="189"/>
      <c r="I736" s="189"/>
    </row>
    <row r="737">
      <c r="A737" s="189"/>
      <c r="B737" s="189"/>
      <c r="C737" s="189"/>
      <c r="D737" s="189"/>
      <c r="E737" s="189"/>
      <c r="F737" s="189"/>
      <c r="G737" s="189"/>
      <c r="H737" s="189"/>
      <c r="I737" s="189"/>
    </row>
    <row r="738">
      <c r="A738" s="189"/>
      <c r="B738" s="189"/>
      <c r="C738" s="189"/>
      <c r="D738" s="189"/>
      <c r="E738" s="189"/>
      <c r="F738" s="189"/>
      <c r="G738" s="189"/>
      <c r="H738" s="189"/>
      <c r="I738" s="189"/>
    </row>
    <row r="739">
      <c r="A739" s="189"/>
      <c r="B739" s="189"/>
      <c r="C739" s="189"/>
      <c r="D739" s="189"/>
      <c r="E739" s="189"/>
      <c r="F739" s="189"/>
      <c r="G739" s="189"/>
      <c r="H739" s="189"/>
      <c r="I739" s="189"/>
    </row>
    <row r="740">
      <c r="A740" s="189"/>
      <c r="B740" s="189"/>
      <c r="C740" s="189"/>
      <c r="D740" s="189"/>
      <c r="E740" s="189"/>
      <c r="F740" s="189"/>
      <c r="G740" s="189"/>
      <c r="H740" s="189"/>
      <c r="I740" s="189"/>
    </row>
    <row r="741">
      <c r="A741" s="189"/>
      <c r="B741" s="189"/>
      <c r="C741" s="189"/>
      <c r="D741" s="189"/>
      <c r="E741" s="189"/>
      <c r="F741" s="189"/>
      <c r="G741" s="189"/>
      <c r="H741" s="189"/>
      <c r="I741" s="189"/>
    </row>
    <row r="742">
      <c r="A742" s="189"/>
      <c r="B742" s="189"/>
      <c r="C742" s="189"/>
      <c r="D742" s="189"/>
      <c r="E742" s="189"/>
      <c r="F742" s="189"/>
      <c r="G742" s="189"/>
      <c r="H742" s="189"/>
      <c r="I742" s="189"/>
    </row>
    <row r="743">
      <c r="A743" s="189"/>
      <c r="B743" s="189"/>
      <c r="C743" s="189"/>
      <c r="D743" s="189"/>
      <c r="E743" s="189"/>
      <c r="F743" s="189"/>
      <c r="G743" s="189"/>
      <c r="H743" s="189"/>
      <c r="I743" s="189"/>
    </row>
    <row r="744">
      <c r="A744" s="189"/>
      <c r="B744" s="189"/>
      <c r="C744" s="189"/>
      <c r="D744" s="189"/>
      <c r="E744" s="189"/>
      <c r="F744" s="189"/>
      <c r="G744" s="189"/>
      <c r="H744" s="189"/>
      <c r="I744" s="189"/>
    </row>
    <row r="745">
      <c r="A745" s="189"/>
      <c r="B745" s="189"/>
      <c r="C745" s="189"/>
      <c r="D745" s="189"/>
      <c r="E745" s="189"/>
      <c r="F745" s="189"/>
      <c r="G745" s="189"/>
      <c r="H745" s="189"/>
      <c r="I745" s="189"/>
    </row>
    <row r="746">
      <c r="A746" s="189"/>
      <c r="B746" s="189"/>
      <c r="C746" s="189"/>
      <c r="D746" s="189"/>
      <c r="E746" s="189"/>
      <c r="F746" s="189"/>
      <c r="G746" s="189"/>
      <c r="H746" s="189"/>
      <c r="I746" s="189"/>
    </row>
    <row r="747">
      <c r="A747" s="189"/>
      <c r="B747" s="189"/>
      <c r="C747" s="189"/>
      <c r="D747" s="189"/>
      <c r="E747" s="189"/>
      <c r="F747" s="189"/>
      <c r="G747" s="189"/>
      <c r="H747" s="189"/>
      <c r="I747" s="189"/>
    </row>
    <row r="748">
      <c r="A748" s="189"/>
      <c r="B748" s="189"/>
      <c r="C748" s="189"/>
      <c r="D748" s="189"/>
      <c r="E748" s="189"/>
      <c r="F748" s="189"/>
      <c r="G748" s="189"/>
      <c r="H748" s="189"/>
      <c r="I748" s="189"/>
    </row>
    <row r="749">
      <c r="A749" s="189"/>
      <c r="B749" s="189"/>
      <c r="C749" s="189"/>
      <c r="D749" s="189"/>
      <c r="E749" s="189"/>
      <c r="F749" s="189"/>
      <c r="G749" s="189"/>
      <c r="H749" s="189"/>
      <c r="I749" s="189"/>
    </row>
    <row r="750">
      <c r="A750" s="189"/>
      <c r="B750" s="189"/>
      <c r="C750" s="189"/>
      <c r="D750" s="189"/>
      <c r="E750" s="189"/>
      <c r="F750" s="189"/>
      <c r="G750" s="189"/>
      <c r="H750" s="189"/>
      <c r="I750" s="189"/>
    </row>
    <row r="751">
      <c r="A751" s="189"/>
      <c r="B751" s="189"/>
      <c r="C751" s="189"/>
      <c r="D751" s="189"/>
      <c r="E751" s="189"/>
      <c r="F751" s="189"/>
      <c r="G751" s="189"/>
      <c r="H751" s="189"/>
      <c r="I751" s="189"/>
    </row>
    <row r="752">
      <c r="A752" s="189"/>
      <c r="B752" s="189"/>
      <c r="C752" s="189"/>
      <c r="D752" s="189"/>
      <c r="E752" s="189"/>
      <c r="F752" s="189"/>
      <c r="G752" s="189"/>
      <c r="H752" s="189"/>
      <c r="I752" s="189"/>
    </row>
    <row r="753">
      <c r="A753" s="189"/>
      <c r="B753" s="189"/>
      <c r="C753" s="189"/>
      <c r="D753" s="189"/>
      <c r="E753" s="189"/>
      <c r="F753" s="189"/>
      <c r="G753" s="189"/>
      <c r="H753" s="189"/>
      <c r="I753" s="189"/>
    </row>
    <row r="754">
      <c r="A754" s="189"/>
      <c r="B754" s="189"/>
      <c r="C754" s="189"/>
      <c r="D754" s="189"/>
      <c r="E754" s="189"/>
      <c r="F754" s="189"/>
      <c r="G754" s="189"/>
      <c r="H754" s="189"/>
      <c r="I754" s="189"/>
    </row>
    <row r="755">
      <c r="A755" s="189"/>
      <c r="B755" s="189"/>
      <c r="C755" s="189"/>
      <c r="D755" s="189"/>
      <c r="E755" s="189"/>
      <c r="F755" s="189"/>
      <c r="G755" s="189"/>
      <c r="H755" s="189"/>
      <c r="I755" s="189"/>
    </row>
    <row r="756">
      <c r="A756" s="189"/>
      <c r="B756" s="189"/>
      <c r="C756" s="189"/>
      <c r="D756" s="189"/>
      <c r="E756" s="189"/>
      <c r="F756" s="189"/>
      <c r="G756" s="189"/>
      <c r="H756" s="189"/>
      <c r="I756" s="189"/>
    </row>
    <row r="757">
      <c r="A757" s="189"/>
      <c r="B757" s="189"/>
      <c r="C757" s="189"/>
      <c r="D757" s="189"/>
      <c r="E757" s="189"/>
      <c r="F757" s="189"/>
      <c r="G757" s="189"/>
      <c r="H757" s="189"/>
      <c r="I757" s="189"/>
    </row>
    <row r="758">
      <c r="A758" s="189"/>
      <c r="B758" s="189"/>
      <c r="C758" s="189"/>
      <c r="D758" s="189"/>
      <c r="E758" s="189"/>
      <c r="F758" s="189"/>
      <c r="G758" s="189"/>
      <c r="H758" s="189"/>
      <c r="I758" s="189"/>
    </row>
    <row r="759">
      <c r="A759" s="189"/>
      <c r="B759" s="189"/>
      <c r="C759" s="189"/>
      <c r="D759" s="189"/>
      <c r="E759" s="189"/>
      <c r="F759" s="189"/>
      <c r="G759" s="189"/>
      <c r="H759" s="189"/>
      <c r="I759" s="189"/>
    </row>
    <row r="760">
      <c r="A760" s="189"/>
      <c r="B760" s="189"/>
      <c r="C760" s="189"/>
      <c r="D760" s="189"/>
      <c r="E760" s="189"/>
      <c r="F760" s="189"/>
      <c r="G760" s="189"/>
      <c r="H760" s="189"/>
      <c r="I760" s="189"/>
    </row>
    <row r="761">
      <c r="A761" s="189"/>
      <c r="B761" s="189"/>
      <c r="C761" s="189"/>
      <c r="D761" s="189"/>
      <c r="E761" s="189"/>
      <c r="F761" s="189"/>
      <c r="G761" s="189"/>
      <c r="H761" s="189"/>
      <c r="I761" s="189"/>
    </row>
    <row r="762">
      <c r="A762" s="189"/>
      <c r="B762" s="189"/>
      <c r="C762" s="189"/>
      <c r="D762" s="189"/>
      <c r="E762" s="189"/>
      <c r="F762" s="189"/>
      <c r="G762" s="189"/>
      <c r="H762" s="189"/>
      <c r="I762" s="189"/>
    </row>
    <row r="763">
      <c r="A763" s="189"/>
      <c r="B763" s="189"/>
      <c r="C763" s="189"/>
      <c r="D763" s="189"/>
      <c r="E763" s="189"/>
      <c r="F763" s="189"/>
      <c r="G763" s="189"/>
      <c r="H763" s="189"/>
      <c r="I763" s="189"/>
    </row>
    <row r="764">
      <c r="A764" s="189"/>
      <c r="B764" s="189"/>
      <c r="C764" s="189"/>
      <c r="D764" s="189"/>
      <c r="E764" s="189"/>
      <c r="F764" s="189"/>
      <c r="G764" s="189"/>
      <c r="H764" s="189"/>
      <c r="I764" s="189"/>
    </row>
    <row r="765">
      <c r="A765" s="189"/>
      <c r="B765" s="189"/>
      <c r="C765" s="189"/>
      <c r="D765" s="189"/>
      <c r="E765" s="189"/>
      <c r="F765" s="189"/>
      <c r="G765" s="189"/>
      <c r="H765" s="189"/>
      <c r="I765" s="189"/>
    </row>
    <row r="766">
      <c r="A766" s="189"/>
      <c r="B766" s="189"/>
      <c r="C766" s="189"/>
      <c r="D766" s="189"/>
      <c r="E766" s="189"/>
      <c r="F766" s="189"/>
      <c r="G766" s="189"/>
      <c r="H766" s="189"/>
      <c r="I766" s="189"/>
    </row>
    <row r="767">
      <c r="A767" s="189"/>
      <c r="B767" s="189"/>
      <c r="C767" s="189"/>
      <c r="D767" s="189"/>
      <c r="E767" s="189"/>
      <c r="F767" s="189"/>
      <c r="G767" s="189"/>
      <c r="H767" s="189"/>
      <c r="I767" s="189"/>
    </row>
    <row r="768">
      <c r="A768" s="189"/>
      <c r="B768" s="189"/>
      <c r="C768" s="189"/>
      <c r="D768" s="189"/>
      <c r="E768" s="189"/>
      <c r="F768" s="189"/>
      <c r="G768" s="189"/>
      <c r="H768" s="189"/>
      <c r="I768" s="189"/>
    </row>
    <row r="769">
      <c r="A769" s="189"/>
      <c r="B769" s="189"/>
      <c r="C769" s="189"/>
      <c r="D769" s="189"/>
      <c r="E769" s="189"/>
      <c r="F769" s="189"/>
      <c r="G769" s="189"/>
      <c r="H769" s="189"/>
      <c r="I769" s="189"/>
    </row>
    <row r="770">
      <c r="A770" s="189"/>
      <c r="B770" s="189"/>
      <c r="C770" s="189"/>
      <c r="D770" s="189"/>
      <c r="E770" s="189"/>
      <c r="F770" s="189"/>
      <c r="G770" s="189"/>
      <c r="H770" s="189"/>
      <c r="I770" s="189"/>
    </row>
    <row r="771">
      <c r="A771" s="189"/>
      <c r="B771" s="189"/>
      <c r="C771" s="189"/>
      <c r="D771" s="189"/>
      <c r="E771" s="189"/>
      <c r="F771" s="189"/>
      <c r="G771" s="189"/>
      <c r="H771" s="189"/>
      <c r="I771" s="189"/>
    </row>
    <row r="772">
      <c r="A772" s="189"/>
      <c r="B772" s="189"/>
      <c r="C772" s="189"/>
      <c r="D772" s="189"/>
      <c r="E772" s="189"/>
      <c r="F772" s="189"/>
      <c r="G772" s="189"/>
      <c r="H772" s="189"/>
      <c r="I772" s="189"/>
    </row>
    <row r="773">
      <c r="A773" s="189"/>
      <c r="B773" s="189"/>
      <c r="C773" s="189"/>
      <c r="D773" s="189"/>
      <c r="E773" s="189"/>
      <c r="F773" s="189"/>
      <c r="G773" s="189"/>
      <c r="H773" s="189"/>
      <c r="I773" s="189"/>
    </row>
    <row r="774">
      <c r="A774" s="189"/>
      <c r="B774" s="189"/>
      <c r="C774" s="189"/>
      <c r="D774" s="189"/>
      <c r="E774" s="189"/>
      <c r="F774" s="189"/>
      <c r="G774" s="189"/>
      <c r="H774" s="189"/>
      <c r="I774" s="189"/>
    </row>
    <row r="775">
      <c r="A775" s="189"/>
      <c r="B775" s="189"/>
      <c r="C775" s="189"/>
      <c r="D775" s="189"/>
      <c r="E775" s="189"/>
      <c r="F775" s="189"/>
      <c r="G775" s="189"/>
      <c r="H775" s="189"/>
      <c r="I775" s="189"/>
    </row>
    <row r="776">
      <c r="A776" s="189"/>
      <c r="B776" s="189"/>
      <c r="C776" s="189"/>
      <c r="D776" s="189"/>
      <c r="E776" s="189"/>
      <c r="F776" s="189"/>
      <c r="G776" s="189"/>
      <c r="H776" s="189"/>
      <c r="I776" s="189"/>
    </row>
    <row r="777">
      <c r="A777" s="189"/>
      <c r="B777" s="189"/>
      <c r="C777" s="189"/>
      <c r="D777" s="189"/>
      <c r="E777" s="189"/>
      <c r="F777" s="189"/>
      <c r="G777" s="189"/>
      <c r="H777" s="189"/>
      <c r="I777" s="189"/>
    </row>
    <row r="778">
      <c r="A778" s="189"/>
      <c r="B778" s="189"/>
      <c r="C778" s="189"/>
      <c r="D778" s="189"/>
      <c r="E778" s="189"/>
      <c r="F778" s="189"/>
      <c r="G778" s="189"/>
      <c r="H778" s="189"/>
      <c r="I778" s="189"/>
    </row>
    <row r="779">
      <c r="A779" s="189"/>
      <c r="B779" s="189"/>
      <c r="C779" s="189"/>
      <c r="D779" s="189"/>
      <c r="E779" s="189"/>
      <c r="F779" s="189"/>
      <c r="G779" s="189"/>
      <c r="H779" s="189"/>
      <c r="I779" s="189"/>
    </row>
    <row r="780">
      <c r="A780" s="189"/>
      <c r="B780" s="189"/>
      <c r="C780" s="189"/>
      <c r="D780" s="189"/>
      <c r="E780" s="189"/>
      <c r="F780" s="189"/>
      <c r="G780" s="189"/>
      <c r="H780" s="189"/>
      <c r="I780" s="189"/>
    </row>
    <row r="781">
      <c r="A781" s="189"/>
      <c r="B781" s="189"/>
      <c r="C781" s="189"/>
      <c r="D781" s="189"/>
      <c r="E781" s="189"/>
      <c r="F781" s="189"/>
      <c r="G781" s="189"/>
      <c r="H781" s="189"/>
      <c r="I781" s="189"/>
    </row>
    <row r="782">
      <c r="A782" s="189"/>
      <c r="B782" s="189"/>
      <c r="C782" s="189"/>
      <c r="D782" s="189"/>
      <c r="E782" s="189"/>
      <c r="F782" s="189"/>
      <c r="G782" s="189"/>
      <c r="H782" s="189"/>
      <c r="I782" s="189"/>
    </row>
    <row r="783">
      <c r="A783" s="189"/>
      <c r="B783" s="189"/>
      <c r="C783" s="189"/>
      <c r="D783" s="189"/>
      <c r="E783" s="189"/>
      <c r="F783" s="189"/>
      <c r="G783" s="189"/>
      <c r="H783" s="189"/>
      <c r="I783" s="189"/>
    </row>
    <row r="784">
      <c r="A784" s="189"/>
      <c r="B784" s="189"/>
      <c r="C784" s="189"/>
      <c r="D784" s="189"/>
      <c r="E784" s="189"/>
      <c r="F784" s="189"/>
      <c r="G784" s="189"/>
      <c r="H784" s="189"/>
      <c r="I784" s="189"/>
    </row>
    <row r="785">
      <c r="A785" s="189"/>
      <c r="B785" s="189"/>
      <c r="C785" s="189"/>
      <c r="D785" s="189"/>
      <c r="E785" s="189"/>
      <c r="F785" s="189"/>
      <c r="G785" s="189"/>
      <c r="H785" s="189"/>
      <c r="I785" s="189"/>
    </row>
    <row r="786">
      <c r="A786" s="189"/>
      <c r="B786" s="189"/>
      <c r="C786" s="189"/>
      <c r="D786" s="189"/>
      <c r="E786" s="189"/>
      <c r="F786" s="189"/>
      <c r="G786" s="189"/>
      <c r="H786" s="189"/>
      <c r="I786" s="189"/>
    </row>
    <row r="787">
      <c r="A787" s="189"/>
      <c r="B787" s="189"/>
      <c r="C787" s="189"/>
      <c r="D787" s="189"/>
      <c r="E787" s="189"/>
      <c r="F787" s="189"/>
      <c r="G787" s="189"/>
      <c r="H787" s="189"/>
      <c r="I787" s="189"/>
    </row>
    <row r="788">
      <c r="A788" s="189"/>
      <c r="B788" s="189"/>
      <c r="C788" s="189"/>
      <c r="D788" s="189"/>
      <c r="E788" s="189"/>
      <c r="F788" s="189"/>
      <c r="G788" s="189"/>
      <c r="H788" s="189"/>
      <c r="I788" s="189"/>
    </row>
    <row r="789">
      <c r="A789" s="189"/>
      <c r="B789" s="189"/>
      <c r="C789" s="189"/>
      <c r="D789" s="189"/>
      <c r="E789" s="189"/>
      <c r="F789" s="189"/>
      <c r="G789" s="189"/>
      <c r="H789" s="189"/>
      <c r="I789" s="189"/>
    </row>
    <row r="790">
      <c r="A790" s="189"/>
      <c r="B790" s="189"/>
      <c r="C790" s="189"/>
      <c r="D790" s="189"/>
      <c r="E790" s="189"/>
      <c r="F790" s="189"/>
      <c r="G790" s="189"/>
      <c r="H790" s="189"/>
      <c r="I790" s="189"/>
    </row>
    <row r="791">
      <c r="A791" s="189"/>
      <c r="B791" s="189"/>
      <c r="C791" s="189"/>
      <c r="D791" s="189"/>
      <c r="E791" s="189"/>
      <c r="F791" s="189"/>
      <c r="G791" s="189"/>
      <c r="H791" s="189"/>
      <c r="I791" s="189"/>
    </row>
    <row r="792">
      <c r="A792" s="189"/>
      <c r="B792" s="189"/>
      <c r="C792" s="189"/>
      <c r="D792" s="189"/>
      <c r="E792" s="189"/>
      <c r="F792" s="189"/>
      <c r="G792" s="189"/>
      <c r="H792" s="189"/>
      <c r="I792" s="189"/>
    </row>
    <row r="793">
      <c r="A793" s="189"/>
      <c r="B793" s="189"/>
      <c r="C793" s="189"/>
      <c r="D793" s="189"/>
      <c r="E793" s="189"/>
      <c r="F793" s="189"/>
      <c r="G793" s="189"/>
      <c r="H793" s="189"/>
      <c r="I793" s="189"/>
    </row>
    <row r="794">
      <c r="A794" s="189"/>
      <c r="B794" s="189"/>
      <c r="C794" s="189"/>
      <c r="D794" s="189"/>
      <c r="E794" s="189"/>
      <c r="F794" s="189"/>
      <c r="G794" s="189"/>
      <c r="H794" s="189"/>
      <c r="I794" s="189"/>
    </row>
    <row r="795">
      <c r="A795" s="189"/>
      <c r="B795" s="189"/>
      <c r="C795" s="189"/>
      <c r="D795" s="189"/>
      <c r="E795" s="189"/>
      <c r="F795" s="189"/>
      <c r="G795" s="189"/>
      <c r="H795" s="189"/>
      <c r="I795" s="189"/>
    </row>
    <row r="796">
      <c r="A796" s="189"/>
      <c r="B796" s="189"/>
      <c r="C796" s="189"/>
      <c r="D796" s="189"/>
      <c r="E796" s="189"/>
      <c r="F796" s="189"/>
      <c r="G796" s="189"/>
      <c r="H796" s="189"/>
      <c r="I796" s="189"/>
    </row>
    <row r="797">
      <c r="A797" s="189"/>
      <c r="B797" s="189"/>
      <c r="C797" s="189"/>
      <c r="D797" s="189"/>
      <c r="E797" s="189"/>
      <c r="F797" s="189"/>
      <c r="G797" s="189"/>
      <c r="H797" s="189"/>
      <c r="I797" s="189"/>
    </row>
    <row r="798">
      <c r="A798" s="189"/>
      <c r="B798" s="189"/>
      <c r="C798" s="189"/>
      <c r="D798" s="189"/>
      <c r="E798" s="189"/>
      <c r="F798" s="189"/>
      <c r="G798" s="189"/>
      <c r="H798" s="189"/>
      <c r="I798" s="189"/>
    </row>
    <row r="799">
      <c r="A799" s="189"/>
      <c r="B799" s="189"/>
      <c r="C799" s="189"/>
      <c r="D799" s="189"/>
      <c r="E799" s="189"/>
      <c r="F799" s="189"/>
      <c r="G799" s="189"/>
      <c r="H799" s="189"/>
      <c r="I799" s="189"/>
    </row>
    <row r="800">
      <c r="A800" s="189"/>
      <c r="B800" s="189"/>
      <c r="C800" s="189"/>
      <c r="D800" s="189"/>
      <c r="E800" s="189"/>
      <c r="F800" s="189"/>
      <c r="G800" s="189"/>
      <c r="H800" s="189"/>
      <c r="I800" s="189"/>
    </row>
    <row r="801">
      <c r="A801" s="189"/>
      <c r="B801" s="189"/>
      <c r="C801" s="189"/>
      <c r="D801" s="189"/>
      <c r="E801" s="189"/>
      <c r="F801" s="189"/>
      <c r="G801" s="189"/>
      <c r="H801" s="189"/>
      <c r="I801" s="189"/>
    </row>
    <row r="802">
      <c r="A802" s="189"/>
      <c r="B802" s="189"/>
      <c r="C802" s="189"/>
      <c r="D802" s="189"/>
      <c r="E802" s="189"/>
      <c r="F802" s="189"/>
      <c r="G802" s="189"/>
      <c r="H802" s="189"/>
      <c r="I802" s="189"/>
    </row>
    <row r="803">
      <c r="A803" s="189"/>
      <c r="B803" s="189"/>
      <c r="C803" s="189"/>
      <c r="D803" s="189"/>
      <c r="E803" s="189"/>
      <c r="F803" s="189"/>
      <c r="G803" s="189"/>
      <c r="H803" s="189"/>
      <c r="I803" s="189"/>
    </row>
    <row r="804">
      <c r="A804" s="189"/>
      <c r="B804" s="189"/>
      <c r="C804" s="189"/>
      <c r="D804" s="189"/>
      <c r="E804" s="189"/>
      <c r="F804" s="189"/>
      <c r="G804" s="189"/>
      <c r="H804" s="189"/>
      <c r="I804" s="189"/>
    </row>
    <row r="805">
      <c r="A805" s="189"/>
      <c r="B805" s="189"/>
      <c r="C805" s="189"/>
      <c r="D805" s="189"/>
      <c r="E805" s="189"/>
      <c r="F805" s="189"/>
      <c r="G805" s="189"/>
      <c r="H805" s="189"/>
      <c r="I805" s="189"/>
    </row>
    <row r="806">
      <c r="A806" s="189"/>
      <c r="B806" s="189"/>
      <c r="C806" s="189"/>
      <c r="D806" s="189"/>
      <c r="E806" s="189"/>
      <c r="F806" s="189"/>
      <c r="G806" s="189"/>
      <c r="H806" s="189"/>
      <c r="I806" s="189"/>
    </row>
    <row r="807">
      <c r="A807" s="189"/>
      <c r="B807" s="189"/>
      <c r="C807" s="189"/>
      <c r="D807" s="189"/>
      <c r="E807" s="189"/>
      <c r="F807" s="189"/>
      <c r="G807" s="189"/>
      <c r="H807" s="189"/>
      <c r="I807" s="189"/>
    </row>
    <row r="808">
      <c r="A808" s="189"/>
      <c r="B808" s="189"/>
      <c r="C808" s="189"/>
      <c r="D808" s="189"/>
      <c r="E808" s="189"/>
      <c r="F808" s="189"/>
      <c r="G808" s="189"/>
      <c r="H808" s="189"/>
      <c r="I808" s="189"/>
    </row>
    <row r="809">
      <c r="A809" s="189"/>
      <c r="B809" s="189"/>
      <c r="C809" s="189"/>
      <c r="D809" s="189"/>
      <c r="E809" s="189"/>
      <c r="F809" s="189"/>
      <c r="G809" s="189"/>
      <c r="H809" s="189"/>
      <c r="I809" s="189"/>
    </row>
    <row r="810">
      <c r="A810" s="189"/>
      <c r="B810" s="189"/>
      <c r="C810" s="189"/>
      <c r="D810" s="189"/>
      <c r="E810" s="189"/>
      <c r="F810" s="189"/>
      <c r="G810" s="189"/>
      <c r="H810" s="189"/>
      <c r="I810" s="189"/>
    </row>
    <row r="811">
      <c r="A811" s="189"/>
      <c r="B811" s="189"/>
      <c r="C811" s="189"/>
      <c r="D811" s="189"/>
      <c r="E811" s="189"/>
      <c r="F811" s="189"/>
      <c r="G811" s="189"/>
      <c r="H811" s="189"/>
      <c r="I811" s="189"/>
    </row>
    <row r="812">
      <c r="A812" s="189"/>
      <c r="B812" s="189"/>
      <c r="C812" s="189"/>
      <c r="D812" s="189"/>
      <c r="E812" s="189"/>
      <c r="F812" s="189"/>
      <c r="G812" s="189"/>
      <c r="H812" s="189"/>
      <c r="I812" s="189"/>
    </row>
    <row r="813">
      <c r="A813" s="189"/>
      <c r="B813" s="189"/>
      <c r="C813" s="189"/>
      <c r="D813" s="189"/>
      <c r="E813" s="189"/>
      <c r="F813" s="189"/>
      <c r="G813" s="189"/>
      <c r="H813" s="189"/>
      <c r="I813" s="189"/>
    </row>
    <row r="814">
      <c r="A814" s="189"/>
      <c r="B814" s="189"/>
      <c r="C814" s="189"/>
      <c r="D814" s="189"/>
      <c r="E814" s="189"/>
      <c r="F814" s="189"/>
      <c r="G814" s="189"/>
      <c r="H814" s="189"/>
      <c r="I814" s="189"/>
    </row>
    <row r="815">
      <c r="A815" s="189"/>
      <c r="B815" s="189"/>
      <c r="C815" s="189"/>
      <c r="D815" s="189"/>
      <c r="E815" s="189"/>
      <c r="F815" s="189"/>
      <c r="G815" s="189"/>
      <c r="H815" s="189"/>
      <c r="I815" s="189"/>
    </row>
    <row r="816">
      <c r="A816" s="189"/>
      <c r="B816" s="189"/>
      <c r="C816" s="189"/>
      <c r="D816" s="189"/>
      <c r="E816" s="189"/>
      <c r="F816" s="189"/>
      <c r="G816" s="189"/>
      <c r="H816" s="189"/>
      <c r="I816" s="189"/>
    </row>
    <row r="817">
      <c r="A817" s="189"/>
      <c r="B817" s="189"/>
      <c r="C817" s="189"/>
      <c r="D817" s="189"/>
      <c r="E817" s="189"/>
      <c r="F817" s="189"/>
      <c r="G817" s="189"/>
      <c r="H817" s="189"/>
      <c r="I817" s="189"/>
    </row>
    <row r="818">
      <c r="A818" s="189"/>
      <c r="B818" s="189"/>
      <c r="C818" s="189"/>
      <c r="D818" s="189"/>
      <c r="E818" s="189"/>
      <c r="F818" s="189"/>
      <c r="G818" s="189"/>
      <c r="H818" s="189"/>
      <c r="I818" s="189"/>
    </row>
    <row r="819">
      <c r="A819" s="189"/>
      <c r="B819" s="189"/>
      <c r="C819" s="189"/>
      <c r="D819" s="189"/>
      <c r="E819" s="189"/>
      <c r="F819" s="189"/>
      <c r="G819" s="189"/>
      <c r="H819" s="189"/>
      <c r="I819" s="189"/>
    </row>
    <row r="820">
      <c r="A820" s="189"/>
      <c r="B820" s="189"/>
      <c r="C820" s="189"/>
      <c r="D820" s="189"/>
      <c r="E820" s="189"/>
      <c r="F820" s="189"/>
      <c r="G820" s="189"/>
      <c r="H820" s="189"/>
      <c r="I820" s="189"/>
    </row>
    <row r="821">
      <c r="A821" s="189"/>
      <c r="B821" s="189"/>
      <c r="C821" s="189"/>
      <c r="D821" s="189"/>
      <c r="E821" s="189"/>
      <c r="F821" s="189"/>
      <c r="G821" s="189"/>
      <c r="H821" s="189"/>
      <c r="I821" s="189"/>
    </row>
    <row r="822">
      <c r="A822" s="189"/>
      <c r="B822" s="189"/>
      <c r="C822" s="189"/>
      <c r="D822" s="189"/>
      <c r="E822" s="189"/>
      <c r="F822" s="189"/>
      <c r="G822" s="189"/>
      <c r="H822" s="189"/>
      <c r="I822" s="189"/>
    </row>
    <row r="823">
      <c r="A823" s="189"/>
      <c r="B823" s="189"/>
      <c r="C823" s="189"/>
      <c r="D823" s="189"/>
      <c r="E823" s="189"/>
      <c r="F823" s="189"/>
      <c r="G823" s="189"/>
      <c r="H823" s="189"/>
      <c r="I823" s="189"/>
    </row>
    <row r="824">
      <c r="A824" s="189"/>
      <c r="B824" s="189"/>
      <c r="C824" s="189"/>
      <c r="D824" s="189"/>
      <c r="E824" s="189"/>
      <c r="F824" s="189"/>
      <c r="G824" s="189"/>
      <c r="H824" s="189"/>
      <c r="I824" s="189"/>
    </row>
    <row r="825">
      <c r="A825" s="189"/>
      <c r="B825" s="189"/>
      <c r="C825" s="189"/>
      <c r="D825" s="189"/>
      <c r="E825" s="189"/>
      <c r="F825" s="189"/>
      <c r="G825" s="189"/>
      <c r="H825" s="189"/>
      <c r="I825" s="189"/>
    </row>
    <row r="826">
      <c r="A826" s="189"/>
      <c r="B826" s="189"/>
      <c r="C826" s="189"/>
      <c r="D826" s="189"/>
      <c r="E826" s="189"/>
      <c r="F826" s="189"/>
      <c r="G826" s="189"/>
      <c r="H826" s="189"/>
      <c r="I826" s="189"/>
    </row>
    <row r="827">
      <c r="A827" s="189"/>
      <c r="B827" s="189"/>
      <c r="C827" s="189"/>
      <c r="D827" s="189"/>
      <c r="E827" s="189"/>
      <c r="F827" s="189"/>
      <c r="G827" s="189"/>
      <c r="H827" s="189"/>
      <c r="I827" s="189"/>
    </row>
    <row r="828">
      <c r="A828" s="189"/>
      <c r="B828" s="189"/>
      <c r="C828" s="189"/>
      <c r="D828" s="189"/>
      <c r="E828" s="189"/>
      <c r="F828" s="189"/>
      <c r="G828" s="189"/>
      <c r="H828" s="189"/>
      <c r="I828" s="189"/>
    </row>
    <row r="829">
      <c r="A829" s="189"/>
      <c r="B829" s="189"/>
      <c r="C829" s="189"/>
      <c r="D829" s="189"/>
      <c r="E829" s="189"/>
      <c r="F829" s="189"/>
      <c r="G829" s="189"/>
      <c r="H829" s="189"/>
      <c r="I829" s="189"/>
    </row>
    <row r="830">
      <c r="A830" s="189"/>
      <c r="B830" s="189"/>
      <c r="C830" s="189"/>
      <c r="D830" s="189"/>
      <c r="E830" s="189"/>
      <c r="F830" s="189"/>
      <c r="G830" s="189"/>
      <c r="H830" s="189"/>
      <c r="I830" s="189"/>
    </row>
    <row r="831">
      <c r="A831" s="189"/>
      <c r="B831" s="189"/>
      <c r="C831" s="189"/>
      <c r="D831" s="189"/>
      <c r="E831" s="189"/>
      <c r="F831" s="189"/>
      <c r="G831" s="189"/>
      <c r="H831" s="189"/>
      <c r="I831" s="189"/>
    </row>
    <row r="832">
      <c r="A832" s="189"/>
      <c r="B832" s="189"/>
      <c r="C832" s="189"/>
      <c r="D832" s="189"/>
      <c r="E832" s="189"/>
      <c r="F832" s="189"/>
      <c r="G832" s="189"/>
      <c r="H832" s="189"/>
      <c r="I832" s="189"/>
    </row>
    <row r="833">
      <c r="A833" s="189"/>
      <c r="B833" s="189"/>
      <c r="C833" s="189"/>
      <c r="D833" s="189"/>
      <c r="E833" s="189"/>
      <c r="F833" s="189"/>
      <c r="G833" s="189"/>
      <c r="H833" s="189"/>
      <c r="I833" s="189"/>
    </row>
    <row r="834">
      <c r="A834" s="189"/>
      <c r="B834" s="189"/>
      <c r="C834" s="189"/>
      <c r="D834" s="189"/>
      <c r="E834" s="189"/>
      <c r="F834" s="189"/>
      <c r="G834" s="189"/>
      <c r="H834" s="189"/>
      <c r="I834" s="189"/>
    </row>
    <row r="835">
      <c r="A835" s="189"/>
      <c r="B835" s="189"/>
      <c r="C835" s="189"/>
      <c r="D835" s="189"/>
      <c r="E835" s="189"/>
      <c r="F835" s="189"/>
      <c r="G835" s="189"/>
      <c r="H835" s="189"/>
      <c r="I835" s="189"/>
    </row>
    <row r="836">
      <c r="A836" s="189"/>
      <c r="B836" s="189"/>
      <c r="C836" s="189"/>
      <c r="D836" s="189"/>
      <c r="E836" s="189"/>
      <c r="F836" s="189"/>
      <c r="G836" s="189"/>
      <c r="H836" s="189"/>
      <c r="I836" s="189"/>
    </row>
    <row r="837">
      <c r="A837" s="189"/>
      <c r="B837" s="189"/>
      <c r="C837" s="189"/>
      <c r="D837" s="189"/>
      <c r="E837" s="189"/>
      <c r="F837" s="189"/>
      <c r="G837" s="189"/>
      <c r="H837" s="189"/>
      <c r="I837" s="189"/>
    </row>
    <row r="838">
      <c r="A838" s="189"/>
      <c r="B838" s="189"/>
      <c r="C838" s="189"/>
      <c r="D838" s="189"/>
      <c r="E838" s="189"/>
      <c r="F838" s="189"/>
      <c r="G838" s="189"/>
      <c r="H838" s="189"/>
      <c r="I838" s="189"/>
    </row>
    <row r="839">
      <c r="A839" s="189"/>
      <c r="B839" s="189"/>
      <c r="C839" s="189"/>
      <c r="D839" s="189"/>
      <c r="E839" s="189"/>
      <c r="F839" s="189"/>
      <c r="G839" s="189"/>
      <c r="H839" s="189"/>
      <c r="I839" s="189"/>
    </row>
    <row r="840">
      <c r="A840" s="189"/>
      <c r="B840" s="189"/>
      <c r="C840" s="189"/>
      <c r="D840" s="189"/>
      <c r="E840" s="189"/>
      <c r="F840" s="189"/>
      <c r="G840" s="189"/>
      <c r="H840" s="189"/>
      <c r="I840" s="189"/>
    </row>
    <row r="841">
      <c r="A841" s="189"/>
      <c r="B841" s="189"/>
      <c r="C841" s="189"/>
      <c r="D841" s="189"/>
      <c r="E841" s="189"/>
      <c r="F841" s="189"/>
      <c r="G841" s="189"/>
      <c r="H841" s="189"/>
      <c r="I841" s="189"/>
    </row>
    <row r="842">
      <c r="A842" s="189"/>
      <c r="B842" s="189"/>
      <c r="C842" s="189"/>
      <c r="D842" s="189"/>
      <c r="E842" s="189"/>
      <c r="F842" s="189"/>
      <c r="G842" s="189"/>
      <c r="H842" s="189"/>
      <c r="I842" s="189"/>
    </row>
    <row r="843">
      <c r="A843" s="189"/>
      <c r="B843" s="189"/>
      <c r="C843" s="189"/>
      <c r="D843" s="189"/>
      <c r="E843" s="189"/>
      <c r="F843" s="189"/>
      <c r="G843" s="189"/>
      <c r="H843" s="189"/>
      <c r="I843" s="189"/>
    </row>
    <row r="844">
      <c r="A844" s="189"/>
      <c r="B844" s="189"/>
      <c r="C844" s="189"/>
      <c r="D844" s="189"/>
      <c r="E844" s="189"/>
      <c r="F844" s="189"/>
      <c r="G844" s="189"/>
      <c r="H844" s="189"/>
      <c r="I844" s="189"/>
    </row>
    <row r="845">
      <c r="A845" s="189"/>
      <c r="B845" s="189"/>
      <c r="C845" s="189"/>
      <c r="D845" s="189"/>
      <c r="E845" s="189"/>
      <c r="F845" s="189"/>
      <c r="G845" s="189"/>
      <c r="H845" s="189"/>
      <c r="I845" s="189"/>
    </row>
    <row r="846">
      <c r="A846" s="189"/>
      <c r="B846" s="189"/>
      <c r="C846" s="189"/>
      <c r="D846" s="189"/>
      <c r="E846" s="189"/>
      <c r="F846" s="189"/>
      <c r="G846" s="189"/>
      <c r="H846" s="189"/>
      <c r="I846" s="189"/>
    </row>
    <row r="847">
      <c r="A847" s="189"/>
      <c r="B847" s="189"/>
      <c r="C847" s="189"/>
      <c r="D847" s="189"/>
      <c r="E847" s="189"/>
      <c r="F847" s="189"/>
      <c r="G847" s="189"/>
      <c r="H847" s="189"/>
      <c r="I847" s="189"/>
    </row>
    <row r="848">
      <c r="A848" s="189"/>
      <c r="B848" s="189"/>
      <c r="C848" s="189"/>
      <c r="D848" s="189"/>
      <c r="E848" s="189"/>
      <c r="F848" s="189"/>
      <c r="G848" s="189"/>
      <c r="H848" s="189"/>
      <c r="I848" s="189"/>
    </row>
    <row r="849">
      <c r="A849" s="189"/>
      <c r="B849" s="189"/>
      <c r="C849" s="189"/>
      <c r="D849" s="189"/>
      <c r="E849" s="189"/>
      <c r="F849" s="189"/>
      <c r="G849" s="189"/>
      <c r="H849" s="189"/>
      <c r="I849" s="189"/>
    </row>
    <row r="850">
      <c r="A850" s="189"/>
      <c r="B850" s="189"/>
      <c r="C850" s="189"/>
      <c r="D850" s="189"/>
      <c r="E850" s="189"/>
      <c r="F850" s="189"/>
      <c r="G850" s="189"/>
      <c r="H850" s="189"/>
      <c r="I850" s="189"/>
    </row>
    <row r="851">
      <c r="A851" s="189"/>
      <c r="B851" s="189"/>
      <c r="C851" s="189"/>
      <c r="D851" s="189"/>
      <c r="E851" s="189"/>
      <c r="F851" s="189"/>
      <c r="G851" s="189"/>
      <c r="H851" s="189"/>
      <c r="I851" s="189"/>
    </row>
    <row r="852">
      <c r="A852" s="189"/>
      <c r="B852" s="189"/>
      <c r="C852" s="189"/>
      <c r="D852" s="189"/>
      <c r="E852" s="189"/>
      <c r="F852" s="189"/>
      <c r="G852" s="189"/>
      <c r="H852" s="189"/>
      <c r="I852" s="189"/>
    </row>
    <row r="853">
      <c r="A853" s="189"/>
      <c r="B853" s="189"/>
      <c r="C853" s="189"/>
      <c r="D853" s="189"/>
      <c r="E853" s="189"/>
      <c r="F853" s="189"/>
      <c r="G853" s="189"/>
      <c r="H853" s="189"/>
      <c r="I853" s="189"/>
    </row>
    <row r="854">
      <c r="A854" s="189"/>
      <c r="B854" s="189"/>
      <c r="C854" s="189"/>
      <c r="D854" s="189"/>
      <c r="E854" s="189"/>
      <c r="F854" s="189"/>
      <c r="G854" s="189"/>
      <c r="H854" s="189"/>
      <c r="I854" s="189"/>
    </row>
    <row r="855">
      <c r="A855" s="189"/>
      <c r="B855" s="189"/>
      <c r="C855" s="189"/>
      <c r="D855" s="189"/>
      <c r="E855" s="189"/>
      <c r="F855" s="189"/>
      <c r="G855" s="189"/>
      <c r="H855" s="189"/>
      <c r="I855" s="189"/>
    </row>
    <row r="856">
      <c r="A856" s="189"/>
      <c r="B856" s="189"/>
      <c r="C856" s="189"/>
      <c r="D856" s="189"/>
      <c r="E856" s="189"/>
      <c r="F856" s="189"/>
      <c r="G856" s="189"/>
      <c r="H856" s="189"/>
      <c r="I856" s="189"/>
    </row>
    <row r="857">
      <c r="A857" s="189"/>
      <c r="B857" s="189"/>
      <c r="C857" s="189"/>
      <c r="D857" s="189"/>
      <c r="E857" s="189"/>
      <c r="F857" s="189"/>
      <c r="G857" s="189"/>
      <c r="H857" s="189"/>
      <c r="I857" s="189"/>
    </row>
    <row r="858">
      <c r="A858" s="189"/>
      <c r="B858" s="189"/>
      <c r="C858" s="189"/>
      <c r="D858" s="189"/>
      <c r="E858" s="189"/>
      <c r="F858" s="189"/>
      <c r="G858" s="189"/>
      <c r="H858" s="189"/>
      <c r="I858" s="189"/>
    </row>
    <row r="859">
      <c r="A859" s="189"/>
      <c r="B859" s="189"/>
      <c r="C859" s="189"/>
      <c r="D859" s="189"/>
      <c r="E859" s="189"/>
      <c r="F859" s="189"/>
      <c r="G859" s="189"/>
      <c r="H859" s="189"/>
      <c r="I859" s="189"/>
    </row>
    <row r="860">
      <c r="A860" s="189"/>
      <c r="B860" s="189"/>
      <c r="C860" s="189"/>
      <c r="D860" s="189"/>
      <c r="E860" s="189"/>
      <c r="F860" s="189"/>
      <c r="G860" s="189"/>
      <c r="H860" s="189"/>
      <c r="I860" s="189"/>
    </row>
    <row r="861">
      <c r="A861" s="189"/>
      <c r="B861" s="189"/>
      <c r="C861" s="189"/>
      <c r="D861" s="189"/>
      <c r="E861" s="189"/>
      <c r="F861" s="189"/>
      <c r="G861" s="189"/>
      <c r="H861" s="189"/>
      <c r="I861" s="189"/>
    </row>
    <row r="862">
      <c r="A862" s="189"/>
      <c r="B862" s="189"/>
      <c r="C862" s="189"/>
      <c r="D862" s="189"/>
      <c r="E862" s="189"/>
      <c r="F862" s="189"/>
      <c r="G862" s="189"/>
      <c r="H862" s="189"/>
      <c r="I862" s="189"/>
    </row>
    <row r="863">
      <c r="A863" s="189"/>
      <c r="B863" s="189"/>
      <c r="C863" s="189"/>
      <c r="D863" s="189"/>
      <c r="E863" s="189"/>
      <c r="F863" s="189"/>
      <c r="G863" s="189"/>
      <c r="H863" s="189"/>
      <c r="I863" s="189"/>
    </row>
    <row r="864">
      <c r="A864" s="189"/>
      <c r="B864" s="189"/>
      <c r="C864" s="189"/>
      <c r="D864" s="189"/>
      <c r="E864" s="189"/>
      <c r="F864" s="189"/>
      <c r="G864" s="189"/>
      <c r="H864" s="189"/>
      <c r="I864" s="189"/>
    </row>
    <row r="865">
      <c r="A865" s="189"/>
      <c r="B865" s="189"/>
      <c r="C865" s="189"/>
      <c r="D865" s="189"/>
      <c r="E865" s="189"/>
      <c r="F865" s="189"/>
      <c r="G865" s="189"/>
      <c r="H865" s="189"/>
      <c r="I865" s="189"/>
    </row>
    <row r="866">
      <c r="A866" s="189"/>
      <c r="B866" s="189"/>
      <c r="C866" s="189"/>
      <c r="D866" s="189"/>
      <c r="E866" s="189"/>
      <c r="F866" s="189"/>
      <c r="G866" s="189"/>
      <c r="H866" s="189"/>
      <c r="I866" s="189"/>
    </row>
    <row r="867">
      <c r="A867" s="189"/>
      <c r="B867" s="189"/>
      <c r="C867" s="189"/>
      <c r="D867" s="189"/>
      <c r="E867" s="189"/>
      <c r="F867" s="189"/>
      <c r="G867" s="189"/>
      <c r="H867" s="189"/>
      <c r="I867" s="189"/>
    </row>
    <row r="868">
      <c r="A868" s="189"/>
      <c r="B868" s="189"/>
      <c r="C868" s="189"/>
      <c r="D868" s="189"/>
      <c r="E868" s="189"/>
      <c r="F868" s="189"/>
      <c r="G868" s="189"/>
      <c r="H868" s="189"/>
      <c r="I868" s="189"/>
    </row>
    <row r="869">
      <c r="A869" s="189"/>
      <c r="B869" s="189"/>
      <c r="C869" s="189"/>
      <c r="D869" s="189"/>
      <c r="E869" s="189"/>
      <c r="F869" s="189"/>
      <c r="G869" s="189"/>
      <c r="H869" s="189"/>
      <c r="I869" s="189"/>
    </row>
    <row r="870">
      <c r="A870" s="189"/>
      <c r="B870" s="189"/>
      <c r="C870" s="189"/>
      <c r="D870" s="189"/>
      <c r="E870" s="189"/>
      <c r="F870" s="189"/>
      <c r="G870" s="189"/>
      <c r="H870" s="189"/>
      <c r="I870" s="189"/>
    </row>
    <row r="871">
      <c r="A871" s="189"/>
      <c r="B871" s="189"/>
      <c r="C871" s="189"/>
      <c r="D871" s="189"/>
      <c r="E871" s="189"/>
      <c r="F871" s="189"/>
      <c r="G871" s="189"/>
      <c r="H871" s="189"/>
      <c r="I871" s="189"/>
    </row>
    <row r="872">
      <c r="A872" s="189"/>
      <c r="B872" s="189"/>
      <c r="C872" s="189"/>
      <c r="D872" s="189"/>
      <c r="E872" s="189"/>
      <c r="F872" s="189"/>
      <c r="G872" s="189"/>
      <c r="H872" s="189"/>
      <c r="I872" s="189"/>
    </row>
    <row r="873">
      <c r="A873" s="189"/>
      <c r="B873" s="189"/>
      <c r="C873" s="189"/>
      <c r="D873" s="189"/>
      <c r="E873" s="189"/>
      <c r="F873" s="189"/>
      <c r="G873" s="189"/>
      <c r="H873" s="189"/>
      <c r="I873" s="189"/>
    </row>
    <row r="874">
      <c r="A874" s="189"/>
      <c r="B874" s="189"/>
      <c r="C874" s="189"/>
      <c r="D874" s="189"/>
      <c r="E874" s="189"/>
      <c r="F874" s="189"/>
      <c r="G874" s="189"/>
      <c r="H874" s="189"/>
      <c r="I874" s="189"/>
    </row>
    <row r="875">
      <c r="A875" s="189"/>
      <c r="B875" s="189"/>
      <c r="C875" s="189"/>
      <c r="D875" s="189"/>
      <c r="E875" s="189"/>
      <c r="F875" s="189"/>
      <c r="G875" s="189"/>
      <c r="H875" s="189"/>
      <c r="I875" s="189"/>
    </row>
    <row r="876">
      <c r="A876" s="189"/>
      <c r="B876" s="189"/>
      <c r="C876" s="189"/>
      <c r="D876" s="189"/>
      <c r="E876" s="189"/>
      <c r="F876" s="189"/>
      <c r="G876" s="189"/>
      <c r="H876" s="189"/>
      <c r="I876" s="189"/>
    </row>
    <row r="877">
      <c r="A877" s="189"/>
      <c r="B877" s="189"/>
      <c r="C877" s="189"/>
      <c r="D877" s="189"/>
      <c r="E877" s="189"/>
      <c r="F877" s="189"/>
      <c r="G877" s="189"/>
      <c r="H877" s="189"/>
      <c r="I877" s="189"/>
    </row>
    <row r="878">
      <c r="A878" s="189"/>
      <c r="B878" s="189"/>
      <c r="C878" s="189"/>
      <c r="D878" s="189"/>
      <c r="E878" s="189"/>
      <c r="F878" s="189"/>
      <c r="G878" s="189"/>
      <c r="H878" s="189"/>
      <c r="I878" s="189"/>
    </row>
    <row r="879">
      <c r="A879" s="189"/>
      <c r="B879" s="189"/>
      <c r="C879" s="189"/>
      <c r="D879" s="189"/>
      <c r="E879" s="189"/>
      <c r="F879" s="189"/>
      <c r="G879" s="189"/>
      <c r="H879" s="189"/>
      <c r="I879" s="189"/>
    </row>
    <row r="880">
      <c r="A880" s="189"/>
      <c r="B880" s="189"/>
      <c r="C880" s="189"/>
      <c r="D880" s="189"/>
      <c r="E880" s="189"/>
      <c r="F880" s="189"/>
      <c r="G880" s="189"/>
      <c r="H880" s="189"/>
      <c r="I880" s="189"/>
    </row>
    <row r="881">
      <c r="A881" s="189"/>
      <c r="B881" s="189"/>
      <c r="C881" s="189"/>
      <c r="D881" s="189"/>
      <c r="E881" s="189"/>
      <c r="F881" s="189"/>
      <c r="G881" s="189"/>
      <c r="H881" s="189"/>
      <c r="I881" s="189"/>
    </row>
    <row r="882">
      <c r="A882" s="189"/>
      <c r="B882" s="189"/>
      <c r="C882" s="189"/>
      <c r="D882" s="189"/>
      <c r="E882" s="189"/>
      <c r="F882" s="189"/>
      <c r="G882" s="189"/>
      <c r="H882" s="189"/>
      <c r="I882" s="189"/>
    </row>
    <row r="883">
      <c r="A883" s="189"/>
      <c r="B883" s="189"/>
      <c r="C883" s="189"/>
      <c r="D883" s="189"/>
      <c r="E883" s="189"/>
      <c r="F883" s="189"/>
      <c r="G883" s="189"/>
      <c r="H883" s="189"/>
      <c r="I883" s="189"/>
    </row>
    <row r="884">
      <c r="A884" s="189"/>
      <c r="B884" s="189"/>
      <c r="C884" s="189"/>
      <c r="D884" s="189"/>
      <c r="E884" s="189"/>
      <c r="F884" s="189"/>
      <c r="G884" s="189"/>
      <c r="H884" s="189"/>
      <c r="I884" s="189"/>
    </row>
    <row r="885">
      <c r="A885" s="189"/>
      <c r="B885" s="189"/>
      <c r="C885" s="189"/>
      <c r="D885" s="189"/>
      <c r="E885" s="189"/>
      <c r="F885" s="189"/>
      <c r="G885" s="189"/>
      <c r="H885" s="189"/>
      <c r="I885" s="189"/>
    </row>
    <row r="886">
      <c r="A886" s="189"/>
      <c r="B886" s="189"/>
      <c r="C886" s="189"/>
      <c r="D886" s="189"/>
      <c r="E886" s="189"/>
      <c r="F886" s="189"/>
      <c r="G886" s="189"/>
      <c r="H886" s="189"/>
      <c r="I886" s="189"/>
    </row>
    <row r="887">
      <c r="A887" s="189"/>
      <c r="B887" s="189"/>
      <c r="C887" s="189"/>
      <c r="D887" s="189"/>
      <c r="E887" s="189"/>
      <c r="F887" s="189"/>
      <c r="G887" s="189"/>
      <c r="H887" s="189"/>
      <c r="I887" s="189"/>
    </row>
    <row r="888">
      <c r="A888" s="189"/>
      <c r="B888" s="189"/>
      <c r="C888" s="189"/>
      <c r="D888" s="189"/>
      <c r="E888" s="189"/>
      <c r="F888" s="189"/>
      <c r="G888" s="189"/>
      <c r="H888" s="189"/>
      <c r="I888" s="189"/>
    </row>
    <row r="889">
      <c r="A889" s="189"/>
      <c r="B889" s="189"/>
      <c r="C889" s="189"/>
      <c r="D889" s="189"/>
      <c r="E889" s="189"/>
      <c r="F889" s="189"/>
      <c r="G889" s="189"/>
      <c r="H889" s="189"/>
      <c r="I889" s="189"/>
    </row>
    <row r="890">
      <c r="A890" s="189"/>
      <c r="B890" s="189"/>
      <c r="C890" s="189"/>
      <c r="D890" s="189"/>
      <c r="E890" s="189"/>
      <c r="F890" s="189"/>
      <c r="G890" s="189"/>
      <c r="H890" s="189"/>
      <c r="I890" s="189"/>
    </row>
    <row r="891">
      <c r="A891" s="189"/>
      <c r="B891" s="189"/>
      <c r="C891" s="189"/>
      <c r="D891" s="189"/>
      <c r="E891" s="189"/>
      <c r="F891" s="189"/>
      <c r="G891" s="189"/>
      <c r="H891" s="189"/>
      <c r="I891" s="189"/>
    </row>
    <row r="892">
      <c r="A892" s="189"/>
      <c r="B892" s="189"/>
      <c r="C892" s="189"/>
      <c r="D892" s="189"/>
      <c r="E892" s="189"/>
      <c r="F892" s="189"/>
      <c r="G892" s="189"/>
      <c r="H892" s="189"/>
      <c r="I892" s="189"/>
    </row>
    <row r="893">
      <c r="A893" s="189"/>
      <c r="B893" s="189"/>
      <c r="C893" s="189"/>
      <c r="D893" s="189"/>
      <c r="E893" s="189"/>
      <c r="F893" s="189"/>
      <c r="G893" s="189"/>
      <c r="H893" s="189"/>
      <c r="I893" s="189"/>
    </row>
    <row r="894">
      <c r="A894" s="189"/>
      <c r="B894" s="189"/>
      <c r="C894" s="189"/>
      <c r="D894" s="189"/>
      <c r="E894" s="189"/>
      <c r="F894" s="189"/>
      <c r="G894" s="189"/>
      <c r="H894" s="189"/>
      <c r="I894" s="189"/>
    </row>
    <row r="895">
      <c r="A895" s="189"/>
      <c r="B895" s="189"/>
      <c r="C895" s="189"/>
      <c r="D895" s="189"/>
      <c r="E895" s="189"/>
      <c r="F895" s="189"/>
      <c r="G895" s="189"/>
      <c r="H895" s="189"/>
      <c r="I895" s="189"/>
    </row>
    <row r="896">
      <c r="A896" s="189"/>
      <c r="B896" s="189"/>
      <c r="C896" s="189"/>
      <c r="D896" s="189"/>
      <c r="E896" s="189"/>
      <c r="F896" s="189"/>
      <c r="G896" s="189"/>
      <c r="H896" s="189"/>
      <c r="I896" s="189"/>
    </row>
    <row r="897">
      <c r="A897" s="189"/>
      <c r="B897" s="189"/>
      <c r="C897" s="189"/>
      <c r="D897" s="189"/>
      <c r="E897" s="189"/>
      <c r="F897" s="189"/>
      <c r="G897" s="189"/>
      <c r="H897" s="189"/>
      <c r="I897" s="189"/>
    </row>
    <row r="898">
      <c r="A898" s="189"/>
      <c r="B898" s="189"/>
      <c r="C898" s="189"/>
      <c r="D898" s="189"/>
      <c r="E898" s="189"/>
      <c r="F898" s="189"/>
      <c r="G898" s="189"/>
      <c r="H898" s="189"/>
      <c r="I898" s="189"/>
    </row>
    <row r="899">
      <c r="A899" s="189"/>
      <c r="B899" s="189"/>
      <c r="C899" s="189"/>
      <c r="D899" s="189"/>
      <c r="E899" s="189"/>
      <c r="F899" s="189"/>
      <c r="G899" s="189"/>
      <c r="H899" s="189"/>
      <c r="I899" s="189"/>
    </row>
    <row r="900">
      <c r="A900" s="189"/>
      <c r="B900" s="189"/>
      <c r="C900" s="189"/>
      <c r="D900" s="189"/>
      <c r="E900" s="189"/>
      <c r="F900" s="189"/>
      <c r="G900" s="189"/>
      <c r="H900" s="189"/>
      <c r="I900" s="189"/>
    </row>
    <row r="901">
      <c r="A901" s="189"/>
      <c r="B901" s="189"/>
      <c r="C901" s="189"/>
      <c r="D901" s="189"/>
      <c r="E901" s="189"/>
      <c r="F901" s="189"/>
      <c r="G901" s="189"/>
      <c r="H901" s="189"/>
      <c r="I901" s="189"/>
    </row>
    <row r="902">
      <c r="A902" s="189"/>
      <c r="B902" s="189"/>
      <c r="C902" s="189"/>
      <c r="D902" s="189"/>
      <c r="E902" s="189"/>
      <c r="F902" s="189"/>
      <c r="G902" s="189"/>
      <c r="H902" s="189"/>
      <c r="I902" s="189"/>
    </row>
    <row r="903">
      <c r="A903" s="189"/>
      <c r="B903" s="189"/>
      <c r="C903" s="189"/>
      <c r="D903" s="189"/>
      <c r="E903" s="189"/>
      <c r="F903" s="189"/>
      <c r="G903" s="189"/>
      <c r="H903" s="189"/>
      <c r="I903" s="189"/>
    </row>
    <row r="904">
      <c r="A904" s="189"/>
      <c r="B904" s="189"/>
      <c r="C904" s="189"/>
      <c r="D904" s="189"/>
      <c r="E904" s="189"/>
      <c r="F904" s="189"/>
      <c r="G904" s="189"/>
      <c r="H904" s="189"/>
      <c r="I904" s="189"/>
    </row>
    <row r="905">
      <c r="A905" s="189"/>
      <c r="B905" s="189"/>
      <c r="C905" s="189"/>
      <c r="D905" s="189"/>
      <c r="E905" s="189"/>
      <c r="F905" s="189"/>
      <c r="G905" s="189"/>
      <c r="H905" s="189"/>
      <c r="I905" s="189"/>
    </row>
    <row r="906">
      <c r="A906" s="189"/>
      <c r="B906" s="189"/>
      <c r="C906" s="189"/>
      <c r="D906" s="189"/>
      <c r="E906" s="189"/>
      <c r="F906" s="189"/>
      <c r="G906" s="189"/>
      <c r="H906" s="189"/>
      <c r="I906" s="189"/>
    </row>
    <row r="907">
      <c r="A907" s="189"/>
      <c r="B907" s="189"/>
      <c r="C907" s="189"/>
      <c r="D907" s="189"/>
      <c r="E907" s="189"/>
      <c r="F907" s="189"/>
      <c r="G907" s="189"/>
      <c r="H907" s="189"/>
      <c r="I907" s="189"/>
    </row>
    <row r="908">
      <c r="A908" s="189"/>
      <c r="B908" s="189"/>
      <c r="C908" s="189"/>
      <c r="D908" s="189"/>
      <c r="E908" s="189"/>
      <c r="F908" s="189"/>
      <c r="G908" s="189"/>
      <c r="H908" s="189"/>
      <c r="I908" s="189"/>
    </row>
    <row r="909">
      <c r="A909" s="189"/>
      <c r="B909" s="189"/>
      <c r="C909" s="189"/>
      <c r="D909" s="189"/>
      <c r="E909" s="189"/>
      <c r="F909" s="189"/>
      <c r="G909" s="189"/>
      <c r="H909" s="189"/>
      <c r="I909" s="189"/>
    </row>
    <row r="910">
      <c r="A910" s="189"/>
      <c r="B910" s="189"/>
      <c r="C910" s="189"/>
      <c r="D910" s="189"/>
      <c r="E910" s="189"/>
      <c r="F910" s="189"/>
      <c r="G910" s="189"/>
      <c r="H910" s="189"/>
      <c r="I910" s="189"/>
    </row>
    <row r="911">
      <c r="A911" s="189"/>
      <c r="B911" s="189"/>
      <c r="C911" s="189"/>
      <c r="D911" s="189"/>
      <c r="E911" s="189"/>
      <c r="F911" s="189"/>
      <c r="G911" s="189"/>
      <c r="H911" s="189"/>
      <c r="I911" s="189"/>
    </row>
    <row r="912">
      <c r="A912" s="189"/>
      <c r="B912" s="189"/>
      <c r="C912" s="189"/>
      <c r="D912" s="189"/>
      <c r="E912" s="189"/>
      <c r="F912" s="189"/>
      <c r="G912" s="189"/>
      <c r="H912" s="189"/>
      <c r="I912" s="189"/>
    </row>
    <row r="913">
      <c r="A913" s="189"/>
      <c r="B913" s="189"/>
      <c r="C913" s="189"/>
      <c r="D913" s="189"/>
      <c r="E913" s="189"/>
      <c r="F913" s="189"/>
      <c r="G913" s="189"/>
      <c r="H913" s="189"/>
      <c r="I913" s="189"/>
    </row>
    <row r="914">
      <c r="A914" s="189"/>
      <c r="B914" s="189"/>
      <c r="C914" s="189"/>
      <c r="D914" s="189"/>
      <c r="E914" s="189"/>
      <c r="F914" s="189"/>
      <c r="G914" s="189"/>
      <c r="H914" s="189"/>
      <c r="I914" s="189"/>
    </row>
    <row r="915">
      <c r="A915" s="189"/>
      <c r="B915" s="189"/>
      <c r="C915" s="189"/>
      <c r="D915" s="189"/>
      <c r="E915" s="189"/>
      <c r="F915" s="189"/>
      <c r="G915" s="189"/>
      <c r="H915" s="189"/>
      <c r="I915" s="189"/>
    </row>
    <row r="916">
      <c r="A916" s="189"/>
      <c r="B916" s="189"/>
      <c r="C916" s="189"/>
      <c r="D916" s="189"/>
      <c r="E916" s="189"/>
      <c r="F916" s="189"/>
      <c r="G916" s="189"/>
      <c r="H916" s="189"/>
      <c r="I916" s="189"/>
    </row>
    <row r="917">
      <c r="A917" s="189"/>
      <c r="B917" s="189"/>
      <c r="C917" s="189"/>
      <c r="D917" s="189"/>
      <c r="E917" s="189"/>
      <c r="F917" s="189"/>
      <c r="G917" s="189"/>
      <c r="H917" s="189"/>
      <c r="I917" s="189"/>
    </row>
    <row r="918">
      <c r="A918" s="189"/>
      <c r="B918" s="189"/>
      <c r="C918" s="189"/>
      <c r="D918" s="189"/>
      <c r="E918" s="189"/>
      <c r="F918" s="189"/>
      <c r="G918" s="189"/>
      <c r="H918" s="189"/>
      <c r="I918" s="189"/>
    </row>
    <row r="919">
      <c r="A919" s="189"/>
      <c r="B919" s="189"/>
      <c r="C919" s="189"/>
      <c r="D919" s="189"/>
      <c r="E919" s="189"/>
      <c r="F919" s="189"/>
      <c r="G919" s="189"/>
      <c r="H919" s="189"/>
      <c r="I919" s="189"/>
    </row>
    <row r="920">
      <c r="A920" s="189"/>
      <c r="B920" s="189"/>
      <c r="C920" s="189"/>
      <c r="D920" s="189"/>
      <c r="E920" s="189"/>
      <c r="F920" s="189"/>
      <c r="G920" s="189"/>
      <c r="H920" s="189"/>
      <c r="I920" s="189"/>
    </row>
    <row r="921">
      <c r="A921" s="189"/>
      <c r="B921" s="189"/>
      <c r="C921" s="189"/>
      <c r="D921" s="189"/>
      <c r="E921" s="189"/>
      <c r="F921" s="189"/>
      <c r="G921" s="189"/>
      <c r="H921" s="189"/>
      <c r="I921" s="189"/>
    </row>
    <row r="922">
      <c r="A922" s="189"/>
      <c r="B922" s="189"/>
      <c r="C922" s="189"/>
      <c r="D922" s="189"/>
      <c r="E922" s="189"/>
      <c r="F922" s="189"/>
      <c r="G922" s="189"/>
      <c r="H922" s="189"/>
      <c r="I922" s="189"/>
    </row>
    <row r="923">
      <c r="A923" s="189"/>
      <c r="B923" s="189"/>
      <c r="C923" s="189"/>
      <c r="D923" s="189"/>
      <c r="E923" s="189"/>
      <c r="F923" s="189"/>
      <c r="G923" s="189"/>
      <c r="H923" s="189"/>
      <c r="I923" s="189"/>
    </row>
    <row r="924">
      <c r="A924" s="189"/>
      <c r="B924" s="189"/>
      <c r="C924" s="189"/>
      <c r="D924" s="189"/>
      <c r="E924" s="189"/>
      <c r="F924" s="189"/>
      <c r="G924" s="189"/>
      <c r="H924" s="189"/>
      <c r="I924" s="189"/>
    </row>
    <row r="925">
      <c r="A925" s="189"/>
      <c r="B925" s="189"/>
      <c r="C925" s="189"/>
      <c r="D925" s="189"/>
      <c r="E925" s="189"/>
      <c r="F925" s="189"/>
      <c r="G925" s="189"/>
      <c r="H925" s="189"/>
      <c r="I925" s="189"/>
    </row>
    <row r="926">
      <c r="A926" s="189"/>
      <c r="B926" s="189"/>
      <c r="C926" s="189"/>
      <c r="D926" s="189"/>
      <c r="E926" s="189"/>
      <c r="F926" s="189"/>
      <c r="G926" s="189"/>
      <c r="H926" s="189"/>
      <c r="I926" s="189"/>
    </row>
    <row r="927">
      <c r="A927" s="189"/>
      <c r="B927" s="189"/>
      <c r="C927" s="189"/>
      <c r="D927" s="189"/>
      <c r="E927" s="189"/>
      <c r="F927" s="189"/>
      <c r="G927" s="189"/>
      <c r="H927" s="189"/>
      <c r="I927" s="189"/>
    </row>
    <row r="928">
      <c r="A928" s="189"/>
      <c r="B928" s="189"/>
      <c r="C928" s="189"/>
      <c r="D928" s="189"/>
      <c r="E928" s="189"/>
      <c r="F928" s="189"/>
      <c r="G928" s="189"/>
      <c r="H928" s="189"/>
      <c r="I928" s="189"/>
    </row>
    <row r="929">
      <c r="A929" s="189"/>
      <c r="B929" s="189"/>
      <c r="C929" s="189"/>
      <c r="D929" s="189"/>
      <c r="E929" s="189"/>
      <c r="F929" s="189"/>
      <c r="G929" s="189"/>
      <c r="H929" s="189"/>
      <c r="I929" s="189"/>
    </row>
    <row r="930">
      <c r="A930" s="189"/>
      <c r="B930" s="189"/>
      <c r="C930" s="189"/>
      <c r="D930" s="189"/>
      <c r="E930" s="189"/>
      <c r="F930" s="189"/>
      <c r="G930" s="189"/>
      <c r="H930" s="189"/>
      <c r="I930" s="189"/>
    </row>
    <row r="931">
      <c r="A931" s="189"/>
      <c r="B931" s="189"/>
      <c r="C931" s="189"/>
      <c r="D931" s="189"/>
      <c r="E931" s="189"/>
      <c r="F931" s="189"/>
      <c r="G931" s="189"/>
      <c r="H931" s="189"/>
      <c r="I931" s="189"/>
    </row>
    <row r="932">
      <c r="A932" s="189"/>
      <c r="B932" s="189"/>
      <c r="C932" s="189"/>
      <c r="D932" s="189"/>
      <c r="E932" s="189"/>
      <c r="F932" s="189"/>
      <c r="G932" s="189"/>
      <c r="H932" s="189"/>
      <c r="I932" s="189"/>
    </row>
    <row r="933">
      <c r="A933" s="189"/>
      <c r="B933" s="189"/>
      <c r="C933" s="189"/>
      <c r="D933" s="189"/>
      <c r="E933" s="189"/>
      <c r="F933" s="189"/>
      <c r="G933" s="189"/>
      <c r="H933" s="189"/>
      <c r="I933" s="189"/>
    </row>
    <row r="934">
      <c r="A934" s="189"/>
      <c r="B934" s="189"/>
      <c r="C934" s="189"/>
      <c r="D934" s="189"/>
      <c r="E934" s="189"/>
      <c r="F934" s="189"/>
      <c r="G934" s="189"/>
      <c r="H934" s="189"/>
      <c r="I934" s="189"/>
    </row>
    <row r="935">
      <c r="A935" s="189"/>
      <c r="B935" s="189"/>
      <c r="C935" s="189"/>
      <c r="D935" s="189"/>
      <c r="E935" s="189"/>
      <c r="F935" s="189"/>
      <c r="G935" s="189"/>
      <c r="H935" s="189"/>
      <c r="I935" s="189"/>
    </row>
    <row r="936">
      <c r="A936" s="189"/>
      <c r="B936" s="189"/>
      <c r="C936" s="189"/>
      <c r="D936" s="189"/>
      <c r="E936" s="189"/>
      <c r="F936" s="189"/>
      <c r="G936" s="189"/>
      <c r="H936" s="189"/>
      <c r="I936" s="189"/>
    </row>
    <row r="937">
      <c r="A937" s="189"/>
      <c r="B937" s="189"/>
      <c r="C937" s="189"/>
      <c r="D937" s="189"/>
      <c r="E937" s="189"/>
      <c r="F937" s="189"/>
      <c r="G937" s="189"/>
      <c r="H937" s="189"/>
      <c r="I937" s="189"/>
    </row>
    <row r="938">
      <c r="A938" s="189"/>
      <c r="B938" s="189"/>
      <c r="C938" s="189"/>
      <c r="D938" s="189"/>
      <c r="E938" s="189"/>
      <c r="F938" s="189"/>
      <c r="G938" s="189"/>
      <c r="H938" s="189"/>
      <c r="I938" s="189"/>
    </row>
    <row r="939">
      <c r="A939" s="189"/>
      <c r="B939" s="189"/>
      <c r="C939" s="189"/>
      <c r="D939" s="189"/>
      <c r="E939" s="189"/>
      <c r="F939" s="189"/>
      <c r="G939" s="189"/>
      <c r="H939" s="189"/>
      <c r="I939" s="189"/>
    </row>
    <row r="940">
      <c r="A940" s="189"/>
      <c r="B940" s="189"/>
      <c r="C940" s="189"/>
      <c r="D940" s="189"/>
      <c r="E940" s="189"/>
      <c r="F940" s="189"/>
      <c r="G940" s="189"/>
      <c r="H940" s="189"/>
      <c r="I940" s="189"/>
    </row>
    <row r="941">
      <c r="A941" s="189"/>
      <c r="B941" s="189"/>
      <c r="C941" s="189"/>
      <c r="D941" s="189"/>
      <c r="E941" s="189"/>
      <c r="F941" s="189"/>
      <c r="G941" s="189"/>
      <c r="H941" s="189"/>
      <c r="I941" s="189"/>
    </row>
    <row r="942">
      <c r="A942" s="189"/>
      <c r="B942" s="189"/>
      <c r="C942" s="189"/>
      <c r="D942" s="189"/>
      <c r="E942" s="189"/>
      <c r="F942" s="189"/>
      <c r="G942" s="189"/>
      <c r="H942" s="189"/>
      <c r="I942" s="189"/>
    </row>
    <row r="943">
      <c r="A943" s="189"/>
      <c r="B943" s="189"/>
      <c r="C943" s="189"/>
      <c r="D943" s="189"/>
      <c r="E943" s="189"/>
      <c r="F943" s="189"/>
      <c r="G943" s="189"/>
      <c r="H943" s="189"/>
      <c r="I943" s="189"/>
    </row>
    <row r="944">
      <c r="A944" s="189"/>
      <c r="B944" s="189"/>
      <c r="C944" s="189"/>
      <c r="D944" s="189"/>
      <c r="E944" s="189"/>
      <c r="F944" s="189"/>
      <c r="G944" s="189"/>
      <c r="H944" s="189"/>
      <c r="I944" s="189"/>
    </row>
    <row r="945">
      <c r="A945" s="189"/>
      <c r="B945" s="189"/>
      <c r="C945" s="189"/>
      <c r="D945" s="189"/>
      <c r="E945" s="189"/>
      <c r="F945" s="189"/>
      <c r="G945" s="189"/>
      <c r="H945" s="189"/>
      <c r="I945" s="189"/>
    </row>
    <row r="946">
      <c r="A946" s="189"/>
      <c r="B946" s="189"/>
      <c r="C946" s="189"/>
      <c r="D946" s="189"/>
      <c r="E946" s="189"/>
      <c r="F946" s="189"/>
      <c r="G946" s="189"/>
      <c r="H946" s="189"/>
      <c r="I946" s="189"/>
    </row>
    <row r="947">
      <c r="A947" s="189"/>
      <c r="B947" s="189"/>
      <c r="C947" s="189"/>
      <c r="D947" s="189"/>
      <c r="E947" s="189"/>
      <c r="F947" s="189"/>
      <c r="G947" s="189"/>
      <c r="H947" s="189"/>
      <c r="I947" s="189"/>
    </row>
    <row r="948">
      <c r="A948" s="189"/>
      <c r="B948" s="189"/>
      <c r="C948" s="189"/>
      <c r="D948" s="189"/>
      <c r="E948" s="189"/>
      <c r="F948" s="189"/>
      <c r="G948" s="189"/>
      <c r="H948" s="189"/>
      <c r="I948" s="189"/>
    </row>
    <row r="949">
      <c r="A949" s="189"/>
      <c r="B949" s="189"/>
      <c r="C949" s="189"/>
      <c r="D949" s="189"/>
      <c r="E949" s="189"/>
      <c r="F949" s="189"/>
      <c r="G949" s="189"/>
      <c r="H949" s="189"/>
      <c r="I949" s="189"/>
    </row>
    <row r="950">
      <c r="A950" s="189"/>
      <c r="B950" s="189"/>
      <c r="C950" s="189"/>
      <c r="D950" s="189"/>
      <c r="E950" s="189"/>
      <c r="F950" s="189"/>
      <c r="G950" s="189"/>
      <c r="H950" s="189"/>
      <c r="I950" s="189"/>
    </row>
    <row r="951">
      <c r="A951" s="189"/>
      <c r="B951" s="189"/>
      <c r="C951" s="189"/>
      <c r="D951" s="189"/>
      <c r="E951" s="189"/>
      <c r="F951" s="189"/>
      <c r="G951" s="189"/>
      <c r="H951" s="189"/>
      <c r="I951" s="189"/>
    </row>
    <row r="952">
      <c r="A952" s="189"/>
      <c r="B952" s="189"/>
      <c r="C952" s="189"/>
      <c r="D952" s="189"/>
      <c r="E952" s="189"/>
      <c r="F952" s="189"/>
      <c r="G952" s="189"/>
      <c r="H952" s="189"/>
      <c r="I952" s="189"/>
    </row>
    <row r="953">
      <c r="A953" s="189"/>
      <c r="B953" s="189"/>
      <c r="C953" s="189"/>
      <c r="D953" s="189"/>
      <c r="E953" s="189"/>
      <c r="F953" s="189"/>
      <c r="G953" s="189"/>
      <c r="H953" s="189"/>
      <c r="I953" s="189"/>
    </row>
    <row r="954">
      <c r="A954" s="189"/>
      <c r="B954" s="189"/>
      <c r="C954" s="189"/>
      <c r="D954" s="189"/>
      <c r="E954" s="189"/>
      <c r="F954" s="189"/>
      <c r="G954" s="189"/>
      <c r="H954" s="189"/>
      <c r="I954" s="189"/>
    </row>
    <row r="955">
      <c r="A955" s="189"/>
      <c r="B955" s="189"/>
      <c r="C955" s="189"/>
      <c r="D955" s="189"/>
      <c r="E955" s="189"/>
      <c r="F955" s="189"/>
      <c r="G955" s="189"/>
      <c r="H955" s="189"/>
      <c r="I955" s="189"/>
    </row>
    <row r="956">
      <c r="A956" s="189"/>
      <c r="B956" s="189"/>
      <c r="C956" s="189"/>
      <c r="D956" s="189"/>
      <c r="E956" s="189"/>
      <c r="F956" s="189"/>
      <c r="G956" s="189"/>
      <c r="H956" s="189"/>
      <c r="I956" s="189"/>
    </row>
    <row r="957">
      <c r="A957" s="189"/>
      <c r="B957" s="189"/>
      <c r="C957" s="189"/>
      <c r="D957" s="189"/>
      <c r="E957" s="189"/>
      <c r="F957" s="189"/>
      <c r="G957" s="189"/>
      <c r="H957" s="189"/>
      <c r="I957" s="189"/>
    </row>
    <row r="958">
      <c r="A958" s="189"/>
      <c r="B958" s="189"/>
      <c r="C958" s="189"/>
      <c r="D958" s="189"/>
      <c r="E958" s="189"/>
      <c r="F958" s="189"/>
      <c r="G958" s="189"/>
      <c r="H958" s="189"/>
      <c r="I958" s="189"/>
    </row>
    <row r="959">
      <c r="A959" s="189"/>
      <c r="B959" s="189"/>
      <c r="C959" s="189"/>
      <c r="D959" s="189"/>
      <c r="E959" s="189"/>
      <c r="F959" s="189"/>
      <c r="G959" s="189"/>
      <c r="H959" s="189"/>
      <c r="I959" s="189"/>
    </row>
    <row r="960">
      <c r="A960" s="189"/>
      <c r="B960" s="189"/>
      <c r="C960" s="189"/>
      <c r="D960" s="189"/>
      <c r="E960" s="189"/>
      <c r="F960" s="189"/>
      <c r="G960" s="189"/>
      <c r="H960" s="189"/>
      <c r="I960" s="189"/>
    </row>
    <row r="961">
      <c r="A961" s="189"/>
      <c r="B961" s="189"/>
      <c r="C961" s="189"/>
      <c r="D961" s="189"/>
      <c r="E961" s="189"/>
      <c r="F961" s="189"/>
      <c r="G961" s="189"/>
      <c r="H961" s="189"/>
      <c r="I961" s="189"/>
    </row>
    <row r="962">
      <c r="A962" s="189"/>
      <c r="B962" s="189"/>
      <c r="C962" s="189"/>
      <c r="D962" s="189"/>
      <c r="E962" s="189"/>
      <c r="F962" s="189"/>
      <c r="G962" s="189"/>
      <c r="H962" s="189"/>
      <c r="I962" s="189"/>
    </row>
    <row r="963">
      <c r="A963" s="189"/>
      <c r="B963" s="189"/>
      <c r="C963" s="189"/>
      <c r="D963" s="189"/>
      <c r="E963" s="189"/>
      <c r="F963" s="189"/>
      <c r="G963" s="189"/>
      <c r="H963" s="189"/>
      <c r="I963" s="189"/>
    </row>
    <row r="964">
      <c r="A964" s="189"/>
      <c r="B964" s="189"/>
      <c r="C964" s="189"/>
      <c r="D964" s="189"/>
      <c r="E964" s="189"/>
      <c r="F964" s="189"/>
      <c r="G964" s="189"/>
      <c r="H964" s="189"/>
      <c r="I964" s="189"/>
    </row>
    <row r="965">
      <c r="A965" s="189"/>
      <c r="B965" s="189"/>
      <c r="C965" s="189"/>
      <c r="D965" s="189"/>
      <c r="E965" s="189"/>
      <c r="F965" s="189"/>
      <c r="G965" s="189"/>
      <c r="H965" s="189"/>
      <c r="I965" s="189"/>
    </row>
    <row r="966">
      <c r="A966" s="189"/>
      <c r="B966" s="189"/>
      <c r="C966" s="189"/>
      <c r="D966" s="189"/>
      <c r="E966" s="189"/>
      <c r="F966" s="189"/>
      <c r="G966" s="189"/>
      <c r="H966" s="189"/>
      <c r="I966" s="189"/>
    </row>
    <row r="967">
      <c r="A967" s="189"/>
      <c r="B967" s="189"/>
      <c r="C967" s="189"/>
      <c r="D967" s="189"/>
      <c r="E967" s="189"/>
      <c r="F967" s="189"/>
      <c r="G967" s="189"/>
      <c r="H967" s="189"/>
      <c r="I967" s="189"/>
    </row>
    <row r="968">
      <c r="A968" s="189"/>
      <c r="B968" s="189"/>
      <c r="C968" s="189"/>
      <c r="D968" s="189"/>
      <c r="E968" s="189"/>
      <c r="F968" s="189"/>
      <c r="G968" s="189"/>
      <c r="H968" s="189"/>
      <c r="I968" s="189"/>
    </row>
    <row r="969">
      <c r="A969" s="189"/>
      <c r="B969" s="189"/>
      <c r="C969" s="189"/>
      <c r="D969" s="189"/>
      <c r="E969" s="189"/>
      <c r="F969" s="189"/>
      <c r="G969" s="189"/>
      <c r="H969" s="189"/>
      <c r="I969" s="189"/>
    </row>
    <row r="970">
      <c r="A970" s="189"/>
      <c r="B970" s="189"/>
      <c r="C970" s="189"/>
      <c r="D970" s="189"/>
      <c r="E970" s="189"/>
      <c r="F970" s="189"/>
      <c r="G970" s="189"/>
      <c r="H970" s="189"/>
      <c r="I970" s="189"/>
    </row>
    <row r="971">
      <c r="A971" s="189"/>
      <c r="B971" s="189"/>
      <c r="C971" s="189"/>
      <c r="D971" s="189"/>
      <c r="E971" s="189"/>
      <c r="F971" s="189"/>
      <c r="G971" s="189"/>
      <c r="H971" s="189"/>
      <c r="I971" s="189"/>
    </row>
    <row r="972">
      <c r="A972" s="189"/>
      <c r="B972" s="189"/>
      <c r="C972" s="189"/>
      <c r="D972" s="189"/>
      <c r="E972" s="189"/>
      <c r="F972" s="189"/>
      <c r="G972" s="189"/>
      <c r="H972" s="189"/>
      <c r="I972" s="189"/>
    </row>
    <row r="973">
      <c r="A973" s="189"/>
      <c r="B973" s="189"/>
      <c r="C973" s="189"/>
      <c r="D973" s="189"/>
      <c r="E973" s="189"/>
      <c r="F973" s="189"/>
      <c r="G973" s="189"/>
      <c r="H973" s="189"/>
      <c r="I973" s="189"/>
    </row>
    <row r="974">
      <c r="A974" s="189"/>
      <c r="B974" s="189"/>
      <c r="C974" s="189"/>
      <c r="D974" s="189"/>
      <c r="E974" s="189"/>
      <c r="F974" s="189"/>
      <c r="G974" s="189"/>
      <c r="H974" s="189"/>
      <c r="I974" s="189"/>
    </row>
    <row r="975">
      <c r="A975" s="189"/>
      <c r="B975" s="189"/>
      <c r="C975" s="189"/>
      <c r="D975" s="189"/>
      <c r="E975" s="189"/>
      <c r="F975" s="189"/>
      <c r="G975" s="189"/>
      <c r="H975" s="189"/>
      <c r="I975" s="189"/>
    </row>
    <row r="976">
      <c r="A976" s="189"/>
      <c r="B976" s="189"/>
      <c r="C976" s="189"/>
      <c r="D976" s="189"/>
      <c r="E976" s="189"/>
      <c r="F976" s="189"/>
      <c r="G976" s="189"/>
      <c r="H976" s="189"/>
      <c r="I976" s="189"/>
    </row>
    <row r="977">
      <c r="A977" s="189"/>
      <c r="B977" s="189"/>
      <c r="C977" s="189"/>
      <c r="D977" s="189"/>
      <c r="E977" s="189"/>
      <c r="F977" s="189"/>
      <c r="G977" s="189"/>
      <c r="H977" s="189"/>
      <c r="I977" s="189"/>
    </row>
    <row r="978">
      <c r="A978" s="189"/>
      <c r="B978" s="189"/>
      <c r="C978" s="189"/>
      <c r="D978" s="189"/>
      <c r="E978" s="189"/>
      <c r="F978" s="189"/>
      <c r="G978" s="189"/>
      <c r="H978" s="189"/>
      <c r="I978" s="189"/>
    </row>
    <row r="979">
      <c r="A979" s="189"/>
      <c r="B979" s="189"/>
      <c r="C979" s="189"/>
      <c r="D979" s="189"/>
      <c r="E979" s="189"/>
      <c r="F979" s="189"/>
      <c r="G979" s="189"/>
      <c r="H979" s="189"/>
      <c r="I979" s="189"/>
    </row>
    <row r="980">
      <c r="A980" s="189"/>
      <c r="B980" s="189"/>
      <c r="C980" s="189"/>
      <c r="D980" s="189"/>
      <c r="E980" s="189"/>
      <c r="F980" s="189"/>
      <c r="G980" s="189"/>
      <c r="H980" s="189"/>
      <c r="I980" s="189"/>
    </row>
    <row r="981">
      <c r="A981" s="189"/>
      <c r="B981" s="189"/>
      <c r="C981" s="189"/>
      <c r="D981" s="189"/>
      <c r="E981" s="189"/>
      <c r="F981" s="189"/>
      <c r="G981" s="189"/>
      <c r="H981" s="189"/>
      <c r="I981" s="189"/>
    </row>
    <row r="982">
      <c r="A982" s="189"/>
      <c r="B982" s="189"/>
      <c r="C982" s="189"/>
      <c r="D982" s="189"/>
      <c r="E982" s="189"/>
      <c r="F982" s="189"/>
      <c r="G982" s="189"/>
      <c r="H982" s="189"/>
      <c r="I982" s="189"/>
    </row>
    <row r="983">
      <c r="A983" s="189"/>
      <c r="B983" s="189"/>
      <c r="C983" s="189"/>
      <c r="D983" s="189"/>
      <c r="E983" s="189"/>
      <c r="F983" s="189"/>
      <c r="G983" s="189"/>
      <c r="H983" s="189"/>
      <c r="I983" s="189"/>
    </row>
    <row r="984">
      <c r="A984" s="189"/>
      <c r="B984" s="189"/>
      <c r="C984" s="189"/>
      <c r="D984" s="189"/>
      <c r="E984" s="189"/>
      <c r="F984" s="189"/>
      <c r="G984" s="189"/>
      <c r="H984" s="189"/>
      <c r="I984" s="189"/>
    </row>
    <row r="985">
      <c r="A985" s="189"/>
      <c r="B985" s="189"/>
      <c r="C985" s="189"/>
      <c r="D985" s="189"/>
      <c r="E985" s="189"/>
      <c r="F985" s="189"/>
      <c r="G985" s="189"/>
      <c r="H985" s="189"/>
      <c r="I985" s="189"/>
    </row>
    <row r="986">
      <c r="A986" s="189"/>
      <c r="B986" s="189"/>
      <c r="C986" s="189"/>
      <c r="D986" s="189"/>
      <c r="E986" s="189"/>
      <c r="F986" s="189"/>
      <c r="G986" s="189"/>
      <c r="H986" s="189"/>
      <c r="I986" s="189"/>
    </row>
    <row r="987">
      <c r="A987" s="189"/>
      <c r="B987" s="189"/>
      <c r="C987" s="189"/>
      <c r="D987" s="189"/>
      <c r="E987" s="189"/>
      <c r="F987" s="189"/>
      <c r="G987" s="189"/>
      <c r="H987" s="189"/>
      <c r="I987" s="189"/>
    </row>
    <row r="988">
      <c r="A988" s="189"/>
      <c r="B988" s="189"/>
      <c r="C988" s="189"/>
      <c r="D988" s="189"/>
      <c r="E988" s="189"/>
      <c r="F988" s="189"/>
      <c r="G988" s="189"/>
      <c r="H988" s="189"/>
      <c r="I988" s="189"/>
    </row>
    <row r="989">
      <c r="A989" s="189"/>
      <c r="B989" s="189"/>
      <c r="C989" s="189"/>
      <c r="D989" s="189"/>
      <c r="E989" s="189"/>
      <c r="F989" s="189"/>
      <c r="G989" s="189"/>
      <c r="H989" s="189"/>
      <c r="I989" s="189"/>
    </row>
    <row r="990">
      <c r="A990" s="189"/>
      <c r="B990" s="189"/>
      <c r="C990" s="189"/>
      <c r="D990" s="189"/>
      <c r="E990" s="189"/>
      <c r="F990" s="189"/>
      <c r="G990" s="189"/>
      <c r="H990" s="189"/>
      <c r="I990" s="189"/>
    </row>
    <row r="991">
      <c r="A991" s="189"/>
      <c r="B991" s="189"/>
      <c r="C991" s="189"/>
      <c r="D991" s="189"/>
      <c r="E991" s="189"/>
      <c r="F991" s="189"/>
      <c r="G991" s="189"/>
      <c r="H991" s="189"/>
      <c r="I991" s="189"/>
    </row>
    <row r="992">
      <c r="A992" s="189"/>
      <c r="B992" s="189"/>
      <c r="C992" s="189"/>
      <c r="D992" s="189"/>
      <c r="E992" s="189"/>
      <c r="F992" s="189"/>
      <c r="G992" s="189"/>
      <c r="H992" s="189"/>
      <c r="I992" s="189"/>
    </row>
    <row r="993">
      <c r="A993" s="189"/>
      <c r="B993" s="189"/>
      <c r="C993" s="189"/>
      <c r="D993" s="189"/>
      <c r="E993" s="189"/>
      <c r="F993" s="189"/>
      <c r="G993" s="189"/>
      <c r="H993" s="189"/>
      <c r="I993" s="189"/>
    </row>
    <row r="994">
      <c r="A994" s="189"/>
      <c r="B994" s="189"/>
      <c r="C994" s="189"/>
      <c r="D994" s="189"/>
      <c r="E994" s="189"/>
      <c r="F994" s="189"/>
      <c r="G994" s="189"/>
      <c r="H994" s="189"/>
      <c r="I994" s="189"/>
    </row>
    <row r="995">
      <c r="A995" s="189"/>
      <c r="B995" s="189"/>
      <c r="C995" s="189"/>
      <c r="D995" s="189"/>
      <c r="E995" s="189"/>
      <c r="F995" s="189"/>
      <c r="G995" s="189"/>
      <c r="H995" s="189"/>
      <c r="I995" s="189"/>
    </row>
    <row r="996">
      <c r="A996" s="189"/>
      <c r="B996" s="189"/>
      <c r="C996" s="189"/>
      <c r="D996" s="189"/>
      <c r="E996" s="189"/>
      <c r="F996" s="189"/>
      <c r="G996" s="189"/>
      <c r="H996" s="189"/>
      <c r="I996" s="189"/>
    </row>
    <row r="997">
      <c r="A997" s="189"/>
      <c r="B997" s="189"/>
      <c r="C997" s="189"/>
      <c r="D997" s="189"/>
      <c r="E997" s="189"/>
      <c r="F997" s="189"/>
      <c r="G997" s="189"/>
      <c r="H997" s="189"/>
      <c r="I997" s="189"/>
    </row>
    <row r="998">
      <c r="A998" s="189"/>
      <c r="B998" s="189"/>
      <c r="C998" s="189"/>
      <c r="D998" s="189"/>
      <c r="E998" s="189"/>
      <c r="F998" s="189"/>
      <c r="G998" s="189"/>
      <c r="H998" s="189"/>
      <c r="I998" s="189"/>
    </row>
    <row r="999">
      <c r="A999" s="189"/>
      <c r="B999" s="189"/>
      <c r="C999" s="189"/>
      <c r="D999" s="189"/>
      <c r="E999" s="189"/>
      <c r="F999" s="189"/>
      <c r="G999" s="189"/>
      <c r="H999" s="189"/>
      <c r="I999" s="189"/>
    </row>
    <row r="1000">
      <c r="A1000" s="189"/>
      <c r="B1000" s="189"/>
      <c r="C1000" s="189"/>
      <c r="D1000" s="189"/>
      <c r="E1000" s="189"/>
      <c r="F1000" s="189"/>
      <c r="G1000" s="189"/>
      <c r="H1000" s="189"/>
      <c r="I1000" s="189"/>
    </row>
    <row r="1001">
      <c r="A1001" s="189"/>
      <c r="B1001" s="189"/>
      <c r="C1001" s="189"/>
      <c r="D1001" s="189"/>
      <c r="E1001" s="189"/>
      <c r="F1001" s="189"/>
      <c r="G1001" s="189"/>
      <c r="H1001" s="189"/>
      <c r="I1001" s="18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0"/>
  </cols>
  <sheetData>
    <row r="1"/>
    <row r="2"/>
    <row r="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39</v>
      </c>
    </row>
    <row r="2">
      <c r="A2" s="264" t="s">
        <v>855</v>
      </c>
    </row>
    <row r="3">
      <c r="A3" s="265" t="s">
        <v>856</v>
      </c>
    </row>
    <row r="4">
      <c r="A4" s="264" t="s">
        <v>857</v>
      </c>
    </row>
    <row r="5">
      <c r="A5" s="264" t="s">
        <v>858</v>
      </c>
    </row>
    <row r="6">
      <c r="A6" s="264" t="s">
        <v>859</v>
      </c>
    </row>
    <row r="7">
      <c r="A7" s="265" t="s">
        <v>860</v>
      </c>
    </row>
    <row r="8">
      <c r="A8" s="265" t="s">
        <v>861</v>
      </c>
    </row>
    <row r="9">
      <c r="A9" s="265" t="s">
        <v>862</v>
      </c>
    </row>
    <row r="10">
      <c r="A10" s="265" t="s">
        <v>863</v>
      </c>
    </row>
    <row r="11">
      <c r="A11" s="264" t="s">
        <v>864</v>
      </c>
    </row>
    <row r="12">
      <c r="A12" s="264" t="s">
        <v>865</v>
      </c>
    </row>
    <row r="13">
      <c r="A13" s="55" t="s">
        <v>866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419</v>
      </c>
      <c r="B1" s="266" t="s">
        <v>1</v>
      </c>
      <c r="C1" s="3" t="s">
        <v>2</v>
      </c>
      <c r="D1" s="3" t="s">
        <v>3</v>
      </c>
      <c r="E1" s="267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5" t="s">
        <v>10</v>
      </c>
      <c r="K1" s="268" t="s">
        <v>11</v>
      </c>
    </row>
    <row r="2">
      <c r="B2" s="55">
        <v>4.620153903605E12</v>
      </c>
      <c r="E2" s="55">
        <v>13.0</v>
      </c>
      <c r="K2" s="269">
        <v>45389.0</v>
      </c>
    </row>
    <row r="3">
      <c r="B3" s="55">
        <v>4.620153903605E12</v>
      </c>
      <c r="E3" s="55">
        <v>13.0</v>
      </c>
      <c r="K3" s="270">
        <v>45442.0</v>
      </c>
    </row>
    <row r="4">
      <c r="B4" s="55">
        <v>4.610172186745E12</v>
      </c>
      <c r="E4" s="55">
        <v>23.0</v>
      </c>
      <c r="K4" s="108" t="s">
        <v>867</v>
      </c>
    </row>
    <row r="5">
      <c r="B5" s="55">
        <v>4.67022741564E12</v>
      </c>
      <c r="E5" s="55">
        <v>5.0</v>
      </c>
      <c r="K5" s="270">
        <v>45569.0</v>
      </c>
    </row>
    <row r="6">
      <c r="B6" s="55">
        <v>4.670227415657E12</v>
      </c>
      <c r="E6" s="55">
        <v>4.0</v>
      </c>
      <c r="K6" s="270">
        <v>45569.0</v>
      </c>
    </row>
    <row r="7">
      <c r="B7" s="55">
        <v>4.670227415817E12</v>
      </c>
      <c r="E7" s="55">
        <v>4.0</v>
      </c>
      <c r="K7" s="270">
        <v>45569.0</v>
      </c>
    </row>
    <row r="8">
      <c r="B8" s="55">
        <v>4.693006790233E12</v>
      </c>
      <c r="E8" s="55">
        <v>2.0</v>
      </c>
      <c r="K8" s="108" t="s">
        <v>868</v>
      </c>
    </row>
    <row r="9">
      <c r="B9" s="55">
        <v>4.693006790233E12</v>
      </c>
      <c r="E9" s="55">
        <v>3.0</v>
      </c>
      <c r="K9" s="108" t="s">
        <v>869</v>
      </c>
    </row>
    <row r="10">
      <c r="B10" s="55">
        <v>4.693006790233E12</v>
      </c>
      <c r="E10" s="55">
        <v>2.0</v>
      </c>
      <c r="K10" s="108" t="s">
        <v>870</v>
      </c>
    </row>
    <row r="11">
      <c r="B11" s="55">
        <v>4.693006790233E12</v>
      </c>
      <c r="E11" s="55">
        <v>1.0</v>
      </c>
      <c r="K11" s="108" t="s">
        <v>867</v>
      </c>
    </row>
    <row r="12">
      <c r="B12" s="55">
        <v>4.670020496679E12</v>
      </c>
      <c r="E12" s="55">
        <v>13.0</v>
      </c>
      <c r="K12" s="270">
        <v>45323.0</v>
      </c>
    </row>
    <row r="13">
      <c r="B13" s="55">
        <v>4.605543013096E12</v>
      </c>
      <c r="E13" s="55">
        <v>18.0</v>
      </c>
      <c r="K13" s="270">
        <v>45517.0</v>
      </c>
    </row>
    <row r="14">
      <c r="B14" s="55">
        <v>4.657786831579E12</v>
      </c>
      <c r="E14" s="55">
        <v>5.0</v>
      </c>
      <c r="K14" s="271">
        <v>45593.0</v>
      </c>
    </row>
    <row r="15">
      <c r="B15" s="55">
        <v>4.605543012471E12</v>
      </c>
      <c r="E15" s="55">
        <v>2.0</v>
      </c>
      <c r="K15" s="270">
        <v>45404.0</v>
      </c>
    </row>
    <row r="16">
      <c r="B16" s="55">
        <v>4.60554301116E12</v>
      </c>
      <c r="E16" s="55">
        <v>1.0</v>
      </c>
      <c r="K16" s="270">
        <v>45237.0</v>
      </c>
    </row>
    <row r="17">
      <c r="B17" s="55">
        <v>4.605543011177E12</v>
      </c>
      <c r="E17" s="55">
        <v>1.0</v>
      </c>
      <c r="K17" s="270">
        <v>45376.0</v>
      </c>
    </row>
    <row r="18">
      <c r="B18" s="55">
        <v>4.605543011153E12</v>
      </c>
      <c r="E18" s="55">
        <v>9.0</v>
      </c>
      <c r="K18" s="271">
        <v>45279.0</v>
      </c>
    </row>
    <row r="19">
      <c r="B19" s="55">
        <v>4.605543011153E12</v>
      </c>
      <c r="E19" s="55">
        <v>3.0</v>
      </c>
      <c r="K19" s="270">
        <v>45519.0</v>
      </c>
    </row>
    <row r="20">
      <c r="B20" s="55">
        <v>4.605543011153E12</v>
      </c>
      <c r="E20" s="55">
        <v>1.0</v>
      </c>
      <c r="K20" s="270">
        <v>45233.0</v>
      </c>
    </row>
    <row r="21">
      <c r="B21" s="55">
        <v>4.605543012839E12</v>
      </c>
      <c r="E21" s="55">
        <v>4.0</v>
      </c>
      <c r="K21" s="270">
        <v>45506.0</v>
      </c>
    </row>
    <row r="22">
      <c r="B22" s="55">
        <v>4.605543012839E12</v>
      </c>
      <c r="E22" s="55">
        <v>4.0</v>
      </c>
      <c r="K22" s="270">
        <v>45600.0</v>
      </c>
    </row>
    <row r="23">
      <c r="B23" s="55">
        <v>4.605543012839E12</v>
      </c>
      <c r="E23" s="55">
        <v>1.0</v>
      </c>
      <c r="K23" s="270">
        <v>45383.0</v>
      </c>
    </row>
    <row r="24">
      <c r="B24" s="55">
        <v>4.605430111092E12</v>
      </c>
      <c r="E24" s="55">
        <v>9.0</v>
      </c>
      <c r="K24" s="270">
        <v>45522.0</v>
      </c>
    </row>
    <row r="25">
      <c r="B25" s="55">
        <v>4.605430111092E12</v>
      </c>
      <c r="E25" s="55">
        <v>5.0</v>
      </c>
      <c r="K25" s="270">
        <v>45355.0</v>
      </c>
    </row>
    <row r="26">
      <c r="B26" s="55">
        <v>4.627144543109E12</v>
      </c>
      <c r="E26" s="55">
        <v>200.0</v>
      </c>
      <c r="K26" s="108" t="s">
        <v>871</v>
      </c>
    </row>
    <row r="27">
      <c r="B27" s="55">
        <v>4.670020498024E12</v>
      </c>
      <c r="E27" s="55">
        <v>61.0</v>
      </c>
      <c r="K27" s="270">
        <v>45566.0</v>
      </c>
    </row>
    <row r="28">
      <c r="B28" s="55">
        <v>4.630205141442E12</v>
      </c>
      <c r="E28" s="55">
        <v>42.0</v>
      </c>
      <c r="K28" s="270">
        <v>45156.0</v>
      </c>
    </row>
    <row r="29">
      <c r="B29" s="55">
        <v>4.610172186202E12</v>
      </c>
      <c r="E29" s="55">
        <v>1.0</v>
      </c>
      <c r="K29" s="108" t="s">
        <v>872</v>
      </c>
    </row>
    <row r="30">
      <c r="B30" s="55">
        <v>4.610172186202E12</v>
      </c>
      <c r="E30" s="55">
        <v>6.0</v>
      </c>
      <c r="K30" s="108" t="s">
        <v>873</v>
      </c>
    </row>
    <row r="31">
      <c r="B31" s="55">
        <v>4.627193493701E12</v>
      </c>
      <c r="E31" s="55">
        <v>8.0</v>
      </c>
      <c r="K31" s="108" t="s">
        <v>872</v>
      </c>
    </row>
    <row r="32">
      <c r="B32" s="55">
        <v>4.610030631714E12</v>
      </c>
      <c r="E32" s="55">
        <v>12.0</v>
      </c>
      <c r="K32" s="108" t="s">
        <v>869</v>
      </c>
    </row>
    <row r="33">
      <c r="B33" s="55">
        <v>4.610030631714E12</v>
      </c>
      <c r="E33" s="55">
        <v>1.0</v>
      </c>
      <c r="K33" s="108" t="s">
        <v>873</v>
      </c>
    </row>
    <row r="34">
      <c r="B34" s="55">
        <v>4.610030633862E12</v>
      </c>
      <c r="E34" s="55">
        <v>5.0</v>
      </c>
      <c r="K34" s="108" t="s">
        <v>874</v>
      </c>
    </row>
    <row r="35">
      <c r="B35" s="55">
        <v>4.610030633862E12</v>
      </c>
      <c r="E35" s="55">
        <v>2.0</v>
      </c>
      <c r="K35" s="108" t="s">
        <v>875</v>
      </c>
    </row>
    <row r="36">
      <c r="B36" s="55">
        <v>4.610030631738E12</v>
      </c>
      <c r="E36" s="55">
        <v>7.0</v>
      </c>
      <c r="K36" s="108" t="s">
        <v>876</v>
      </c>
    </row>
    <row r="37">
      <c r="B37" s="55">
        <v>4.670020496747E12</v>
      </c>
      <c r="E37" s="55">
        <v>2.0</v>
      </c>
      <c r="K37" s="270">
        <v>45323.0</v>
      </c>
    </row>
    <row r="38">
      <c r="B38" s="55">
        <v>4.608956608125E12</v>
      </c>
      <c r="E38" s="55">
        <v>2.0</v>
      </c>
      <c r="K38" s="108" t="s">
        <v>877</v>
      </c>
    </row>
    <row r="39">
      <c r="B39" s="55">
        <v>4.670020496679E12</v>
      </c>
      <c r="E39" s="55">
        <v>13.0</v>
      </c>
      <c r="K39" s="270">
        <v>45323.0</v>
      </c>
    </row>
    <row r="40">
      <c r="B40" s="55">
        <v>4.63115222606E12</v>
      </c>
      <c r="E40" s="55">
        <v>29.0</v>
      </c>
      <c r="K40" s="108" t="s">
        <v>873</v>
      </c>
    </row>
    <row r="41">
      <c r="B41" s="55">
        <v>4.63115222606E12</v>
      </c>
      <c r="E41" s="55">
        <v>1.0</v>
      </c>
      <c r="K41" s="270">
        <v>45261.0</v>
      </c>
    </row>
    <row r="42">
      <c r="B42" s="55">
        <v>4.627193453695E12</v>
      </c>
      <c r="E42" s="55">
        <v>39.0</v>
      </c>
      <c r="K42" s="108" t="s">
        <v>876</v>
      </c>
    </row>
    <row r="43">
      <c r="B43" s="55">
        <v>4.620153905043E12</v>
      </c>
      <c r="E43" s="55">
        <v>2.0</v>
      </c>
      <c r="K43" s="270">
        <v>45202.0</v>
      </c>
    </row>
    <row r="44">
      <c r="B44" s="55">
        <v>4.610030631721E12</v>
      </c>
      <c r="E44" s="55">
        <v>2.0</v>
      </c>
      <c r="K44" s="108" t="s">
        <v>875</v>
      </c>
    </row>
    <row r="45">
      <c r="B45" s="55">
        <v>4.610030631943E12</v>
      </c>
      <c r="E45" s="55">
        <v>2.0</v>
      </c>
      <c r="K45" s="108" t="s">
        <v>874</v>
      </c>
    </row>
    <row r="46">
      <c r="B46" s="55">
        <v>4.610030631943E12</v>
      </c>
      <c r="E46" s="55">
        <v>1.0</v>
      </c>
      <c r="K46" s="108" t="s">
        <v>875</v>
      </c>
    </row>
    <row r="47">
      <c r="B47" s="55">
        <v>4.627193453404E12</v>
      </c>
      <c r="E47" s="55">
        <v>7.0</v>
      </c>
      <c r="K47" s="108" t="s">
        <v>878</v>
      </c>
    </row>
    <row r="48">
      <c r="B48" s="55">
        <v>4.627193453961E12</v>
      </c>
      <c r="E48" s="55">
        <v>14.0</v>
      </c>
      <c r="K48" s="108" t="s">
        <v>879</v>
      </c>
    </row>
    <row r="49">
      <c r="B49" s="55">
        <v>4.600867365678E12</v>
      </c>
      <c r="E49" s="55">
        <v>29.0</v>
      </c>
      <c r="K49" s="108" t="s">
        <v>876</v>
      </c>
    </row>
    <row r="50">
      <c r="B50" s="55">
        <v>4.600867365678E12</v>
      </c>
      <c r="E50" s="55">
        <v>2.0</v>
      </c>
      <c r="K50" s="108" t="s">
        <v>870</v>
      </c>
    </row>
    <row r="51">
      <c r="B51" s="55">
        <v>4.6201153906644E13</v>
      </c>
      <c r="E51" s="55">
        <v>13.0</v>
      </c>
      <c r="K51" s="270">
        <v>45303.0</v>
      </c>
    </row>
    <row r="52">
      <c r="B52" s="55">
        <v>4.631136905127E12</v>
      </c>
      <c r="E52" s="55">
        <v>23.0</v>
      </c>
      <c r="K52" s="272">
        <v>44713.0</v>
      </c>
    </row>
    <row r="53">
      <c r="B53" s="55">
        <v>4.673748455218E12</v>
      </c>
      <c r="E53" s="55">
        <v>5.0</v>
      </c>
      <c r="K53" s="270">
        <v>45441.0</v>
      </c>
    </row>
    <row r="54">
      <c r="B54" s="55">
        <v>4.630205140322E12</v>
      </c>
      <c r="E54" s="55">
        <v>11.0</v>
      </c>
      <c r="K54" s="270">
        <v>45378.0</v>
      </c>
    </row>
    <row r="55">
      <c r="B55" s="55">
        <v>4.630205140308E12</v>
      </c>
      <c r="E55" s="55">
        <v>3.0</v>
      </c>
      <c r="K55" s="270">
        <v>45377.0</v>
      </c>
    </row>
    <row r="56">
      <c r="B56" s="55">
        <v>4.630205140179E12</v>
      </c>
      <c r="E56" s="55">
        <v>5.0</v>
      </c>
      <c r="K56" s="271">
        <v>45271.0</v>
      </c>
    </row>
    <row r="57">
      <c r="B57" s="55">
        <v>4.605543012518E12</v>
      </c>
      <c r="E57" s="55">
        <v>38.0</v>
      </c>
      <c r="K57" s="270">
        <v>45353.0</v>
      </c>
    </row>
    <row r="58">
      <c r="B58" s="55">
        <v>4.631148520929E12</v>
      </c>
      <c r="E58" s="55">
        <v>51.0</v>
      </c>
      <c r="K58" s="270">
        <v>45194.0</v>
      </c>
    </row>
    <row r="59">
      <c r="B59" s="55">
        <v>4.607025203162E12</v>
      </c>
      <c r="E59" s="55">
        <v>54.0</v>
      </c>
      <c r="K59" s="108" t="s">
        <v>880</v>
      </c>
    </row>
    <row r="60">
      <c r="B60" s="55">
        <v>4.670142965244E12</v>
      </c>
      <c r="E60" s="55">
        <v>6.0</v>
      </c>
      <c r="K60" s="270">
        <v>45266.0</v>
      </c>
    </row>
    <row r="61">
      <c r="B61" s="55">
        <v>4.611113000977E12</v>
      </c>
      <c r="E61" s="55">
        <v>5.0</v>
      </c>
      <c r="K61" s="108" t="s">
        <v>881</v>
      </c>
    </row>
    <row r="62">
      <c r="B62" s="55">
        <v>4.670110184271E12</v>
      </c>
      <c r="E62" s="55">
        <v>9.0</v>
      </c>
      <c r="K62" s="270">
        <v>45265.0</v>
      </c>
    </row>
    <row r="63">
      <c r="B63" s="55">
        <v>4.67011018552E12</v>
      </c>
      <c r="E63" s="55">
        <v>39.0</v>
      </c>
      <c r="K63" s="270">
        <v>45160.0</v>
      </c>
    </row>
    <row r="64">
      <c r="B64" s="55">
        <v>4.650190797738E12</v>
      </c>
      <c r="E64" s="55">
        <v>17.0</v>
      </c>
      <c r="K64" s="270">
        <v>45510.0</v>
      </c>
    </row>
    <row r="65">
      <c r="B65" s="55">
        <v>4.61003063265E12</v>
      </c>
      <c r="E65" s="55">
        <v>20.0</v>
      </c>
      <c r="K65" s="108" t="s">
        <v>873</v>
      </c>
    </row>
    <row r="66">
      <c r="B66" s="55">
        <v>4.670020498024E12</v>
      </c>
      <c r="E66" s="55">
        <v>30.0</v>
      </c>
      <c r="K66" s="270">
        <v>45566.0</v>
      </c>
    </row>
    <row r="67">
      <c r="B67" s="55">
        <v>4.630205141442E12</v>
      </c>
      <c r="E67" s="55">
        <v>15.0</v>
      </c>
      <c r="K67" s="270">
        <v>45128.0</v>
      </c>
    </row>
    <row r="68">
      <c r="B68" s="55">
        <v>4.657786831418E12</v>
      </c>
      <c r="E68" s="55">
        <v>6.0</v>
      </c>
      <c r="K68" s="270">
        <v>45387.0</v>
      </c>
    </row>
    <row r="69">
      <c r="B69" s="55">
        <v>4.627193453732E12</v>
      </c>
      <c r="E69" s="55">
        <v>27.0</v>
      </c>
      <c r="K69" s="108" t="s">
        <v>873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13.63"/>
  </cols>
  <sheetData>
    <row r="1">
      <c r="A1" s="4" t="s">
        <v>419</v>
      </c>
      <c r="B1" s="2" t="s">
        <v>1</v>
      </c>
      <c r="C1" s="3" t="s">
        <v>2</v>
      </c>
      <c r="D1" s="37" t="s">
        <v>882</v>
      </c>
    </row>
    <row r="2">
      <c r="A2" s="13" t="s">
        <v>13</v>
      </c>
      <c r="B2" s="113">
        <v>4.687406582727E12</v>
      </c>
      <c r="C2" s="86" t="s">
        <v>134</v>
      </c>
      <c r="D2" s="37">
        <v>0.15</v>
      </c>
    </row>
    <row r="3">
      <c r="A3" s="13" t="s">
        <v>13</v>
      </c>
      <c r="B3" s="2">
        <v>4.620290621356E12</v>
      </c>
      <c r="C3" s="37" t="s">
        <v>133</v>
      </c>
      <c r="D3" s="37">
        <v>0.25</v>
      </c>
    </row>
    <row r="4">
      <c r="A4" s="13" t="s">
        <v>13</v>
      </c>
      <c r="B4" s="50">
        <v>4.620290621547E12</v>
      </c>
      <c r="C4" s="37" t="s">
        <v>132</v>
      </c>
      <c r="D4" s="37">
        <v>0.25</v>
      </c>
    </row>
    <row r="5">
      <c r="A5" s="13" t="s">
        <v>13</v>
      </c>
      <c r="B5" s="273">
        <v>4.60707717678E12</v>
      </c>
      <c r="C5" s="274" t="s">
        <v>136</v>
      </c>
      <c r="D5" s="275">
        <v>2000.0</v>
      </c>
    </row>
    <row r="6">
      <c r="A6" s="13" t="s">
        <v>13</v>
      </c>
      <c r="B6" s="32">
        <v>4.607077176773E12</v>
      </c>
      <c r="C6" s="44" t="s">
        <v>139</v>
      </c>
      <c r="D6" s="37">
        <v>2000.0</v>
      </c>
    </row>
    <row r="7">
      <c r="A7" s="13" t="s">
        <v>13</v>
      </c>
      <c r="B7" s="105">
        <v>4.607077176636E12</v>
      </c>
      <c r="C7" s="3" t="s">
        <v>141</v>
      </c>
      <c r="D7" s="37">
        <v>2000.0</v>
      </c>
    </row>
    <row r="8">
      <c r="A8" s="13" t="s">
        <v>13</v>
      </c>
      <c r="B8" s="105">
        <v>4.607077176643E12</v>
      </c>
      <c r="C8" s="3" t="s">
        <v>142</v>
      </c>
      <c r="D8" s="37">
        <v>2000.0</v>
      </c>
    </row>
    <row r="9">
      <c r="A9" s="101" t="s">
        <v>13</v>
      </c>
      <c r="B9" s="29">
        <v>4.605543013096E12</v>
      </c>
      <c r="C9" s="30" t="s">
        <v>143</v>
      </c>
      <c r="D9" s="37">
        <v>0.074</v>
      </c>
    </row>
    <row r="10">
      <c r="A10" s="101" t="s">
        <v>13</v>
      </c>
      <c r="B10" s="32">
        <v>4.605543011092E12</v>
      </c>
      <c r="C10" s="30" t="s">
        <v>147</v>
      </c>
      <c r="D10" s="37">
        <v>0.05</v>
      </c>
    </row>
    <row r="11">
      <c r="A11" s="13" t="s">
        <v>13</v>
      </c>
      <c r="B11" s="32">
        <v>4.605543011085E12</v>
      </c>
      <c r="C11" s="30" t="s">
        <v>149</v>
      </c>
      <c r="D11" s="37">
        <v>0.05</v>
      </c>
    </row>
    <row r="12">
      <c r="A12" s="13" t="s">
        <v>13</v>
      </c>
      <c r="B12" s="40">
        <v>4.605543011153E12</v>
      </c>
      <c r="C12" s="44" t="s">
        <v>150</v>
      </c>
      <c r="D12" s="37">
        <v>0.05</v>
      </c>
    </row>
    <row r="13">
      <c r="A13" s="13" t="s">
        <v>13</v>
      </c>
      <c r="B13" s="40">
        <v>4.605543011177E12</v>
      </c>
      <c r="C13" s="44" t="s">
        <v>151</v>
      </c>
      <c r="D13" s="37">
        <v>0.05</v>
      </c>
    </row>
    <row r="14">
      <c r="A14" s="13" t="s">
        <v>13</v>
      </c>
      <c r="B14" s="2">
        <v>4.60554301116E12</v>
      </c>
      <c r="C14" s="44" t="s">
        <v>152</v>
      </c>
      <c r="D14" s="37">
        <v>0.05</v>
      </c>
    </row>
    <row r="15">
      <c r="A15" s="13" t="s">
        <v>13</v>
      </c>
      <c r="B15" s="21">
        <v>4.605543012471E12</v>
      </c>
      <c r="C15" s="46" t="s">
        <v>153</v>
      </c>
      <c r="D15" s="37">
        <v>0.05</v>
      </c>
    </row>
    <row r="16">
      <c r="A16" s="13" t="s">
        <v>13</v>
      </c>
      <c r="B16" s="21">
        <v>4.605543012495E12</v>
      </c>
      <c r="C16" s="30" t="s">
        <v>154</v>
      </c>
      <c r="D16" s="37">
        <v>0.004</v>
      </c>
    </row>
    <row r="17">
      <c r="B17" s="189"/>
    </row>
    <row r="18">
      <c r="B18" s="189"/>
    </row>
    <row r="19">
      <c r="B19" s="189"/>
    </row>
    <row r="20">
      <c r="B20" s="189"/>
    </row>
    <row r="21">
      <c r="B21" s="189"/>
    </row>
    <row r="22">
      <c r="B22" s="189"/>
    </row>
    <row r="23">
      <c r="B23" s="189"/>
    </row>
    <row r="24">
      <c r="B24" s="189"/>
    </row>
    <row r="25">
      <c r="B25" s="189"/>
    </row>
    <row r="26">
      <c r="B26" s="189"/>
    </row>
    <row r="27">
      <c r="B27" s="189"/>
    </row>
    <row r="28">
      <c r="B28" s="189"/>
    </row>
    <row r="29">
      <c r="B29" s="189"/>
    </row>
    <row r="30">
      <c r="B30" s="189"/>
    </row>
    <row r="31">
      <c r="B31" s="189"/>
    </row>
    <row r="32">
      <c r="B32" s="189"/>
    </row>
    <row r="33">
      <c r="B33" s="189"/>
    </row>
    <row r="34">
      <c r="B34" s="189"/>
    </row>
    <row r="35">
      <c r="B35" s="189"/>
    </row>
    <row r="36">
      <c r="B36" s="189"/>
    </row>
    <row r="37">
      <c r="B37" s="189"/>
    </row>
    <row r="38">
      <c r="B38" s="189"/>
    </row>
    <row r="39">
      <c r="B39" s="189"/>
    </row>
    <row r="40">
      <c r="B40" s="189"/>
    </row>
    <row r="41">
      <c r="B41" s="189"/>
    </row>
    <row r="42">
      <c r="B42" s="189"/>
    </row>
    <row r="43">
      <c r="B43" s="189"/>
    </row>
    <row r="44">
      <c r="B44" s="189"/>
    </row>
    <row r="45">
      <c r="B45" s="189"/>
    </row>
    <row r="46">
      <c r="B46" s="189"/>
    </row>
    <row r="47">
      <c r="B47" s="189"/>
    </row>
    <row r="48">
      <c r="B48" s="189"/>
    </row>
    <row r="49">
      <c r="B49" s="189"/>
    </row>
    <row r="50">
      <c r="B50" s="189"/>
    </row>
    <row r="51">
      <c r="B51" s="189"/>
    </row>
    <row r="52">
      <c r="B52" s="189"/>
    </row>
    <row r="53">
      <c r="B53" s="189"/>
    </row>
    <row r="54">
      <c r="B54" s="189"/>
    </row>
    <row r="55">
      <c r="B55" s="189"/>
    </row>
    <row r="56">
      <c r="B56" s="189"/>
    </row>
    <row r="57">
      <c r="B57" s="189"/>
    </row>
    <row r="58">
      <c r="B58" s="189"/>
    </row>
    <row r="59">
      <c r="B59" s="189"/>
    </row>
    <row r="60">
      <c r="B60" s="189"/>
    </row>
    <row r="61">
      <c r="B61" s="189"/>
    </row>
    <row r="62">
      <c r="B62" s="189"/>
    </row>
    <row r="63">
      <c r="B63" s="189"/>
    </row>
    <row r="64">
      <c r="B64" s="189"/>
    </row>
    <row r="65">
      <c r="B65" s="189"/>
    </row>
    <row r="66">
      <c r="B66" s="189"/>
    </row>
    <row r="67">
      <c r="B67" s="189"/>
    </row>
    <row r="68">
      <c r="B68" s="189"/>
    </row>
    <row r="69">
      <c r="B69" s="189"/>
    </row>
    <row r="70">
      <c r="B70" s="189"/>
    </row>
    <row r="71">
      <c r="B71" s="189"/>
    </row>
    <row r="72">
      <c r="B72" s="189"/>
    </row>
    <row r="73">
      <c r="B73" s="189"/>
    </row>
    <row r="74">
      <c r="B74" s="189"/>
    </row>
    <row r="75">
      <c r="B75" s="189"/>
    </row>
    <row r="76">
      <c r="B76" s="189"/>
    </row>
    <row r="77">
      <c r="B77" s="189"/>
    </row>
    <row r="78">
      <c r="B78" s="189"/>
    </row>
    <row r="79">
      <c r="B79" s="189"/>
    </row>
    <row r="80">
      <c r="B80" s="189"/>
    </row>
    <row r="81">
      <c r="B81" s="189"/>
    </row>
    <row r="82">
      <c r="B82" s="189"/>
    </row>
    <row r="83">
      <c r="B83" s="189"/>
    </row>
    <row r="84">
      <c r="B84" s="189"/>
    </row>
    <row r="85">
      <c r="B85" s="189"/>
    </row>
    <row r="86">
      <c r="B86" s="189"/>
    </row>
    <row r="87">
      <c r="B87" s="189"/>
    </row>
    <row r="88">
      <c r="B88" s="189"/>
    </row>
    <row r="89">
      <c r="B89" s="189"/>
    </row>
    <row r="90">
      <c r="B90" s="189"/>
    </row>
    <row r="91">
      <c r="B91" s="189"/>
    </row>
    <row r="92">
      <c r="B92" s="189"/>
    </row>
    <row r="93">
      <c r="B93" s="189"/>
    </row>
    <row r="94">
      <c r="B94" s="189"/>
    </row>
    <row r="95">
      <c r="B95" s="189"/>
    </row>
    <row r="96">
      <c r="B96" s="189"/>
    </row>
    <row r="97">
      <c r="B97" s="189"/>
    </row>
    <row r="98">
      <c r="B98" s="189"/>
    </row>
    <row r="99">
      <c r="B99" s="189"/>
    </row>
    <row r="100">
      <c r="B100" s="189"/>
    </row>
    <row r="101">
      <c r="B101" s="189"/>
    </row>
    <row r="102">
      <c r="B102" s="189"/>
    </row>
    <row r="103">
      <c r="B103" s="189"/>
    </row>
    <row r="104">
      <c r="B104" s="189"/>
    </row>
    <row r="105">
      <c r="B105" s="189"/>
    </row>
    <row r="106">
      <c r="B106" s="189"/>
    </row>
    <row r="107">
      <c r="B107" s="189"/>
    </row>
    <row r="108">
      <c r="B108" s="189"/>
    </row>
    <row r="109">
      <c r="B109" s="189"/>
    </row>
    <row r="110">
      <c r="B110" s="189"/>
    </row>
    <row r="111">
      <c r="B111" s="189"/>
    </row>
    <row r="112">
      <c r="B112" s="189"/>
    </row>
    <row r="113">
      <c r="B113" s="189"/>
    </row>
    <row r="114">
      <c r="B114" s="189"/>
    </row>
    <row r="115">
      <c r="B115" s="189"/>
    </row>
    <row r="116">
      <c r="B116" s="189"/>
    </row>
    <row r="117">
      <c r="B117" s="189"/>
    </row>
    <row r="118">
      <c r="B118" s="189"/>
    </row>
    <row r="119">
      <c r="B119" s="189"/>
    </row>
    <row r="120">
      <c r="B120" s="189"/>
    </row>
    <row r="121">
      <c r="B121" s="189"/>
    </row>
    <row r="122">
      <c r="B122" s="189"/>
    </row>
    <row r="123">
      <c r="B123" s="189"/>
    </row>
    <row r="124">
      <c r="B124" s="189"/>
    </row>
    <row r="125">
      <c r="B125" s="189"/>
    </row>
    <row r="126">
      <c r="B126" s="189"/>
    </row>
    <row r="127">
      <c r="B127" s="189"/>
    </row>
    <row r="128">
      <c r="B128" s="189"/>
    </row>
    <row r="129">
      <c r="B129" s="189"/>
    </row>
    <row r="130">
      <c r="B130" s="189"/>
    </row>
    <row r="131">
      <c r="B131" s="189"/>
    </row>
    <row r="132">
      <c r="B132" s="189"/>
    </row>
    <row r="133">
      <c r="B133" s="189"/>
    </row>
    <row r="134">
      <c r="B134" s="189"/>
    </row>
    <row r="135">
      <c r="B135" s="189"/>
    </row>
    <row r="136">
      <c r="B136" s="189"/>
    </row>
    <row r="137">
      <c r="B137" s="189"/>
    </row>
    <row r="138">
      <c r="B138" s="189"/>
    </row>
    <row r="139">
      <c r="B139" s="189"/>
    </row>
    <row r="140">
      <c r="B140" s="189"/>
    </row>
    <row r="141">
      <c r="B141" s="189"/>
    </row>
    <row r="142">
      <c r="B142" s="189"/>
    </row>
    <row r="143">
      <c r="B143" s="189"/>
    </row>
    <row r="144">
      <c r="B144" s="189"/>
    </row>
    <row r="145">
      <c r="B145" s="189"/>
    </row>
    <row r="146">
      <c r="B146" s="189"/>
    </row>
    <row r="147">
      <c r="B147" s="189"/>
    </row>
    <row r="148">
      <c r="B148" s="189"/>
    </row>
    <row r="149">
      <c r="B149" s="189"/>
    </row>
    <row r="150">
      <c r="B150" s="189"/>
    </row>
    <row r="151">
      <c r="B151" s="189"/>
    </row>
    <row r="152">
      <c r="B152" s="189"/>
    </row>
    <row r="153">
      <c r="B153" s="189"/>
    </row>
    <row r="154">
      <c r="B154" s="189"/>
    </row>
    <row r="155">
      <c r="B155" s="189"/>
    </row>
    <row r="156">
      <c r="B156" s="189"/>
    </row>
    <row r="157">
      <c r="B157" s="189"/>
    </row>
    <row r="158">
      <c r="B158" s="189"/>
    </row>
    <row r="159">
      <c r="B159" s="189"/>
    </row>
    <row r="160">
      <c r="B160" s="189"/>
    </row>
    <row r="161">
      <c r="B161" s="189"/>
    </row>
    <row r="162">
      <c r="B162" s="189"/>
    </row>
    <row r="163">
      <c r="B163" s="189"/>
    </row>
    <row r="164">
      <c r="B164" s="189"/>
    </row>
    <row r="165">
      <c r="B165" s="189"/>
    </row>
    <row r="166">
      <c r="B166" s="189"/>
    </row>
    <row r="167">
      <c r="B167" s="189"/>
    </row>
    <row r="168">
      <c r="B168" s="189"/>
    </row>
    <row r="169">
      <c r="B169" s="189"/>
    </row>
    <row r="170">
      <c r="B170" s="189"/>
    </row>
    <row r="171">
      <c r="B171" s="189"/>
    </row>
    <row r="172">
      <c r="B172" s="189"/>
    </row>
    <row r="173">
      <c r="B173" s="189"/>
    </row>
    <row r="174">
      <c r="B174" s="189"/>
    </row>
    <row r="175">
      <c r="B175" s="189"/>
    </row>
    <row r="176">
      <c r="B176" s="189"/>
    </row>
    <row r="177">
      <c r="B177" s="189"/>
    </row>
    <row r="178">
      <c r="B178" s="189"/>
    </row>
    <row r="179">
      <c r="B179" s="189"/>
    </row>
    <row r="180">
      <c r="B180" s="189"/>
    </row>
    <row r="181">
      <c r="B181" s="189"/>
    </row>
    <row r="182">
      <c r="B182" s="189"/>
    </row>
    <row r="183">
      <c r="B183" s="189"/>
    </row>
    <row r="184">
      <c r="B184" s="189"/>
    </row>
    <row r="185">
      <c r="B185" s="189"/>
    </row>
    <row r="186">
      <c r="B186" s="189"/>
    </row>
    <row r="187">
      <c r="B187" s="189"/>
    </row>
    <row r="188">
      <c r="B188" s="189"/>
    </row>
    <row r="189">
      <c r="B189" s="189"/>
    </row>
    <row r="190">
      <c r="B190" s="189"/>
    </row>
    <row r="191">
      <c r="B191" s="189"/>
    </row>
    <row r="192">
      <c r="B192" s="189"/>
    </row>
    <row r="193">
      <c r="B193" s="189"/>
    </row>
    <row r="194">
      <c r="B194" s="189"/>
    </row>
    <row r="195">
      <c r="B195" s="189"/>
    </row>
    <row r="196">
      <c r="B196" s="189"/>
    </row>
    <row r="197">
      <c r="B197" s="189"/>
    </row>
    <row r="198">
      <c r="B198" s="189"/>
    </row>
    <row r="199">
      <c r="B199" s="189"/>
    </row>
    <row r="200">
      <c r="B200" s="189"/>
    </row>
    <row r="201">
      <c r="B201" s="189"/>
    </row>
    <row r="202">
      <c r="B202" s="189"/>
    </row>
    <row r="203">
      <c r="B203" s="189"/>
    </row>
    <row r="204">
      <c r="B204" s="189"/>
    </row>
    <row r="205">
      <c r="B205" s="189"/>
    </row>
    <row r="206">
      <c r="B206" s="189"/>
    </row>
    <row r="207">
      <c r="B207" s="189"/>
    </row>
    <row r="208">
      <c r="B208" s="189"/>
    </row>
    <row r="209">
      <c r="B209" s="189"/>
    </row>
    <row r="210">
      <c r="B210" s="189"/>
    </row>
    <row r="211">
      <c r="B211" s="189"/>
    </row>
    <row r="212">
      <c r="B212" s="189"/>
    </row>
    <row r="213">
      <c r="B213" s="189"/>
    </row>
    <row r="214">
      <c r="B214" s="189"/>
    </row>
    <row r="215">
      <c r="B215" s="189"/>
    </row>
    <row r="216">
      <c r="B216" s="189"/>
    </row>
    <row r="217">
      <c r="B217" s="189"/>
    </row>
    <row r="218">
      <c r="B218" s="189"/>
    </row>
    <row r="219">
      <c r="B219" s="189"/>
    </row>
    <row r="220">
      <c r="B220" s="189"/>
    </row>
    <row r="221">
      <c r="B221" s="189"/>
    </row>
    <row r="222">
      <c r="B222" s="189"/>
    </row>
    <row r="223">
      <c r="B223" s="189"/>
    </row>
    <row r="224">
      <c r="B224" s="189"/>
    </row>
    <row r="225">
      <c r="B225" s="189"/>
    </row>
    <row r="226">
      <c r="B226" s="189"/>
    </row>
    <row r="227">
      <c r="B227" s="189"/>
    </row>
    <row r="228">
      <c r="B228" s="189"/>
    </row>
    <row r="229">
      <c r="B229" s="189"/>
    </row>
    <row r="230">
      <c r="B230" s="189"/>
    </row>
    <row r="231">
      <c r="B231" s="189"/>
    </row>
    <row r="232">
      <c r="B232" s="189"/>
    </row>
    <row r="233">
      <c r="B233" s="189"/>
    </row>
    <row r="234">
      <c r="B234" s="189"/>
    </row>
    <row r="235">
      <c r="B235" s="189"/>
    </row>
    <row r="236">
      <c r="B236" s="189"/>
    </row>
    <row r="237">
      <c r="B237" s="189"/>
    </row>
    <row r="238">
      <c r="B238" s="189"/>
    </row>
    <row r="239">
      <c r="B239" s="189"/>
    </row>
    <row r="240">
      <c r="B240" s="189"/>
    </row>
    <row r="241">
      <c r="B241" s="189"/>
    </row>
    <row r="242">
      <c r="B242" s="189"/>
    </row>
    <row r="243">
      <c r="B243" s="189"/>
    </row>
    <row r="244">
      <c r="B244" s="189"/>
    </row>
    <row r="245">
      <c r="B245" s="189"/>
    </row>
    <row r="246">
      <c r="B246" s="189"/>
    </row>
    <row r="247">
      <c r="B247" s="189"/>
    </row>
    <row r="248">
      <c r="B248" s="189"/>
    </row>
    <row r="249">
      <c r="B249" s="189"/>
    </row>
    <row r="250">
      <c r="B250" s="189"/>
    </row>
    <row r="251">
      <c r="B251" s="189"/>
    </row>
    <row r="252">
      <c r="B252" s="189"/>
    </row>
    <row r="253">
      <c r="B253" s="189"/>
    </row>
    <row r="254">
      <c r="B254" s="189"/>
    </row>
    <row r="255">
      <c r="B255" s="189"/>
    </row>
    <row r="256">
      <c r="B256" s="189"/>
    </row>
    <row r="257">
      <c r="B257" s="189"/>
    </row>
    <row r="258">
      <c r="B258" s="189"/>
    </row>
    <row r="259">
      <c r="B259" s="189"/>
    </row>
    <row r="260">
      <c r="B260" s="189"/>
    </row>
    <row r="261">
      <c r="B261" s="189"/>
    </row>
    <row r="262">
      <c r="B262" s="189"/>
    </row>
    <row r="263">
      <c r="B263" s="189"/>
    </row>
    <row r="264">
      <c r="B264" s="189"/>
    </row>
    <row r="265">
      <c r="B265" s="189"/>
    </row>
    <row r="266">
      <c r="B266" s="189"/>
    </row>
    <row r="267">
      <c r="B267" s="189"/>
    </row>
    <row r="268">
      <c r="B268" s="189"/>
    </row>
    <row r="269">
      <c r="B269" s="189"/>
    </row>
    <row r="270">
      <c r="B270" s="189"/>
    </row>
    <row r="271">
      <c r="B271" s="189"/>
    </row>
    <row r="272">
      <c r="B272" s="189"/>
    </row>
    <row r="273">
      <c r="B273" s="189"/>
    </row>
    <row r="274">
      <c r="B274" s="189"/>
    </row>
    <row r="275">
      <c r="B275" s="189"/>
    </row>
    <row r="276">
      <c r="B276" s="189"/>
    </row>
    <row r="277">
      <c r="B277" s="189"/>
    </row>
    <row r="278">
      <c r="B278" s="189"/>
    </row>
    <row r="279">
      <c r="B279" s="189"/>
    </row>
    <row r="280">
      <c r="B280" s="189"/>
    </row>
    <row r="281">
      <c r="B281" s="189"/>
    </row>
    <row r="282">
      <c r="B282" s="189"/>
    </row>
    <row r="283">
      <c r="B283" s="189"/>
    </row>
    <row r="284">
      <c r="B284" s="189"/>
    </row>
    <row r="285">
      <c r="B285" s="189"/>
    </row>
    <row r="286">
      <c r="B286" s="189"/>
    </row>
    <row r="287">
      <c r="B287" s="189"/>
    </row>
    <row r="288">
      <c r="B288" s="189"/>
    </row>
    <row r="289">
      <c r="B289" s="189"/>
    </row>
    <row r="290">
      <c r="B290" s="189"/>
    </row>
    <row r="291">
      <c r="B291" s="189"/>
    </row>
    <row r="292">
      <c r="B292" s="189"/>
    </row>
    <row r="293">
      <c r="B293" s="189"/>
    </row>
    <row r="294">
      <c r="B294" s="189"/>
    </row>
    <row r="295">
      <c r="B295" s="189"/>
    </row>
    <row r="296">
      <c r="B296" s="189"/>
    </row>
    <row r="297">
      <c r="B297" s="189"/>
    </row>
    <row r="298">
      <c r="B298" s="189"/>
    </row>
    <row r="299">
      <c r="B299" s="189"/>
    </row>
    <row r="300">
      <c r="B300" s="189"/>
    </row>
    <row r="301">
      <c r="B301" s="189"/>
    </row>
    <row r="302">
      <c r="B302" s="189"/>
    </row>
    <row r="303">
      <c r="B303" s="189"/>
    </row>
    <row r="304">
      <c r="B304" s="189"/>
    </row>
    <row r="305">
      <c r="B305" s="189"/>
    </row>
    <row r="306">
      <c r="B306" s="189"/>
    </row>
    <row r="307">
      <c r="B307" s="189"/>
    </row>
    <row r="308">
      <c r="B308" s="189"/>
    </row>
    <row r="309">
      <c r="B309" s="189"/>
    </row>
    <row r="310">
      <c r="B310" s="189"/>
    </row>
    <row r="311">
      <c r="B311" s="189"/>
    </row>
    <row r="312">
      <c r="B312" s="189"/>
    </row>
    <row r="313">
      <c r="B313" s="189"/>
    </row>
    <row r="314">
      <c r="B314" s="189"/>
    </row>
    <row r="315">
      <c r="B315" s="189"/>
    </row>
    <row r="316">
      <c r="B316" s="189"/>
    </row>
    <row r="317">
      <c r="B317" s="189"/>
    </row>
    <row r="318">
      <c r="B318" s="189"/>
    </row>
    <row r="319">
      <c r="B319" s="189"/>
    </row>
    <row r="320">
      <c r="B320" s="189"/>
    </row>
    <row r="321">
      <c r="B321" s="189"/>
    </row>
    <row r="322">
      <c r="B322" s="189"/>
    </row>
    <row r="323">
      <c r="B323" s="189"/>
    </row>
    <row r="324">
      <c r="B324" s="189"/>
    </row>
    <row r="325">
      <c r="B325" s="189"/>
    </row>
    <row r="326">
      <c r="B326" s="189"/>
    </row>
    <row r="327">
      <c r="B327" s="189"/>
    </row>
    <row r="328">
      <c r="B328" s="189"/>
    </row>
    <row r="329">
      <c r="B329" s="189"/>
    </row>
    <row r="330">
      <c r="B330" s="189"/>
    </row>
    <row r="331">
      <c r="B331" s="189"/>
    </row>
    <row r="332">
      <c r="B332" s="189"/>
    </row>
    <row r="333">
      <c r="B333" s="189"/>
    </row>
    <row r="334">
      <c r="B334" s="189"/>
    </row>
    <row r="335">
      <c r="B335" s="189"/>
    </row>
    <row r="336">
      <c r="B336" s="189"/>
    </row>
    <row r="337">
      <c r="B337" s="189"/>
    </row>
    <row r="338">
      <c r="B338" s="189"/>
    </row>
    <row r="339">
      <c r="B339" s="189"/>
    </row>
    <row r="340">
      <c r="B340" s="189"/>
    </row>
    <row r="341">
      <c r="B341" s="189"/>
    </row>
    <row r="342">
      <c r="B342" s="189"/>
    </row>
    <row r="343">
      <c r="B343" s="189"/>
    </row>
    <row r="344">
      <c r="B344" s="189"/>
    </row>
    <row r="345">
      <c r="B345" s="189"/>
    </row>
    <row r="346">
      <c r="B346" s="189"/>
    </row>
    <row r="347">
      <c r="B347" s="189"/>
    </row>
    <row r="348">
      <c r="B348" s="189"/>
    </row>
    <row r="349">
      <c r="B349" s="189"/>
    </row>
    <row r="350">
      <c r="B350" s="189"/>
    </row>
    <row r="351">
      <c r="B351" s="189"/>
    </row>
    <row r="352">
      <c r="B352" s="189"/>
    </row>
    <row r="353">
      <c r="B353" s="189"/>
    </row>
    <row r="354">
      <c r="B354" s="189"/>
    </row>
    <row r="355">
      <c r="B355" s="189"/>
    </row>
    <row r="356">
      <c r="B356" s="189"/>
    </row>
    <row r="357">
      <c r="B357" s="189"/>
    </row>
    <row r="358">
      <c r="B358" s="189"/>
    </row>
    <row r="359">
      <c r="B359" s="189"/>
    </row>
    <row r="360">
      <c r="B360" s="189"/>
    </row>
    <row r="361">
      <c r="B361" s="189"/>
    </row>
    <row r="362">
      <c r="B362" s="189"/>
    </row>
    <row r="363">
      <c r="B363" s="189"/>
    </row>
    <row r="364">
      <c r="B364" s="189"/>
    </row>
    <row r="365">
      <c r="B365" s="189"/>
    </row>
    <row r="366">
      <c r="B366" s="189"/>
    </row>
    <row r="367">
      <c r="B367" s="189"/>
    </row>
    <row r="368">
      <c r="B368" s="189"/>
    </row>
    <row r="369">
      <c r="B369" s="189"/>
    </row>
    <row r="370">
      <c r="B370" s="189"/>
    </row>
    <row r="371">
      <c r="B371" s="189"/>
    </row>
    <row r="372">
      <c r="B372" s="189"/>
    </row>
    <row r="373">
      <c r="B373" s="189"/>
    </row>
    <row r="374">
      <c r="B374" s="189"/>
    </row>
    <row r="375">
      <c r="B375" s="189"/>
    </row>
    <row r="376">
      <c r="B376" s="189"/>
    </row>
    <row r="377">
      <c r="B377" s="189"/>
    </row>
    <row r="378">
      <c r="B378" s="189"/>
    </row>
    <row r="379">
      <c r="B379" s="189"/>
    </row>
    <row r="380">
      <c r="B380" s="189"/>
    </row>
    <row r="381">
      <c r="B381" s="189"/>
    </row>
    <row r="382">
      <c r="B382" s="189"/>
    </row>
    <row r="383">
      <c r="B383" s="189"/>
    </row>
    <row r="384">
      <c r="B384" s="189"/>
    </row>
    <row r="385">
      <c r="B385" s="189"/>
    </row>
    <row r="386">
      <c r="B386" s="189"/>
    </row>
    <row r="387">
      <c r="B387" s="189"/>
    </row>
    <row r="388">
      <c r="B388" s="189"/>
    </row>
    <row r="389">
      <c r="B389" s="189"/>
    </row>
    <row r="390">
      <c r="B390" s="189"/>
    </row>
    <row r="391">
      <c r="B391" s="189"/>
    </row>
    <row r="392">
      <c r="B392" s="189"/>
    </row>
    <row r="393">
      <c r="B393" s="189"/>
    </row>
    <row r="394">
      <c r="B394" s="189"/>
    </row>
    <row r="395">
      <c r="B395" s="189"/>
    </row>
    <row r="396">
      <c r="B396" s="189"/>
    </row>
    <row r="397">
      <c r="B397" s="189"/>
    </row>
    <row r="398">
      <c r="B398" s="189"/>
    </row>
    <row r="399">
      <c r="B399" s="189"/>
    </row>
    <row r="400">
      <c r="B400" s="189"/>
    </row>
    <row r="401">
      <c r="B401" s="189"/>
    </row>
    <row r="402">
      <c r="B402" s="189"/>
    </row>
    <row r="403">
      <c r="B403" s="189"/>
    </row>
    <row r="404">
      <c r="B404" s="189"/>
    </row>
    <row r="405">
      <c r="B405" s="189"/>
    </row>
    <row r="406">
      <c r="B406" s="189"/>
    </row>
    <row r="407">
      <c r="B407" s="189"/>
    </row>
    <row r="408">
      <c r="B408" s="189"/>
    </row>
    <row r="409">
      <c r="B409" s="189"/>
    </row>
    <row r="410">
      <c r="B410" s="189"/>
    </row>
    <row r="411">
      <c r="B411" s="189"/>
    </row>
    <row r="412">
      <c r="B412" s="189"/>
    </row>
    <row r="413">
      <c r="B413" s="189"/>
    </row>
    <row r="414">
      <c r="B414" s="189"/>
    </row>
    <row r="415">
      <c r="B415" s="189"/>
    </row>
    <row r="416">
      <c r="B416" s="189"/>
    </row>
    <row r="417">
      <c r="B417" s="189"/>
    </row>
    <row r="418">
      <c r="B418" s="189"/>
    </row>
    <row r="419">
      <c r="B419" s="189"/>
    </row>
    <row r="420">
      <c r="B420" s="189"/>
    </row>
    <row r="421">
      <c r="B421" s="189"/>
    </row>
    <row r="422">
      <c r="B422" s="189"/>
    </row>
    <row r="423">
      <c r="B423" s="189"/>
    </row>
    <row r="424">
      <c r="B424" s="189"/>
    </row>
    <row r="425">
      <c r="B425" s="189"/>
    </row>
    <row r="426">
      <c r="B426" s="189"/>
    </row>
    <row r="427">
      <c r="B427" s="189"/>
    </row>
    <row r="428">
      <c r="B428" s="189"/>
    </row>
    <row r="429">
      <c r="B429" s="189"/>
    </row>
    <row r="430">
      <c r="B430" s="189"/>
    </row>
    <row r="431">
      <c r="B431" s="189"/>
    </row>
    <row r="432">
      <c r="B432" s="189"/>
    </row>
    <row r="433">
      <c r="B433" s="189"/>
    </row>
    <row r="434">
      <c r="B434" s="189"/>
    </row>
    <row r="435">
      <c r="B435" s="189"/>
    </row>
    <row r="436">
      <c r="B436" s="189"/>
    </row>
    <row r="437">
      <c r="B437" s="189"/>
    </row>
    <row r="438">
      <c r="B438" s="189"/>
    </row>
    <row r="439">
      <c r="B439" s="189"/>
    </row>
    <row r="440">
      <c r="B440" s="189"/>
    </row>
    <row r="441">
      <c r="B441" s="189"/>
    </row>
    <row r="442">
      <c r="B442" s="189"/>
    </row>
    <row r="443">
      <c r="B443" s="189"/>
    </row>
    <row r="444">
      <c r="B444" s="189"/>
    </row>
    <row r="445">
      <c r="B445" s="189"/>
    </row>
    <row r="446">
      <c r="B446" s="189"/>
    </row>
    <row r="447">
      <c r="B447" s="189"/>
    </row>
    <row r="448">
      <c r="B448" s="189"/>
    </row>
    <row r="449">
      <c r="B449" s="189"/>
    </row>
    <row r="450">
      <c r="B450" s="189"/>
    </row>
    <row r="451">
      <c r="B451" s="189"/>
    </row>
    <row r="452">
      <c r="B452" s="189"/>
    </row>
    <row r="453">
      <c r="B453" s="189"/>
    </row>
    <row r="454">
      <c r="B454" s="189"/>
    </row>
    <row r="455">
      <c r="B455" s="189"/>
    </row>
    <row r="456">
      <c r="B456" s="189"/>
    </row>
    <row r="457">
      <c r="B457" s="189"/>
    </row>
    <row r="458">
      <c r="B458" s="189"/>
    </row>
    <row r="459">
      <c r="B459" s="189"/>
    </row>
    <row r="460">
      <c r="B460" s="189"/>
    </row>
    <row r="461">
      <c r="B461" s="189"/>
    </row>
    <row r="462">
      <c r="B462" s="189"/>
    </row>
    <row r="463">
      <c r="B463" s="189"/>
    </row>
    <row r="464">
      <c r="B464" s="189"/>
    </row>
    <row r="465">
      <c r="B465" s="189"/>
    </row>
    <row r="466">
      <c r="B466" s="189"/>
    </row>
    <row r="467">
      <c r="B467" s="189"/>
    </row>
    <row r="468">
      <c r="B468" s="189"/>
    </row>
    <row r="469">
      <c r="B469" s="189"/>
    </row>
    <row r="470">
      <c r="B470" s="189"/>
    </row>
    <row r="471">
      <c r="B471" s="189"/>
    </row>
    <row r="472">
      <c r="B472" s="189"/>
    </row>
    <row r="473">
      <c r="B473" s="189"/>
    </row>
    <row r="474">
      <c r="B474" s="189"/>
    </row>
    <row r="475">
      <c r="B475" s="189"/>
    </row>
    <row r="476">
      <c r="B476" s="189"/>
    </row>
    <row r="477">
      <c r="B477" s="189"/>
    </row>
    <row r="478">
      <c r="B478" s="189"/>
    </row>
    <row r="479">
      <c r="B479" s="189"/>
    </row>
    <row r="480">
      <c r="B480" s="189"/>
    </row>
    <row r="481">
      <c r="B481" s="189"/>
    </row>
    <row r="482">
      <c r="B482" s="189"/>
    </row>
    <row r="483">
      <c r="B483" s="189"/>
    </row>
    <row r="484">
      <c r="B484" s="189"/>
    </row>
    <row r="485">
      <c r="B485" s="189"/>
    </row>
    <row r="486">
      <c r="B486" s="189"/>
    </row>
    <row r="487">
      <c r="B487" s="189"/>
    </row>
    <row r="488">
      <c r="B488" s="189"/>
    </row>
    <row r="489">
      <c r="B489" s="189"/>
    </row>
    <row r="490">
      <c r="B490" s="189"/>
    </row>
    <row r="491">
      <c r="B491" s="189"/>
    </row>
    <row r="492">
      <c r="B492" s="189"/>
    </row>
    <row r="493">
      <c r="B493" s="189"/>
    </row>
    <row r="494">
      <c r="B494" s="189"/>
    </row>
    <row r="495">
      <c r="B495" s="189"/>
    </row>
    <row r="496">
      <c r="B496" s="189"/>
    </row>
    <row r="497">
      <c r="B497" s="189"/>
    </row>
    <row r="498">
      <c r="B498" s="189"/>
    </row>
    <row r="499">
      <c r="B499" s="189"/>
    </row>
    <row r="500">
      <c r="B500" s="189"/>
    </row>
    <row r="501">
      <c r="B501" s="189"/>
    </row>
    <row r="502">
      <c r="B502" s="189"/>
    </row>
    <row r="503">
      <c r="B503" s="189"/>
    </row>
    <row r="504">
      <c r="B504" s="189"/>
    </row>
    <row r="505">
      <c r="B505" s="189"/>
    </row>
    <row r="506">
      <c r="B506" s="189"/>
    </row>
    <row r="507">
      <c r="B507" s="189"/>
    </row>
    <row r="508">
      <c r="B508" s="189"/>
    </row>
    <row r="509">
      <c r="B509" s="189"/>
    </row>
    <row r="510">
      <c r="B510" s="189"/>
    </row>
    <row r="511">
      <c r="B511" s="189"/>
    </row>
    <row r="512">
      <c r="B512" s="189"/>
    </row>
    <row r="513">
      <c r="B513" s="189"/>
    </row>
    <row r="514">
      <c r="B514" s="189"/>
    </row>
    <row r="515">
      <c r="B515" s="189"/>
    </row>
    <row r="516">
      <c r="B516" s="189"/>
    </row>
    <row r="517">
      <c r="B517" s="189"/>
    </row>
    <row r="518">
      <c r="B518" s="189"/>
    </row>
    <row r="519">
      <c r="B519" s="189"/>
    </row>
    <row r="520">
      <c r="B520" s="189"/>
    </row>
    <row r="521">
      <c r="B521" s="189"/>
    </row>
    <row r="522">
      <c r="B522" s="189"/>
    </row>
    <row r="523">
      <c r="B523" s="189"/>
    </row>
    <row r="524">
      <c r="B524" s="189"/>
    </row>
    <row r="525">
      <c r="B525" s="189"/>
    </row>
    <row r="526">
      <c r="B526" s="189"/>
    </row>
    <row r="527">
      <c r="B527" s="189"/>
    </row>
    <row r="528">
      <c r="B528" s="189"/>
    </row>
    <row r="529">
      <c r="B529" s="189"/>
    </row>
    <row r="530">
      <c r="B530" s="189"/>
    </row>
    <row r="531">
      <c r="B531" s="189"/>
    </row>
    <row r="532">
      <c r="B532" s="189"/>
    </row>
    <row r="533">
      <c r="B533" s="189"/>
    </row>
    <row r="534">
      <c r="B534" s="189"/>
    </row>
    <row r="535">
      <c r="B535" s="189"/>
    </row>
    <row r="536">
      <c r="B536" s="189"/>
    </row>
    <row r="537">
      <c r="B537" s="189"/>
    </row>
    <row r="538">
      <c r="B538" s="189"/>
    </row>
    <row r="539">
      <c r="B539" s="189"/>
    </row>
    <row r="540">
      <c r="B540" s="189"/>
    </row>
    <row r="541">
      <c r="B541" s="189"/>
    </row>
    <row r="542">
      <c r="B542" s="189"/>
    </row>
    <row r="543">
      <c r="B543" s="189"/>
    </row>
    <row r="544">
      <c r="B544" s="189"/>
    </row>
    <row r="545">
      <c r="B545" s="189"/>
    </row>
    <row r="546">
      <c r="B546" s="189"/>
    </row>
    <row r="547">
      <c r="B547" s="189"/>
    </row>
    <row r="548">
      <c r="B548" s="189"/>
    </row>
    <row r="549">
      <c r="B549" s="189"/>
    </row>
    <row r="550">
      <c r="B550" s="189"/>
    </row>
    <row r="551">
      <c r="B551" s="189"/>
    </row>
    <row r="552">
      <c r="B552" s="189"/>
    </row>
    <row r="553">
      <c r="B553" s="189"/>
    </row>
    <row r="554">
      <c r="B554" s="189"/>
    </row>
    <row r="555">
      <c r="B555" s="189"/>
    </row>
    <row r="556">
      <c r="B556" s="189"/>
    </row>
    <row r="557">
      <c r="B557" s="189"/>
    </row>
    <row r="558">
      <c r="B558" s="189"/>
    </row>
    <row r="559">
      <c r="B559" s="189"/>
    </row>
    <row r="560">
      <c r="B560" s="189"/>
    </row>
    <row r="561">
      <c r="B561" s="189"/>
    </row>
    <row r="562">
      <c r="B562" s="189"/>
    </row>
    <row r="563">
      <c r="B563" s="189"/>
    </row>
    <row r="564">
      <c r="B564" s="189"/>
    </row>
    <row r="565">
      <c r="B565" s="189"/>
    </row>
    <row r="566">
      <c r="B566" s="189"/>
    </row>
    <row r="567">
      <c r="B567" s="189"/>
    </row>
    <row r="568">
      <c r="B568" s="189"/>
    </row>
    <row r="569">
      <c r="B569" s="189"/>
    </row>
    <row r="570">
      <c r="B570" s="189"/>
    </row>
    <row r="571">
      <c r="B571" s="189"/>
    </row>
    <row r="572">
      <c r="B572" s="189"/>
    </row>
    <row r="573">
      <c r="B573" s="189"/>
    </row>
    <row r="574">
      <c r="B574" s="189"/>
    </row>
    <row r="575">
      <c r="B575" s="189"/>
    </row>
    <row r="576">
      <c r="B576" s="189"/>
    </row>
    <row r="577">
      <c r="B577" s="189"/>
    </row>
    <row r="578">
      <c r="B578" s="189"/>
    </row>
    <row r="579">
      <c r="B579" s="189"/>
    </row>
    <row r="580">
      <c r="B580" s="189"/>
    </row>
    <row r="581">
      <c r="B581" s="189"/>
    </row>
    <row r="582">
      <c r="B582" s="189"/>
    </row>
    <row r="583">
      <c r="B583" s="189"/>
    </row>
    <row r="584">
      <c r="B584" s="189"/>
    </row>
    <row r="585">
      <c r="B585" s="189"/>
    </row>
    <row r="586">
      <c r="B586" s="189"/>
    </row>
    <row r="587">
      <c r="B587" s="189"/>
    </row>
    <row r="588">
      <c r="B588" s="189"/>
    </row>
    <row r="589">
      <c r="B589" s="189"/>
    </row>
    <row r="590">
      <c r="B590" s="189"/>
    </row>
    <row r="591">
      <c r="B591" s="189"/>
    </row>
    <row r="592">
      <c r="B592" s="189"/>
    </row>
    <row r="593">
      <c r="B593" s="189"/>
    </row>
    <row r="594">
      <c r="B594" s="189"/>
    </row>
    <row r="595">
      <c r="B595" s="189"/>
    </row>
    <row r="596">
      <c r="B596" s="189"/>
    </row>
    <row r="597">
      <c r="B597" s="189"/>
    </row>
    <row r="598">
      <c r="B598" s="189"/>
    </row>
    <row r="599">
      <c r="B599" s="189"/>
    </row>
    <row r="600">
      <c r="B600" s="189"/>
    </row>
    <row r="601">
      <c r="B601" s="189"/>
    </row>
    <row r="602">
      <c r="B602" s="189"/>
    </row>
    <row r="603">
      <c r="B603" s="189"/>
    </row>
    <row r="604">
      <c r="B604" s="189"/>
    </row>
    <row r="605">
      <c r="B605" s="189"/>
    </row>
    <row r="606">
      <c r="B606" s="189"/>
    </row>
    <row r="607">
      <c r="B607" s="189"/>
    </row>
    <row r="608">
      <c r="B608" s="189"/>
    </row>
    <row r="609">
      <c r="B609" s="189"/>
    </row>
    <row r="610">
      <c r="B610" s="189"/>
    </row>
    <row r="611">
      <c r="B611" s="189"/>
    </row>
    <row r="612">
      <c r="B612" s="189"/>
    </row>
    <row r="613">
      <c r="B613" s="189"/>
    </row>
    <row r="614">
      <c r="B614" s="189"/>
    </row>
    <row r="615">
      <c r="B615" s="189"/>
    </row>
    <row r="616">
      <c r="B616" s="189"/>
    </row>
    <row r="617">
      <c r="B617" s="189"/>
    </row>
    <row r="618">
      <c r="B618" s="189"/>
    </row>
    <row r="619">
      <c r="B619" s="189"/>
    </row>
    <row r="620">
      <c r="B620" s="189"/>
    </row>
    <row r="621">
      <c r="B621" s="189"/>
    </row>
    <row r="622">
      <c r="B622" s="189"/>
    </row>
    <row r="623">
      <c r="B623" s="189"/>
    </row>
    <row r="624">
      <c r="B624" s="189"/>
    </row>
    <row r="625">
      <c r="B625" s="189"/>
    </row>
    <row r="626">
      <c r="B626" s="189"/>
    </row>
    <row r="627">
      <c r="B627" s="189"/>
    </row>
    <row r="628">
      <c r="B628" s="189"/>
    </row>
    <row r="629">
      <c r="B629" s="189"/>
    </row>
    <row r="630">
      <c r="B630" s="189"/>
    </row>
    <row r="631">
      <c r="B631" s="189"/>
    </row>
    <row r="632">
      <c r="B632" s="189"/>
    </row>
    <row r="633">
      <c r="B633" s="189"/>
    </row>
    <row r="634">
      <c r="B634" s="189"/>
    </row>
    <row r="635">
      <c r="B635" s="189"/>
    </row>
    <row r="636">
      <c r="B636" s="189"/>
    </row>
    <row r="637">
      <c r="B637" s="189"/>
    </row>
    <row r="638">
      <c r="B638" s="189"/>
    </row>
    <row r="639">
      <c r="B639" s="189"/>
    </row>
    <row r="640">
      <c r="B640" s="189"/>
    </row>
    <row r="641">
      <c r="B641" s="189"/>
    </row>
    <row r="642">
      <c r="B642" s="189"/>
    </row>
    <row r="643">
      <c r="B643" s="189"/>
    </row>
    <row r="644">
      <c r="B644" s="189"/>
    </row>
    <row r="645">
      <c r="B645" s="189"/>
    </row>
    <row r="646">
      <c r="B646" s="189"/>
    </row>
    <row r="647">
      <c r="B647" s="189"/>
    </row>
    <row r="648">
      <c r="B648" s="189"/>
    </row>
    <row r="649">
      <c r="B649" s="189"/>
    </row>
    <row r="650">
      <c r="B650" s="189"/>
    </row>
    <row r="651">
      <c r="B651" s="189"/>
    </row>
    <row r="652">
      <c r="B652" s="189"/>
    </row>
    <row r="653">
      <c r="B653" s="189"/>
    </row>
    <row r="654">
      <c r="B654" s="189"/>
    </row>
    <row r="655">
      <c r="B655" s="189"/>
    </row>
    <row r="656">
      <c r="B656" s="189"/>
    </row>
    <row r="657">
      <c r="B657" s="189"/>
    </row>
    <row r="658">
      <c r="B658" s="189"/>
    </row>
    <row r="659">
      <c r="B659" s="189"/>
    </row>
    <row r="660">
      <c r="B660" s="189"/>
    </row>
    <row r="661">
      <c r="B661" s="189"/>
    </row>
    <row r="662">
      <c r="B662" s="189"/>
    </row>
    <row r="663">
      <c r="B663" s="189"/>
    </row>
    <row r="664">
      <c r="B664" s="189"/>
    </row>
    <row r="665">
      <c r="B665" s="189"/>
    </row>
    <row r="666">
      <c r="B666" s="189"/>
    </row>
    <row r="667">
      <c r="B667" s="189"/>
    </row>
    <row r="668">
      <c r="B668" s="189"/>
    </row>
    <row r="669">
      <c r="B669" s="189"/>
    </row>
    <row r="670">
      <c r="B670" s="189"/>
    </row>
    <row r="671">
      <c r="B671" s="189"/>
    </row>
    <row r="672">
      <c r="B672" s="189"/>
    </row>
    <row r="673">
      <c r="B673" s="189"/>
    </row>
    <row r="674">
      <c r="B674" s="189"/>
    </row>
    <row r="675">
      <c r="B675" s="189"/>
    </row>
    <row r="676">
      <c r="B676" s="189"/>
    </row>
    <row r="677">
      <c r="B677" s="189"/>
    </row>
    <row r="678">
      <c r="B678" s="189"/>
    </row>
    <row r="679">
      <c r="B679" s="189"/>
    </row>
    <row r="680">
      <c r="B680" s="189"/>
    </row>
    <row r="681">
      <c r="B681" s="189"/>
    </row>
    <row r="682">
      <c r="B682" s="189"/>
    </row>
    <row r="683">
      <c r="B683" s="189"/>
    </row>
    <row r="684">
      <c r="B684" s="189"/>
    </row>
    <row r="685">
      <c r="B685" s="189"/>
    </row>
    <row r="686">
      <c r="B686" s="189"/>
    </row>
    <row r="687">
      <c r="B687" s="189"/>
    </row>
    <row r="688">
      <c r="B688" s="189"/>
    </row>
    <row r="689">
      <c r="B689" s="189"/>
    </row>
    <row r="690">
      <c r="B690" s="189"/>
    </row>
    <row r="691">
      <c r="B691" s="189"/>
    </row>
    <row r="692">
      <c r="B692" s="189"/>
    </row>
    <row r="693">
      <c r="B693" s="189"/>
    </row>
    <row r="694">
      <c r="B694" s="189"/>
    </row>
    <row r="695">
      <c r="B695" s="189"/>
    </row>
    <row r="696">
      <c r="B696" s="189"/>
    </row>
    <row r="697">
      <c r="B697" s="189"/>
    </row>
    <row r="698">
      <c r="B698" s="189"/>
    </row>
    <row r="699">
      <c r="B699" s="189"/>
    </row>
    <row r="700">
      <c r="B700" s="189"/>
    </row>
    <row r="701">
      <c r="B701" s="189"/>
    </row>
    <row r="702">
      <c r="B702" s="189"/>
    </row>
    <row r="703">
      <c r="B703" s="189"/>
    </row>
    <row r="704">
      <c r="B704" s="189"/>
    </row>
    <row r="705">
      <c r="B705" s="189"/>
    </row>
    <row r="706">
      <c r="B706" s="189"/>
    </row>
    <row r="707">
      <c r="B707" s="189"/>
    </row>
    <row r="708">
      <c r="B708" s="189"/>
    </row>
    <row r="709">
      <c r="B709" s="189"/>
    </row>
    <row r="710">
      <c r="B710" s="189"/>
    </row>
    <row r="711">
      <c r="B711" s="189"/>
    </row>
    <row r="712">
      <c r="B712" s="189"/>
    </row>
    <row r="713">
      <c r="B713" s="189"/>
    </row>
    <row r="714">
      <c r="B714" s="189"/>
    </row>
    <row r="715">
      <c r="B715" s="189"/>
    </row>
    <row r="716">
      <c r="B716" s="189"/>
    </row>
    <row r="717">
      <c r="B717" s="189"/>
    </row>
    <row r="718">
      <c r="B718" s="189"/>
    </row>
    <row r="719">
      <c r="B719" s="189"/>
    </row>
    <row r="720">
      <c r="B720" s="189"/>
    </row>
    <row r="721">
      <c r="B721" s="189"/>
    </row>
    <row r="722">
      <c r="B722" s="189"/>
    </row>
    <row r="723">
      <c r="B723" s="189"/>
    </row>
    <row r="724">
      <c r="B724" s="189"/>
    </row>
    <row r="725">
      <c r="B725" s="189"/>
    </row>
    <row r="726">
      <c r="B726" s="189"/>
    </row>
    <row r="727">
      <c r="B727" s="189"/>
    </row>
    <row r="728">
      <c r="B728" s="189"/>
    </row>
    <row r="729">
      <c r="B729" s="189"/>
    </row>
    <row r="730">
      <c r="B730" s="189"/>
    </row>
    <row r="731">
      <c r="B731" s="189"/>
    </row>
    <row r="732">
      <c r="B732" s="189"/>
    </row>
    <row r="733">
      <c r="B733" s="189"/>
    </row>
    <row r="734">
      <c r="B734" s="189"/>
    </row>
    <row r="735">
      <c r="B735" s="189"/>
    </row>
    <row r="736">
      <c r="B736" s="189"/>
    </row>
    <row r="737">
      <c r="B737" s="189"/>
    </row>
    <row r="738">
      <c r="B738" s="189"/>
    </row>
    <row r="739">
      <c r="B739" s="189"/>
    </row>
    <row r="740">
      <c r="B740" s="189"/>
    </row>
    <row r="741">
      <c r="B741" s="189"/>
    </row>
    <row r="742">
      <c r="B742" s="189"/>
    </row>
    <row r="743">
      <c r="B743" s="189"/>
    </row>
    <row r="744">
      <c r="B744" s="189"/>
    </row>
    <row r="745">
      <c r="B745" s="189"/>
    </row>
    <row r="746">
      <c r="B746" s="189"/>
    </row>
    <row r="747">
      <c r="B747" s="189"/>
    </row>
    <row r="748">
      <c r="B748" s="189"/>
    </row>
    <row r="749">
      <c r="B749" s="189"/>
    </row>
    <row r="750">
      <c r="B750" s="189"/>
    </row>
    <row r="751">
      <c r="B751" s="189"/>
    </row>
    <row r="752">
      <c r="B752" s="189"/>
    </row>
    <row r="753">
      <c r="B753" s="189"/>
    </row>
    <row r="754">
      <c r="B754" s="189"/>
    </row>
    <row r="755">
      <c r="B755" s="189"/>
    </row>
    <row r="756">
      <c r="B756" s="189"/>
    </row>
    <row r="757">
      <c r="B757" s="189"/>
    </row>
    <row r="758">
      <c r="B758" s="189"/>
    </row>
    <row r="759">
      <c r="B759" s="189"/>
    </row>
    <row r="760">
      <c r="B760" s="189"/>
    </row>
    <row r="761">
      <c r="B761" s="189"/>
    </row>
    <row r="762">
      <c r="B762" s="189"/>
    </row>
    <row r="763">
      <c r="B763" s="189"/>
    </row>
    <row r="764">
      <c r="B764" s="189"/>
    </row>
    <row r="765">
      <c r="B765" s="189"/>
    </row>
    <row r="766">
      <c r="B766" s="189"/>
    </row>
    <row r="767">
      <c r="B767" s="189"/>
    </row>
    <row r="768">
      <c r="B768" s="189"/>
    </row>
    <row r="769">
      <c r="B769" s="189"/>
    </row>
    <row r="770">
      <c r="B770" s="189"/>
    </row>
    <row r="771">
      <c r="B771" s="189"/>
    </row>
    <row r="772">
      <c r="B772" s="189"/>
    </row>
    <row r="773">
      <c r="B773" s="189"/>
    </row>
    <row r="774">
      <c r="B774" s="189"/>
    </row>
    <row r="775">
      <c r="B775" s="189"/>
    </row>
    <row r="776">
      <c r="B776" s="189"/>
    </row>
    <row r="777">
      <c r="B777" s="189"/>
    </row>
    <row r="778">
      <c r="B778" s="189"/>
    </row>
    <row r="779">
      <c r="B779" s="189"/>
    </row>
    <row r="780">
      <c r="B780" s="189"/>
    </row>
    <row r="781">
      <c r="B781" s="189"/>
    </row>
    <row r="782">
      <c r="B782" s="189"/>
    </row>
    <row r="783">
      <c r="B783" s="189"/>
    </row>
    <row r="784">
      <c r="B784" s="189"/>
    </row>
    <row r="785">
      <c r="B785" s="189"/>
    </row>
    <row r="786">
      <c r="B786" s="189"/>
    </row>
    <row r="787">
      <c r="B787" s="189"/>
    </row>
    <row r="788">
      <c r="B788" s="189"/>
    </row>
    <row r="789">
      <c r="B789" s="189"/>
    </row>
    <row r="790">
      <c r="B790" s="189"/>
    </row>
    <row r="791">
      <c r="B791" s="189"/>
    </row>
    <row r="792">
      <c r="B792" s="189"/>
    </row>
    <row r="793">
      <c r="B793" s="189"/>
    </row>
    <row r="794">
      <c r="B794" s="189"/>
    </row>
    <row r="795">
      <c r="B795" s="189"/>
    </row>
    <row r="796">
      <c r="B796" s="189"/>
    </row>
    <row r="797">
      <c r="B797" s="189"/>
    </row>
    <row r="798">
      <c r="B798" s="189"/>
    </row>
    <row r="799">
      <c r="B799" s="189"/>
    </row>
    <row r="800">
      <c r="B800" s="189"/>
    </row>
    <row r="801">
      <c r="B801" s="189"/>
    </row>
    <row r="802">
      <c r="B802" s="189"/>
    </row>
    <row r="803">
      <c r="B803" s="189"/>
    </row>
    <row r="804">
      <c r="B804" s="189"/>
    </row>
    <row r="805">
      <c r="B805" s="189"/>
    </row>
    <row r="806">
      <c r="B806" s="189"/>
    </row>
    <row r="807">
      <c r="B807" s="189"/>
    </row>
    <row r="808">
      <c r="B808" s="189"/>
    </row>
    <row r="809">
      <c r="B809" s="189"/>
    </row>
    <row r="810">
      <c r="B810" s="189"/>
    </row>
    <row r="811">
      <c r="B811" s="189"/>
    </row>
    <row r="812">
      <c r="B812" s="189"/>
    </row>
    <row r="813">
      <c r="B813" s="189"/>
    </row>
    <row r="814">
      <c r="B814" s="189"/>
    </row>
    <row r="815">
      <c r="B815" s="189"/>
    </row>
    <row r="816">
      <c r="B816" s="189"/>
    </row>
    <row r="817">
      <c r="B817" s="189"/>
    </row>
    <row r="818">
      <c r="B818" s="189"/>
    </row>
    <row r="819">
      <c r="B819" s="189"/>
    </row>
    <row r="820">
      <c r="B820" s="189"/>
    </row>
    <row r="821">
      <c r="B821" s="189"/>
    </row>
    <row r="822">
      <c r="B822" s="189"/>
    </row>
    <row r="823">
      <c r="B823" s="189"/>
    </row>
    <row r="824">
      <c r="B824" s="189"/>
    </row>
    <row r="825">
      <c r="B825" s="189"/>
    </row>
    <row r="826">
      <c r="B826" s="189"/>
    </row>
    <row r="827">
      <c r="B827" s="189"/>
    </row>
    <row r="828">
      <c r="B828" s="189"/>
    </row>
    <row r="829">
      <c r="B829" s="189"/>
    </row>
    <row r="830">
      <c r="B830" s="189"/>
    </row>
    <row r="831">
      <c r="B831" s="189"/>
    </row>
    <row r="832">
      <c r="B832" s="189"/>
    </row>
    <row r="833">
      <c r="B833" s="189"/>
    </row>
    <row r="834">
      <c r="B834" s="189"/>
    </row>
    <row r="835">
      <c r="B835" s="189"/>
    </row>
    <row r="836">
      <c r="B836" s="189"/>
    </row>
    <row r="837">
      <c r="B837" s="189"/>
    </row>
    <row r="838">
      <c r="B838" s="189"/>
    </row>
    <row r="839">
      <c r="B839" s="189"/>
    </row>
    <row r="840">
      <c r="B840" s="189"/>
    </row>
    <row r="841">
      <c r="B841" s="189"/>
    </row>
    <row r="842">
      <c r="B842" s="189"/>
    </row>
    <row r="843">
      <c r="B843" s="189"/>
    </row>
    <row r="844">
      <c r="B844" s="189"/>
    </row>
    <row r="845">
      <c r="B845" s="189"/>
    </row>
    <row r="846">
      <c r="B846" s="189"/>
    </row>
    <row r="847">
      <c r="B847" s="189"/>
    </row>
    <row r="848">
      <c r="B848" s="189"/>
    </row>
    <row r="849">
      <c r="B849" s="189"/>
    </row>
    <row r="850">
      <c r="B850" s="189"/>
    </row>
    <row r="851">
      <c r="B851" s="189"/>
    </row>
    <row r="852">
      <c r="B852" s="189"/>
    </row>
    <row r="853">
      <c r="B853" s="189"/>
    </row>
    <row r="854">
      <c r="B854" s="189"/>
    </row>
    <row r="855">
      <c r="B855" s="189"/>
    </row>
    <row r="856">
      <c r="B856" s="189"/>
    </row>
    <row r="857">
      <c r="B857" s="189"/>
    </row>
    <row r="858">
      <c r="B858" s="189"/>
    </row>
    <row r="859">
      <c r="B859" s="189"/>
    </row>
    <row r="860">
      <c r="B860" s="189"/>
    </row>
    <row r="861">
      <c r="B861" s="189"/>
    </row>
    <row r="862">
      <c r="B862" s="189"/>
    </row>
    <row r="863">
      <c r="B863" s="189"/>
    </row>
    <row r="864">
      <c r="B864" s="189"/>
    </row>
    <row r="865">
      <c r="B865" s="189"/>
    </row>
    <row r="866">
      <c r="B866" s="189"/>
    </row>
    <row r="867">
      <c r="B867" s="189"/>
    </row>
    <row r="868">
      <c r="B868" s="189"/>
    </row>
    <row r="869">
      <c r="B869" s="189"/>
    </row>
    <row r="870">
      <c r="B870" s="189"/>
    </row>
    <row r="871">
      <c r="B871" s="189"/>
    </row>
    <row r="872">
      <c r="B872" s="189"/>
    </row>
    <row r="873">
      <c r="B873" s="189"/>
    </row>
    <row r="874">
      <c r="B874" s="189"/>
    </row>
    <row r="875">
      <c r="B875" s="189"/>
    </row>
    <row r="876">
      <c r="B876" s="189"/>
    </row>
    <row r="877">
      <c r="B877" s="189"/>
    </row>
    <row r="878">
      <c r="B878" s="189"/>
    </row>
    <row r="879">
      <c r="B879" s="189"/>
    </row>
    <row r="880">
      <c r="B880" s="189"/>
    </row>
    <row r="881">
      <c r="B881" s="189"/>
    </row>
    <row r="882">
      <c r="B882" s="189"/>
    </row>
    <row r="883">
      <c r="B883" s="189"/>
    </row>
    <row r="884">
      <c r="B884" s="189"/>
    </row>
    <row r="885">
      <c r="B885" s="189"/>
    </row>
    <row r="886">
      <c r="B886" s="189"/>
    </row>
    <row r="887">
      <c r="B887" s="189"/>
    </row>
    <row r="888">
      <c r="B888" s="189"/>
    </row>
    <row r="889">
      <c r="B889" s="189"/>
    </row>
    <row r="890">
      <c r="B890" s="189"/>
    </row>
    <row r="891">
      <c r="B891" s="189"/>
    </row>
    <row r="892">
      <c r="B892" s="189"/>
    </row>
    <row r="893">
      <c r="B893" s="189"/>
    </row>
    <row r="894">
      <c r="B894" s="189"/>
    </row>
    <row r="895">
      <c r="B895" s="189"/>
    </row>
    <row r="896">
      <c r="B896" s="189"/>
    </row>
    <row r="897">
      <c r="B897" s="189"/>
    </row>
    <row r="898">
      <c r="B898" s="189"/>
    </row>
    <row r="899">
      <c r="B899" s="189"/>
    </row>
    <row r="900">
      <c r="B900" s="189"/>
    </row>
    <row r="901">
      <c r="B901" s="189"/>
    </row>
    <row r="902">
      <c r="B902" s="189"/>
    </row>
    <row r="903">
      <c r="B903" s="189"/>
    </row>
    <row r="904">
      <c r="B904" s="189"/>
    </row>
    <row r="905">
      <c r="B905" s="189"/>
    </row>
    <row r="906">
      <c r="B906" s="189"/>
    </row>
    <row r="907">
      <c r="B907" s="189"/>
    </row>
    <row r="908">
      <c r="B908" s="189"/>
    </row>
    <row r="909">
      <c r="B909" s="189"/>
    </row>
    <row r="910">
      <c r="B910" s="189"/>
    </row>
    <row r="911">
      <c r="B911" s="189"/>
    </row>
    <row r="912">
      <c r="B912" s="189"/>
    </row>
    <row r="913">
      <c r="B913" s="189"/>
    </row>
    <row r="914">
      <c r="B914" s="189"/>
    </row>
    <row r="915">
      <c r="B915" s="189"/>
    </row>
    <row r="916">
      <c r="B916" s="189"/>
    </row>
    <row r="917">
      <c r="B917" s="189"/>
    </row>
    <row r="918">
      <c r="B918" s="189"/>
    </row>
    <row r="919">
      <c r="B919" s="189"/>
    </row>
    <row r="920">
      <c r="B920" s="189"/>
    </row>
    <row r="921">
      <c r="B921" s="189"/>
    </row>
    <row r="922">
      <c r="B922" s="189"/>
    </row>
    <row r="923">
      <c r="B923" s="189"/>
    </row>
    <row r="924">
      <c r="B924" s="189"/>
    </row>
    <row r="925">
      <c r="B925" s="189"/>
    </row>
    <row r="926">
      <c r="B926" s="189"/>
    </row>
    <row r="927">
      <c r="B927" s="189"/>
    </row>
    <row r="928">
      <c r="B928" s="189"/>
    </row>
    <row r="929">
      <c r="B929" s="189"/>
    </row>
    <row r="930">
      <c r="B930" s="189"/>
    </row>
    <row r="931">
      <c r="B931" s="189"/>
    </row>
    <row r="932">
      <c r="B932" s="189"/>
    </row>
    <row r="933">
      <c r="B933" s="189"/>
    </row>
    <row r="934">
      <c r="B934" s="189"/>
    </row>
    <row r="935">
      <c r="B935" s="189"/>
    </row>
    <row r="936">
      <c r="B936" s="189"/>
    </row>
    <row r="937">
      <c r="B937" s="189"/>
    </row>
    <row r="938">
      <c r="B938" s="189"/>
    </row>
    <row r="939">
      <c r="B939" s="189"/>
    </row>
    <row r="940">
      <c r="B940" s="189"/>
    </row>
    <row r="941">
      <c r="B941" s="189"/>
    </row>
    <row r="942">
      <c r="B942" s="189"/>
    </row>
    <row r="943">
      <c r="B943" s="189"/>
    </row>
    <row r="944">
      <c r="B944" s="189"/>
    </row>
    <row r="945">
      <c r="B945" s="189"/>
    </row>
    <row r="946">
      <c r="B946" s="189"/>
    </row>
    <row r="947">
      <c r="B947" s="189"/>
    </row>
    <row r="948">
      <c r="B948" s="189"/>
    </row>
    <row r="949">
      <c r="B949" s="189"/>
    </row>
    <row r="950">
      <c r="B950" s="189"/>
    </row>
    <row r="951">
      <c r="B951" s="189"/>
    </row>
    <row r="952">
      <c r="B952" s="189"/>
    </row>
    <row r="953">
      <c r="B953" s="189"/>
    </row>
    <row r="954">
      <c r="B954" s="189"/>
    </row>
    <row r="955">
      <c r="B955" s="189"/>
    </row>
    <row r="956">
      <c r="B956" s="189"/>
    </row>
    <row r="957">
      <c r="B957" s="189"/>
    </row>
    <row r="958">
      <c r="B958" s="189"/>
    </row>
    <row r="959">
      <c r="B959" s="189"/>
    </row>
    <row r="960">
      <c r="B960" s="189"/>
    </row>
    <row r="961">
      <c r="B961" s="189"/>
    </row>
    <row r="962">
      <c r="B962" s="189"/>
    </row>
    <row r="963">
      <c r="B963" s="189"/>
    </row>
    <row r="964">
      <c r="B964" s="189"/>
    </row>
    <row r="965">
      <c r="B965" s="189"/>
    </row>
    <row r="966">
      <c r="B966" s="189"/>
    </row>
    <row r="967">
      <c r="B967" s="189"/>
    </row>
    <row r="968">
      <c r="B968" s="189"/>
    </row>
    <row r="969">
      <c r="B969" s="189"/>
    </row>
    <row r="970">
      <c r="B970" s="189"/>
    </row>
    <row r="971">
      <c r="B971" s="189"/>
    </row>
    <row r="972">
      <c r="B972" s="189"/>
    </row>
    <row r="973">
      <c r="B973" s="189"/>
    </row>
    <row r="974">
      <c r="B974" s="189"/>
    </row>
    <row r="975">
      <c r="B975" s="189"/>
    </row>
    <row r="976">
      <c r="B976" s="189"/>
    </row>
    <row r="977">
      <c r="B977" s="189"/>
    </row>
    <row r="978">
      <c r="B978" s="189"/>
    </row>
    <row r="979">
      <c r="B979" s="189"/>
    </row>
    <row r="980">
      <c r="B980" s="189"/>
    </row>
    <row r="981">
      <c r="B981" s="189"/>
    </row>
    <row r="982">
      <c r="B982" s="189"/>
    </row>
    <row r="983">
      <c r="B983" s="189"/>
    </row>
    <row r="984">
      <c r="B984" s="189"/>
    </row>
    <row r="985">
      <c r="B985" s="189"/>
    </row>
    <row r="986">
      <c r="B986" s="189"/>
    </row>
    <row r="987">
      <c r="B987" s="189"/>
    </row>
    <row r="988">
      <c r="B988" s="189"/>
    </row>
    <row r="989">
      <c r="B989" s="189"/>
    </row>
    <row r="990">
      <c r="B990" s="189"/>
    </row>
    <row r="991">
      <c r="B991" s="189"/>
    </row>
    <row r="992">
      <c r="B992" s="189"/>
    </row>
    <row r="993">
      <c r="B993" s="189"/>
    </row>
    <row r="994">
      <c r="B994" s="189"/>
    </row>
    <row r="995">
      <c r="B995" s="189"/>
    </row>
    <row r="996">
      <c r="B996" s="189"/>
    </row>
    <row r="997">
      <c r="B997" s="189"/>
    </row>
    <row r="998">
      <c r="B998" s="189"/>
    </row>
    <row r="999">
      <c r="B999" s="189"/>
    </row>
    <row r="1000">
      <c r="B1000" s="18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22.13"/>
    <col customWidth="1" min="3" max="3" width="15.88"/>
    <col customWidth="1" min="6" max="6" width="21.63"/>
  </cols>
  <sheetData>
    <row r="1">
      <c r="A1" s="276"/>
      <c r="B1" s="277" t="s">
        <v>883</v>
      </c>
      <c r="C1" s="276"/>
      <c r="D1" s="276"/>
      <c r="E1" s="276"/>
      <c r="F1" s="276"/>
    </row>
    <row r="2">
      <c r="A2" s="276"/>
      <c r="B2" s="276"/>
      <c r="C2" s="276"/>
      <c r="D2" s="276"/>
      <c r="E2" s="276"/>
      <c r="F2" s="276"/>
    </row>
    <row r="3">
      <c r="A3" s="278" t="s">
        <v>884</v>
      </c>
      <c r="B3" s="279">
        <v>45799.0</v>
      </c>
      <c r="C3" s="280"/>
      <c r="D3" s="280"/>
      <c r="E3" s="280"/>
      <c r="F3" s="281"/>
    </row>
    <row r="4">
      <c r="A4" s="278" t="s">
        <v>885</v>
      </c>
      <c r="B4" s="282" t="s">
        <v>886</v>
      </c>
      <c r="C4" s="283"/>
      <c r="D4" s="283"/>
      <c r="E4" s="283"/>
      <c r="F4" s="284"/>
    </row>
    <row r="5">
      <c r="A5" s="285" t="s">
        <v>887</v>
      </c>
      <c r="B5" s="286" t="s">
        <v>888</v>
      </c>
      <c r="C5" s="280"/>
      <c r="D5" s="280"/>
      <c r="E5" s="280"/>
      <c r="F5" s="281"/>
    </row>
    <row r="6">
      <c r="A6" s="276"/>
      <c r="B6" s="276"/>
      <c r="C6" s="276"/>
      <c r="D6" s="276"/>
      <c r="E6" s="276"/>
      <c r="F6" s="276"/>
    </row>
    <row r="7">
      <c r="A7" s="287" t="s">
        <v>889</v>
      </c>
      <c r="B7" s="288" t="s">
        <v>890</v>
      </c>
      <c r="C7" s="288" t="s">
        <v>891</v>
      </c>
      <c r="D7" s="288" t="s">
        <v>892</v>
      </c>
      <c r="E7" s="288" t="s">
        <v>893</v>
      </c>
      <c r="F7" s="288" t="s">
        <v>894</v>
      </c>
    </row>
    <row r="8">
      <c r="A8" s="289" t="s">
        <v>895</v>
      </c>
      <c r="B8" s="290" t="s">
        <v>888</v>
      </c>
      <c r="C8" s="291">
        <v>56.0</v>
      </c>
      <c r="D8" s="292" t="s">
        <v>896</v>
      </c>
      <c r="E8" s="291">
        <v>2.0</v>
      </c>
      <c r="F8" s="291" t="s">
        <v>897</v>
      </c>
    </row>
    <row r="9">
      <c r="A9" s="293"/>
      <c r="B9" s="294"/>
      <c r="C9" s="294"/>
      <c r="D9" s="294"/>
      <c r="E9" s="294"/>
      <c r="F9" s="294"/>
    </row>
    <row r="10">
      <c r="A10" s="293"/>
      <c r="B10" s="294"/>
      <c r="C10" s="294"/>
      <c r="D10" s="294"/>
      <c r="E10" s="294"/>
      <c r="F10" s="294"/>
    </row>
    <row r="11">
      <c r="A11" s="293"/>
      <c r="B11" s="294"/>
      <c r="C11" s="294"/>
      <c r="D11" s="294"/>
      <c r="E11" s="294"/>
      <c r="F11" s="294"/>
    </row>
    <row r="12">
      <c r="A12" s="293"/>
      <c r="B12" s="294"/>
      <c r="C12" s="102"/>
      <c r="D12" s="102"/>
      <c r="E12" s="102"/>
      <c r="F12" s="102"/>
    </row>
    <row r="13">
      <c r="A13" s="276"/>
      <c r="B13" s="276"/>
      <c r="C13" s="295" t="s">
        <v>898</v>
      </c>
      <c r="D13" s="102"/>
      <c r="E13" s="296">
        <v>2.0</v>
      </c>
      <c r="F13" s="296" t="s">
        <v>897</v>
      </c>
    </row>
    <row r="14">
      <c r="A14" s="276"/>
      <c r="B14" s="276"/>
      <c r="C14" s="276"/>
      <c r="D14" s="276"/>
      <c r="E14" s="276"/>
      <c r="F14" s="276"/>
    </row>
    <row r="15">
      <c r="A15" s="297" t="s">
        <v>899</v>
      </c>
      <c r="C15" s="276"/>
      <c r="D15" s="276"/>
      <c r="E15" s="276"/>
      <c r="F15" s="276"/>
    </row>
    <row r="16">
      <c r="A16" s="298" t="s">
        <v>900</v>
      </c>
      <c r="B16" s="276"/>
      <c r="C16" s="276"/>
      <c r="D16" s="276"/>
      <c r="E16" s="276"/>
      <c r="F16" s="276"/>
    </row>
    <row r="17">
      <c r="A17" s="276"/>
      <c r="B17" s="276"/>
      <c r="C17" s="276"/>
      <c r="D17" s="276"/>
      <c r="E17" s="276"/>
      <c r="F17" s="276"/>
    </row>
    <row r="18">
      <c r="A18" s="276"/>
      <c r="B18" s="276"/>
      <c r="C18" s="276"/>
      <c r="D18" s="276"/>
      <c r="E18" s="276"/>
      <c r="F18" s="276"/>
    </row>
    <row r="19">
      <c r="A19" s="297" t="s">
        <v>901</v>
      </c>
      <c r="C19" s="276"/>
      <c r="D19" s="276"/>
      <c r="E19" s="276"/>
      <c r="F19" s="276"/>
    </row>
    <row r="20">
      <c r="A20" s="298" t="s">
        <v>900</v>
      </c>
      <c r="B20" s="276"/>
      <c r="C20" s="276"/>
      <c r="D20" s="276"/>
      <c r="E20" s="276"/>
      <c r="F20" s="276"/>
    </row>
    <row r="21">
      <c r="A21" s="276"/>
      <c r="B21" s="276"/>
      <c r="C21" s="276"/>
      <c r="D21" s="276"/>
      <c r="E21" s="276"/>
      <c r="F21" s="276"/>
    </row>
    <row r="22">
      <c r="A22" s="276"/>
      <c r="B22" s="276"/>
      <c r="C22" s="276"/>
      <c r="D22" s="276"/>
      <c r="E22" s="276"/>
      <c r="F22" s="276"/>
    </row>
    <row r="23">
      <c r="A23" s="299" t="s">
        <v>902</v>
      </c>
      <c r="C23" s="276"/>
      <c r="E23" s="276"/>
      <c r="F23" s="276"/>
    </row>
    <row r="24">
      <c r="A24" s="300" t="s">
        <v>900</v>
      </c>
      <c r="B24" s="276"/>
      <c r="C24" s="276"/>
      <c r="D24" s="276"/>
      <c r="E24" s="276"/>
      <c r="F24" s="276"/>
    </row>
    <row r="52">
      <c r="A52" s="301" t="s">
        <v>208</v>
      </c>
      <c r="B52" s="301">
        <v>4.627193453404E12</v>
      </c>
      <c r="C52" s="301"/>
    </row>
    <row r="53">
      <c r="A53" s="301" t="s">
        <v>175</v>
      </c>
      <c r="B53" s="301">
        <v>4.670020496747E12</v>
      </c>
      <c r="C53" s="301"/>
    </row>
    <row r="54">
      <c r="A54" s="301" t="s">
        <v>418</v>
      </c>
      <c r="B54" s="301">
        <v>4.627193453701E12</v>
      </c>
      <c r="C54" s="301"/>
    </row>
    <row r="55">
      <c r="A55" s="301" t="s">
        <v>358</v>
      </c>
      <c r="B55" s="301">
        <v>4.627193453695E12</v>
      </c>
      <c r="C55" s="301"/>
    </row>
    <row r="56">
      <c r="A56" s="301" t="s">
        <v>333</v>
      </c>
      <c r="B56" s="301">
        <v>4.670020496761E12</v>
      </c>
      <c r="C56" s="301"/>
    </row>
    <row r="57">
      <c r="A57" s="301" t="s">
        <v>326</v>
      </c>
      <c r="B57" s="301">
        <v>4.627193453732E12</v>
      </c>
      <c r="C57" s="301"/>
    </row>
    <row r="58">
      <c r="A58" s="301" t="s">
        <v>202</v>
      </c>
      <c r="B58" s="301">
        <v>4.657786831418E12</v>
      </c>
      <c r="C58" s="301"/>
    </row>
    <row r="59">
      <c r="A59" s="301" t="s">
        <v>252</v>
      </c>
      <c r="B59" s="301" t="s">
        <v>903</v>
      </c>
      <c r="C59" s="301"/>
    </row>
    <row r="60">
      <c r="A60" s="301" t="s">
        <v>167</v>
      </c>
      <c r="B60" s="301">
        <v>4.693878600524E12</v>
      </c>
      <c r="C60" s="301"/>
    </row>
    <row r="61">
      <c r="A61" s="301" t="s">
        <v>339</v>
      </c>
      <c r="B61" s="301">
        <v>4.627193453961E12</v>
      </c>
      <c r="C61" s="301"/>
    </row>
    <row r="62">
      <c r="A62" s="301" t="s">
        <v>183</v>
      </c>
      <c r="B62" s="301">
        <v>4.610172186882E12</v>
      </c>
      <c r="C62" s="301"/>
    </row>
    <row r="63">
      <c r="A63" s="301" t="s">
        <v>223</v>
      </c>
      <c r="B63" s="301">
        <v>4.670020497034E12</v>
      </c>
      <c r="C63" s="301"/>
    </row>
    <row r="64">
      <c r="A64" s="301" t="s">
        <v>209</v>
      </c>
      <c r="B64" s="301">
        <v>4.610030631714E12</v>
      </c>
      <c r="C64" s="301"/>
    </row>
    <row r="65">
      <c r="A65" s="301" t="s">
        <v>414</v>
      </c>
      <c r="B65" s="301">
        <v>4.610030631738E12</v>
      </c>
      <c r="C65" s="301"/>
    </row>
    <row r="66">
      <c r="A66" s="301" t="s">
        <v>241</v>
      </c>
      <c r="B66" s="301">
        <v>4.629945399213E12</v>
      </c>
      <c r="C66" s="302" t="s">
        <v>904</v>
      </c>
    </row>
    <row r="67">
      <c r="A67" s="301" t="s">
        <v>158</v>
      </c>
      <c r="B67" s="301">
        <v>4.609893777394E12</v>
      </c>
      <c r="C67" s="301"/>
    </row>
    <row r="68">
      <c r="A68" s="301" t="s">
        <v>163</v>
      </c>
      <c r="B68" s="301">
        <v>4.690222978568E12</v>
      </c>
      <c r="C68" s="301"/>
    </row>
    <row r="69">
      <c r="A69" s="301" t="s">
        <v>162</v>
      </c>
      <c r="B69" s="301">
        <v>4.670020497898E12</v>
      </c>
      <c r="C69" s="301"/>
    </row>
    <row r="70">
      <c r="A70" s="301" t="s">
        <v>159</v>
      </c>
      <c r="B70" s="301">
        <v>4.670020497546E12</v>
      </c>
      <c r="C70" s="301"/>
    </row>
    <row r="71">
      <c r="A71" s="301" t="s">
        <v>905</v>
      </c>
      <c r="B71" s="301">
        <v>4.682266453224E12</v>
      </c>
      <c r="C71" s="301"/>
    </row>
    <row r="72">
      <c r="A72" s="302" t="s">
        <v>906</v>
      </c>
      <c r="B72" s="301">
        <v>4.656738598843E12</v>
      </c>
      <c r="C72" s="301"/>
    </row>
    <row r="73">
      <c r="A73" s="301" t="s">
        <v>180</v>
      </c>
      <c r="B73" s="301">
        <v>4.67002049798E12</v>
      </c>
      <c r="C73" s="301"/>
    </row>
    <row r="74">
      <c r="A74" s="301" t="s">
        <v>198</v>
      </c>
      <c r="B74" s="301">
        <v>4.670020498017E12</v>
      </c>
      <c r="C74" s="301"/>
    </row>
    <row r="75">
      <c r="A75" s="301" t="s">
        <v>191</v>
      </c>
      <c r="B75" s="301">
        <v>4.610030631943E12</v>
      </c>
      <c r="C75" s="301"/>
    </row>
    <row r="76">
      <c r="A76" s="301" t="s">
        <v>189</v>
      </c>
      <c r="B76" s="301">
        <v>4.670020498093E12</v>
      </c>
      <c r="C76" s="301"/>
    </row>
    <row r="77">
      <c r="A77" s="301" t="s">
        <v>200</v>
      </c>
      <c r="B77" s="301">
        <v>4.61003063195E12</v>
      </c>
      <c r="C77" s="301"/>
    </row>
    <row r="78">
      <c r="A78" s="301" t="s">
        <v>203</v>
      </c>
      <c r="B78" s="301">
        <v>4.640257810869E12</v>
      </c>
      <c r="C78" s="301"/>
    </row>
    <row r="79">
      <c r="A79" s="301" t="s">
        <v>192</v>
      </c>
      <c r="B79" s="301">
        <v>4.610030633862E12</v>
      </c>
      <c r="C79" s="301"/>
    </row>
    <row r="80">
      <c r="A80" s="301" t="s">
        <v>219</v>
      </c>
      <c r="B80" s="301">
        <v>4.610030631721E12</v>
      </c>
      <c r="C80" s="301"/>
    </row>
    <row r="81">
      <c r="A81" s="301" t="s">
        <v>201</v>
      </c>
      <c r="B81" s="301">
        <v>4.610030631967E12</v>
      </c>
      <c r="C81" s="301"/>
    </row>
    <row r="82">
      <c r="A82" s="301" t="s">
        <v>242</v>
      </c>
      <c r="B82" s="301">
        <v>4.603320465267E12</v>
      </c>
      <c r="C82" s="301"/>
    </row>
    <row r="83">
      <c r="A83" s="301" t="s">
        <v>264</v>
      </c>
      <c r="B83" s="301">
        <v>4.698878338125E12</v>
      </c>
      <c r="C83" s="301"/>
    </row>
    <row r="84">
      <c r="A84" s="301" t="s">
        <v>325</v>
      </c>
      <c r="B84" s="301">
        <v>4.670020498208E12</v>
      </c>
      <c r="C84" s="301"/>
    </row>
    <row r="85">
      <c r="A85" s="301" t="s">
        <v>295</v>
      </c>
      <c r="B85" s="301">
        <v>4.603320465274E12</v>
      </c>
      <c r="C85" s="301"/>
    </row>
    <row r="86">
      <c r="A86" s="301" t="s">
        <v>337</v>
      </c>
      <c r="B86" s="301">
        <v>4.670020498413E12</v>
      </c>
      <c r="C86" s="301"/>
    </row>
    <row r="87">
      <c r="A87" s="301" t="s">
        <v>327</v>
      </c>
      <c r="B87" s="301">
        <v>4.670020498437E12</v>
      </c>
      <c r="C87" s="301"/>
    </row>
    <row r="88">
      <c r="A88" s="301" t="s">
        <v>335</v>
      </c>
      <c r="B88" s="301">
        <v>4.603320465366E12</v>
      </c>
      <c r="C88" s="301"/>
    </row>
    <row r="89">
      <c r="A89" s="301" t="s">
        <v>332</v>
      </c>
      <c r="B89" s="301">
        <v>4.676574657436E12</v>
      </c>
      <c r="C89" s="301"/>
    </row>
    <row r="90">
      <c r="A90" s="301" t="s">
        <v>334</v>
      </c>
      <c r="B90" s="301">
        <v>4.670020498741E12</v>
      </c>
      <c r="C90" s="301"/>
    </row>
    <row r="91">
      <c r="A91" s="301" t="s">
        <v>341</v>
      </c>
      <c r="B91" s="301">
        <v>4.670020498482E12</v>
      </c>
      <c r="C91" s="301"/>
    </row>
    <row r="92">
      <c r="A92" s="301" t="s">
        <v>350</v>
      </c>
      <c r="B92" s="301">
        <v>4.670020498499E12</v>
      </c>
      <c r="C92" s="301"/>
    </row>
    <row r="93">
      <c r="A93" s="301" t="s">
        <v>355</v>
      </c>
      <c r="B93" s="301">
        <v>4.670020498611E12</v>
      </c>
      <c r="C93" s="301"/>
    </row>
    <row r="94">
      <c r="A94" s="301" t="s">
        <v>352</v>
      </c>
      <c r="B94" s="301">
        <v>4.603320465465E12</v>
      </c>
      <c r="C94" s="301"/>
    </row>
    <row r="95">
      <c r="A95" s="301" t="s">
        <v>347</v>
      </c>
      <c r="B95" s="301">
        <v>4.603320465441E12</v>
      </c>
      <c r="C95" s="301"/>
    </row>
    <row r="96">
      <c r="A96" s="301" t="s">
        <v>354</v>
      </c>
      <c r="B96" s="301">
        <v>4.603320465359E12</v>
      </c>
      <c r="C96" s="301"/>
    </row>
    <row r="97">
      <c r="A97" s="301" t="s">
        <v>346</v>
      </c>
      <c r="B97" s="301">
        <v>4.673748455355E12</v>
      </c>
      <c r="C97" s="301"/>
    </row>
    <row r="98">
      <c r="A98" s="301" t="s">
        <v>370</v>
      </c>
      <c r="B98" s="301">
        <v>4.603320465304E12</v>
      </c>
      <c r="C98" s="301"/>
    </row>
    <row r="99">
      <c r="A99" s="301" t="s">
        <v>366</v>
      </c>
      <c r="B99" s="301">
        <v>4.603320465427E12</v>
      </c>
      <c r="C99" s="301"/>
    </row>
    <row r="100">
      <c r="A100" s="301" t="s">
        <v>349</v>
      </c>
      <c r="B100" s="301">
        <v>4.610172181559E12</v>
      </c>
      <c r="C100" s="301"/>
    </row>
    <row r="101">
      <c r="A101" s="301" t="s">
        <v>360</v>
      </c>
      <c r="B101" s="301">
        <v>4.670020498918E12</v>
      </c>
      <c r="C101" s="301"/>
    </row>
    <row r="102">
      <c r="A102" s="301" t="s">
        <v>359</v>
      </c>
      <c r="B102" s="301">
        <v>4.673748455362E12</v>
      </c>
      <c r="C102" s="301"/>
    </row>
    <row r="103">
      <c r="A103" s="301" t="s">
        <v>362</v>
      </c>
      <c r="B103" s="301">
        <v>4.630084865477E12</v>
      </c>
      <c r="C103" s="301"/>
    </row>
    <row r="104">
      <c r="A104" s="301" t="s">
        <v>356</v>
      </c>
      <c r="B104" s="301">
        <v>4.660417421476E12</v>
      </c>
      <c r="C104" s="301"/>
    </row>
    <row r="105">
      <c r="A105" s="301" t="s">
        <v>374</v>
      </c>
      <c r="B105" s="301">
        <v>4.603320465458E12</v>
      </c>
      <c r="C105" s="301"/>
    </row>
    <row r="106">
      <c r="A106" s="301" t="s">
        <v>364</v>
      </c>
      <c r="B106" s="301">
        <v>4.603320465342E12</v>
      </c>
      <c r="C106" s="301"/>
    </row>
    <row r="107">
      <c r="A107" s="301" t="s">
        <v>369</v>
      </c>
      <c r="B107" s="301">
        <v>4.603320465403E12</v>
      </c>
      <c r="C107" s="301"/>
    </row>
    <row r="108">
      <c r="A108" s="301" t="s">
        <v>344</v>
      </c>
      <c r="B108" s="301">
        <v>4.66041742011E12</v>
      </c>
      <c r="C108" s="301"/>
    </row>
    <row r="109">
      <c r="A109" s="301" t="s">
        <v>371</v>
      </c>
      <c r="B109" s="301">
        <v>4.660417421605E12</v>
      </c>
      <c r="C109" s="301"/>
    </row>
    <row r="110">
      <c r="A110" s="301" t="s">
        <v>372</v>
      </c>
      <c r="B110" s="301">
        <v>4.660417421599E12</v>
      </c>
      <c r="C110" s="301"/>
    </row>
    <row r="111">
      <c r="A111" s="301" t="s">
        <v>373</v>
      </c>
      <c r="B111" s="301" t="s">
        <v>907</v>
      </c>
      <c r="C111" s="301"/>
    </row>
    <row r="112">
      <c r="A112" s="301" t="s">
        <v>199</v>
      </c>
      <c r="B112" s="301">
        <v>4.645565747487E12</v>
      </c>
      <c r="C112" s="301"/>
    </row>
    <row r="113">
      <c r="A113" s="301" t="s">
        <v>375</v>
      </c>
      <c r="B113" s="301">
        <v>4.660417421629E12</v>
      </c>
      <c r="C113" s="301"/>
    </row>
  </sheetData>
  <mergeCells count="7">
    <mergeCell ref="B3:F3"/>
    <mergeCell ref="B4:F4"/>
    <mergeCell ref="B5:F5"/>
    <mergeCell ref="A15:B15"/>
    <mergeCell ref="A19:B19"/>
    <mergeCell ref="A23:B23"/>
    <mergeCell ref="C23:D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0"/>
    <col customWidth="1" min="3" max="4" width="25.5"/>
    <col customWidth="1" min="5" max="6" width="13.63"/>
    <col customWidth="1" min="9" max="9" width="13.25"/>
  </cols>
  <sheetData>
    <row r="1">
      <c r="A1" s="37" t="s">
        <v>419</v>
      </c>
      <c r="B1" s="3" t="s">
        <v>1</v>
      </c>
      <c r="C1" s="130" t="s">
        <v>2</v>
      </c>
      <c r="D1" s="130" t="s">
        <v>3</v>
      </c>
      <c r="E1" s="37" t="s">
        <v>908</v>
      </c>
      <c r="F1" s="37" t="s">
        <v>7</v>
      </c>
      <c r="G1" s="37" t="s">
        <v>8</v>
      </c>
      <c r="H1" s="37" t="s">
        <v>9</v>
      </c>
      <c r="I1" s="37" t="s">
        <v>909</v>
      </c>
    </row>
    <row r="2">
      <c r="A2" s="209" t="s">
        <v>13</v>
      </c>
      <c r="B2" s="23">
        <v>4.67011018552E12</v>
      </c>
      <c r="C2" s="37" t="s">
        <v>437</v>
      </c>
      <c r="D2" s="37" t="s">
        <v>437</v>
      </c>
      <c r="E2" s="37">
        <v>250.0</v>
      </c>
      <c r="F2" s="37"/>
      <c r="G2" s="37"/>
      <c r="H2" s="38">
        <f t="shared" ref="H2:H21" si="1">E2-F2-G2</f>
        <v>250</v>
      </c>
      <c r="I2" s="303" t="s">
        <v>910</v>
      </c>
    </row>
    <row r="3">
      <c r="A3" s="209" t="s">
        <v>13</v>
      </c>
      <c r="B3" s="13">
        <v>4.630040228483E12</v>
      </c>
      <c r="C3" s="209" t="s">
        <v>911</v>
      </c>
      <c r="D3" s="37" t="s">
        <v>438</v>
      </c>
      <c r="E3" s="37">
        <v>250.0</v>
      </c>
      <c r="F3" s="38"/>
      <c r="G3" s="38"/>
      <c r="H3" s="38">
        <f t="shared" si="1"/>
        <v>250</v>
      </c>
      <c r="I3" s="304"/>
    </row>
    <row r="4">
      <c r="A4" s="209" t="s">
        <v>13</v>
      </c>
      <c r="B4" s="305">
        <v>4.680162842333E12</v>
      </c>
      <c r="C4" s="37" t="s">
        <v>399</v>
      </c>
      <c r="D4" s="37" t="s">
        <v>399</v>
      </c>
      <c r="E4" s="37">
        <v>250.0</v>
      </c>
      <c r="F4" s="38"/>
      <c r="G4" s="38"/>
      <c r="H4" s="38">
        <f t="shared" si="1"/>
        <v>250</v>
      </c>
      <c r="I4" s="306"/>
    </row>
    <row r="5">
      <c r="A5" s="209" t="s">
        <v>13</v>
      </c>
      <c r="B5" s="307">
        <v>4.620153903605E12</v>
      </c>
      <c r="C5" s="37" t="s">
        <v>82</v>
      </c>
      <c r="D5" s="37" t="s">
        <v>82</v>
      </c>
      <c r="E5" s="37">
        <v>300.0</v>
      </c>
      <c r="F5" s="38"/>
      <c r="G5" s="38"/>
      <c r="H5" s="38">
        <f t="shared" si="1"/>
        <v>300</v>
      </c>
      <c r="I5" s="308" t="s">
        <v>439</v>
      </c>
    </row>
    <row r="6">
      <c r="A6" s="209" t="s">
        <v>13</v>
      </c>
      <c r="B6" s="59">
        <v>4.673722841006E12</v>
      </c>
      <c r="C6" s="212" t="s">
        <v>52</v>
      </c>
      <c r="D6" s="130" t="s">
        <v>52</v>
      </c>
      <c r="E6" s="37">
        <v>300.0</v>
      </c>
      <c r="F6" s="38"/>
      <c r="G6" s="38"/>
      <c r="H6" s="38">
        <f t="shared" si="1"/>
        <v>300</v>
      </c>
      <c r="I6" s="304"/>
    </row>
    <row r="7">
      <c r="A7" s="209" t="s">
        <v>13</v>
      </c>
      <c r="B7" s="4">
        <v>4.63020514234E12</v>
      </c>
      <c r="C7" s="37" t="s">
        <v>74</v>
      </c>
      <c r="D7" s="37" t="s">
        <v>74</v>
      </c>
      <c r="E7" s="37">
        <v>300.0</v>
      </c>
      <c r="F7" s="38"/>
      <c r="G7" s="38"/>
      <c r="H7" s="38">
        <f t="shared" si="1"/>
        <v>300</v>
      </c>
      <c r="I7" s="306"/>
    </row>
    <row r="8">
      <c r="A8" s="209" t="s">
        <v>13</v>
      </c>
      <c r="B8" s="59">
        <v>4.607025203049E12</v>
      </c>
      <c r="C8" s="207" t="s">
        <v>49</v>
      </c>
      <c r="D8" s="207" t="s">
        <v>49</v>
      </c>
      <c r="E8" s="37">
        <v>250.0</v>
      </c>
      <c r="F8" s="38"/>
      <c r="G8" s="38"/>
      <c r="H8" s="38">
        <f t="shared" si="1"/>
        <v>250</v>
      </c>
      <c r="I8" s="308" t="s">
        <v>440</v>
      </c>
    </row>
    <row r="9">
      <c r="A9" s="209" t="s">
        <v>13</v>
      </c>
      <c r="B9" s="23">
        <v>4.63020514573E12</v>
      </c>
      <c r="C9" s="37" t="s">
        <v>403</v>
      </c>
      <c r="D9" s="37" t="s">
        <v>403</v>
      </c>
      <c r="E9" s="37">
        <v>250.0</v>
      </c>
      <c r="F9" s="38"/>
      <c r="G9" s="38"/>
      <c r="H9" s="38">
        <f t="shared" si="1"/>
        <v>250</v>
      </c>
      <c r="I9" s="304"/>
    </row>
    <row r="10">
      <c r="A10" s="209" t="s">
        <v>13</v>
      </c>
      <c r="B10" s="23">
        <v>4.607025204398E12</v>
      </c>
      <c r="C10" s="37" t="s">
        <v>441</v>
      </c>
      <c r="D10" s="37" t="s">
        <v>441</v>
      </c>
      <c r="E10" s="37">
        <v>250.0</v>
      </c>
      <c r="F10" s="38"/>
      <c r="G10" s="38"/>
      <c r="H10" s="38">
        <f t="shared" si="1"/>
        <v>250</v>
      </c>
      <c r="I10" s="306"/>
    </row>
    <row r="11">
      <c r="A11" s="209" t="s">
        <v>13</v>
      </c>
      <c r="B11" s="40">
        <v>4.680201379646E12</v>
      </c>
      <c r="C11" s="104" t="s">
        <v>910</v>
      </c>
      <c r="D11" s="104" t="s">
        <v>910</v>
      </c>
      <c r="E11" s="37">
        <v>50.0</v>
      </c>
      <c r="F11" s="37"/>
      <c r="G11" s="37">
        <v>2.0</v>
      </c>
      <c r="H11" s="38">
        <f t="shared" si="1"/>
        <v>48</v>
      </c>
    </row>
    <row r="12">
      <c r="A12" s="209" t="s">
        <v>13</v>
      </c>
      <c r="B12" s="40">
        <v>4.680201379677E12</v>
      </c>
      <c r="C12" s="104" t="s">
        <v>439</v>
      </c>
      <c r="D12" s="104" t="s">
        <v>439</v>
      </c>
      <c r="E12" s="37">
        <v>0.0</v>
      </c>
      <c r="F12" s="38"/>
      <c r="G12" s="38"/>
      <c r="H12" s="38">
        <f t="shared" si="1"/>
        <v>0</v>
      </c>
    </row>
    <row r="13">
      <c r="A13" s="209" t="s">
        <v>13</v>
      </c>
      <c r="B13" s="40">
        <v>4.680201379622E12</v>
      </c>
      <c r="C13" s="104" t="s">
        <v>440</v>
      </c>
      <c r="D13" s="104" t="s">
        <v>440</v>
      </c>
      <c r="E13" s="37">
        <v>50.0</v>
      </c>
      <c r="F13" s="37">
        <v>2.0</v>
      </c>
      <c r="G13" s="37">
        <v>8.0</v>
      </c>
      <c r="H13" s="38">
        <f t="shared" si="1"/>
        <v>40</v>
      </c>
    </row>
    <row r="14">
      <c r="A14" s="309" t="s">
        <v>13</v>
      </c>
      <c r="B14" s="310">
        <v>4.605543011092E12</v>
      </c>
      <c r="C14" s="212" t="s">
        <v>147</v>
      </c>
      <c r="D14" s="212" t="s">
        <v>147</v>
      </c>
      <c r="E14" s="37">
        <v>40.0</v>
      </c>
      <c r="F14" s="38"/>
      <c r="G14" s="37">
        <v>38.0</v>
      </c>
      <c r="H14" s="38">
        <f t="shared" si="1"/>
        <v>2</v>
      </c>
    </row>
    <row r="15">
      <c r="A15" s="309" t="s">
        <v>13</v>
      </c>
      <c r="B15" s="23">
        <v>4.630205148199E12</v>
      </c>
      <c r="C15" s="37" t="s">
        <v>17</v>
      </c>
      <c r="D15" s="37" t="s">
        <v>17</v>
      </c>
      <c r="E15" s="37">
        <v>20.0</v>
      </c>
      <c r="F15" s="38"/>
      <c r="G15" s="37">
        <v>11.0</v>
      </c>
      <c r="H15" s="38">
        <f t="shared" si="1"/>
        <v>9</v>
      </c>
    </row>
    <row r="16">
      <c r="A16" s="309" t="s">
        <v>13</v>
      </c>
      <c r="B16" s="310">
        <v>4.670227414926E12</v>
      </c>
      <c r="C16" s="37" t="s">
        <v>22</v>
      </c>
      <c r="D16" s="37" t="s">
        <v>22</v>
      </c>
      <c r="E16" s="37">
        <v>20.0</v>
      </c>
      <c r="F16" s="38"/>
      <c r="G16" s="38"/>
      <c r="H16" s="38">
        <f t="shared" si="1"/>
        <v>20</v>
      </c>
    </row>
    <row r="17">
      <c r="A17" s="309" t="s">
        <v>13</v>
      </c>
      <c r="B17" s="23">
        <v>4.605543012518E12</v>
      </c>
      <c r="C17" s="37" t="s">
        <v>57</v>
      </c>
      <c r="D17" s="37" t="s">
        <v>57</v>
      </c>
      <c r="E17" s="37">
        <v>20.0</v>
      </c>
      <c r="F17" s="38"/>
      <c r="G17" s="38"/>
      <c r="H17" s="38">
        <f t="shared" si="1"/>
        <v>20</v>
      </c>
    </row>
    <row r="18">
      <c r="A18" s="37" t="s">
        <v>157</v>
      </c>
      <c r="B18" s="3">
        <v>4.610172186882E12</v>
      </c>
      <c r="C18" s="37" t="s">
        <v>183</v>
      </c>
      <c r="D18" s="37" t="s">
        <v>183</v>
      </c>
      <c r="E18" s="37">
        <v>20.0</v>
      </c>
      <c r="F18" s="38"/>
      <c r="G18" s="37">
        <v>9.0</v>
      </c>
      <c r="H18" s="38">
        <f t="shared" si="1"/>
        <v>11</v>
      </c>
    </row>
    <row r="19">
      <c r="A19" s="37" t="s">
        <v>157</v>
      </c>
      <c r="B19" s="124">
        <v>4.670020497546E12</v>
      </c>
      <c r="C19" s="37" t="s">
        <v>159</v>
      </c>
      <c r="D19" s="37" t="s">
        <v>159</v>
      </c>
      <c r="E19" s="37">
        <v>20.0</v>
      </c>
      <c r="F19" s="38"/>
      <c r="G19" s="37">
        <v>14.0</v>
      </c>
      <c r="H19" s="38">
        <f t="shared" si="1"/>
        <v>6</v>
      </c>
    </row>
    <row r="20">
      <c r="A20" s="37" t="s">
        <v>157</v>
      </c>
      <c r="B20" s="23">
        <v>4.657786831418E12</v>
      </c>
      <c r="C20" s="37" t="s">
        <v>202</v>
      </c>
      <c r="D20" s="37" t="s">
        <v>202</v>
      </c>
      <c r="E20" s="37">
        <v>20.0</v>
      </c>
      <c r="F20" s="38"/>
      <c r="G20" s="37">
        <v>19.0</v>
      </c>
      <c r="H20" s="38">
        <f t="shared" si="1"/>
        <v>1</v>
      </c>
    </row>
    <row r="21">
      <c r="A21" s="37" t="s">
        <v>157</v>
      </c>
      <c r="B21" s="208">
        <v>4.607050974747E12</v>
      </c>
      <c r="C21" s="37" t="s">
        <v>429</v>
      </c>
      <c r="D21" s="37" t="s">
        <v>429</v>
      </c>
      <c r="E21" s="37">
        <v>42.0</v>
      </c>
      <c r="F21" s="38"/>
      <c r="G21" s="37">
        <v>9.0</v>
      </c>
      <c r="H21" s="38">
        <f t="shared" si="1"/>
        <v>33</v>
      </c>
    </row>
    <row r="22">
      <c r="B22" s="12"/>
    </row>
    <row r="23">
      <c r="B23" s="12"/>
    </row>
    <row r="24">
      <c r="B24" s="12"/>
    </row>
    <row r="25">
      <c r="B25" s="12"/>
    </row>
    <row r="26">
      <c r="B26" s="12"/>
    </row>
    <row r="27">
      <c r="B27" s="12"/>
    </row>
    <row r="28">
      <c r="B28" s="12"/>
    </row>
    <row r="29">
      <c r="B29" s="12"/>
      <c r="D29" s="311" t="s">
        <v>139</v>
      </c>
      <c r="E29" s="37">
        <v>50.0</v>
      </c>
    </row>
    <row r="30">
      <c r="B30" s="12"/>
      <c r="D30" s="311" t="s">
        <v>151</v>
      </c>
      <c r="E30" s="37">
        <v>50.0</v>
      </c>
    </row>
    <row r="31">
      <c r="B31" s="12"/>
      <c r="D31" s="311" t="s">
        <v>149</v>
      </c>
      <c r="E31" s="37">
        <v>50.0</v>
      </c>
    </row>
    <row r="32">
      <c r="B32" s="12"/>
      <c r="D32" s="311" t="s">
        <v>143</v>
      </c>
      <c r="E32" s="37">
        <v>50.0</v>
      </c>
    </row>
    <row r="33">
      <c r="B33" s="12"/>
      <c r="D33" s="311" t="s">
        <v>152</v>
      </c>
      <c r="E33" s="37">
        <v>50.0</v>
      </c>
    </row>
    <row r="34">
      <c r="B34" s="12"/>
      <c r="D34" s="311" t="s">
        <v>136</v>
      </c>
      <c r="E34" s="37">
        <v>50.0</v>
      </c>
    </row>
    <row r="35">
      <c r="B35" s="12"/>
      <c r="D35" s="311" t="s">
        <v>44</v>
      </c>
      <c r="E35" s="37">
        <v>50.0</v>
      </c>
    </row>
    <row r="36">
      <c r="B36" s="12"/>
      <c r="D36" s="311" t="s">
        <v>912</v>
      </c>
      <c r="E36" s="37">
        <v>50.0</v>
      </c>
    </row>
    <row r="37">
      <c r="B37" s="12"/>
      <c r="D37" s="311" t="s">
        <v>401</v>
      </c>
      <c r="E37" s="37">
        <v>50.0</v>
      </c>
    </row>
    <row r="38">
      <c r="B38" s="12"/>
      <c r="D38" s="311" t="s">
        <v>405</v>
      </c>
      <c r="E38" s="37">
        <v>50.0</v>
      </c>
    </row>
    <row r="39">
      <c r="B39" s="12"/>
      <c r="D39" s="311" t="s">
        <v>412</v>
      </c>
      <c r="E39" s="37">
        <v>50.0</v>
      </c>
    </row>
    <row r="40">
      <c r="B40" s="12"/>
      <c r="D40" s="311" t="s">
        <v>403</v>
      </c>
      <c r="E40" s="37">
        <v>50.0</v>
      </c>
    </row>
    <row r="41">
      <c r="B41" s="12"/>
      <c r="D41" s="311" t="s">
        <v>913</v>
      </c>
      <c r="E41" s="37">
        <v>50.0</v>
      </c>
    </row>
    <row r="42">
      <c r="B42" s="12"/>
      <c r="D42" s="311" t="s">
        <v>399</v>
      </c>
      <c r="E42" s="37">
        <v>50.0</v>
      </c>
    </row>
    <row r="43">
      <c r="B43" s="12"/>
      <c r="D43" s="311" t="s">
        <v>914</v>
      </c>
      <c r="E43" s="37">
        <v>50.0</v>
      </c>
    </row>
    <row r="44">
      <c r="B44" s="12"/>
      <c r="D44" s="312" t="s">
        <v>245</v>
      </c>
      <c r="E44" s="37">
        <v>50.0</v>
      </c>
    </row>
    <row r="45">
      <c r="B45" s="12"/>
      <c r="D45" s="312" t="s">
        <v>262</v>
      </c>
      <c r="E45" s="37">
        <v>50.0</v>
      </c>
    </row>
    <row r="46">
      <c r="B46" s="12"/>
      <c r="D46" s="311" t="s">
        <v>186</v>
      </c>
      <c r="E46" s="37">
        <v>50.0</v>
      </c>
    </row>
    <row r="47">
      <c r="B47" s="12"/>
      <c r="D47" s="311" t="s">
        <v>915</v>
      </c>
      <c r="E47" s="37">
        <v>50.0</v>
      </c>
    </row>
    <row r="48">
      <c r="B48" s="12"/>
      <c r="D48" s="311" t="s">
        <v>292</v>
      </c>
      <c r="E48" s="37">
        <v>50.0</v>
      </c>
    </row>
    <row r="49">
      <c r="B49" s="12"/>
      <c r="D49" s="311" t="s">
        <v>226</v>
      </c>
      <c r="E49" s="37">
        <v>50.0</v>
      </c>
    </row>
    <row r="50">
      <c r="B50" s="12"/>
      <c r="D50" s="311" t="s">
        <v>286</v>
      </c>
      <c r="E50" s="37">
        <v>50.0</v>
      </c>
    </row>
    <row r="51">
      <c r="B51" s="12"/>
      <c r="D51" s="311" t="s">
        <v>307</v>
      </c>
      <c r="E51" s="37">
        <v>50.0</v>
      </c>
    </row>
    <row r="52">
      <c r="B52" s="12"/>
      <c r="D52" s="311" t="s">
        <v>228</v>
      </c>
      <c r="E52" s="37">
        <v>50.0</v>
      </c>
    </row>
    <row r="53">
      <c r="B53" s="12"/>
      <c r="D53" s="311" t="s">
        <v>257</v>
      </c>
      <c r="E53" s="37">
        <v>50.0</v>
      </c>
    </row>
    <row r="54">
      <c r="B54" s="12"/>
      <c r="D54" s="311" t="s">
        <v>291</v>
      </c>
      <c r="E54" s="37">
        <v>50.0</v>
      </c>
    </row>
    <row r="55">
      <c r="B55" s="12"/>
      <c r="D55" s="311" t="s">
        <v>275</v>
      </c>
      <c r="E55" s="37">
        <v>50.0</v>
      </c>
    </row>
    <row r="56">
      <c r="B56" s="12"/>
      <c r="D56" s="311" t="s">
        <v>195</v>
      </c>
      <c r="E56" s="37">
        <v>50.0</v>
      </c>
    </row>
    <row r="57">
      <c r="B57" s="12"/>
      <c r="D57" s="311" t="s">
        <v>313</v>
      </c>
      <c r="E57" s="37">
        <v>50.0</v>
      </c>
    </row>
    <row r="58">
      <c r="B58" s="12"/>
      <c r="D58" s="311" t="s">
        <v>208</v>
      </c>
      <c r="E58" s="37">
        <v>50.0</v>
      </c>
    </row>
    <row r="59">
      <c r="B59" s="12"/>
      <c r="D59" s="311" t="s">
        <v>181</v>
      </c>
      <c r="E59" s="37">
        <v>50.0</v>
      </c>
    </row>
    <row r="60">
      <c r="B60" s="12"/>
      <c r="D60" s="311" t="s">
        <v>287</v>
      </c>
      <c r="E60" s="37">
        <v>50.0</v>
      </c>
    </row>
    <row r="61">
      <c r="B61" s="12"/>
      <c r="D61" s="311" t="s">
        <v>221</v>
      </c>
      <c r="E61" s="37">
        <v>50.0</v>
      </c>
    </row>
    <row r="62">
      <c r="B62" s="12"/>
      <c r="D62" s="311" t="s">
        <v>252</v>
      </c>
      <c r="E62" s="37">
        <v>50.0</v>
      </c>
    </row>
    <row r="63">
      <c r="B63" s="12"/>
      <c r="D63" s="312" t="s">
        <v>246</v>
      </c>
      <c r="E63" s="37">
        <v>50.0</v>
      </c>
    </row>
    <row r="64">
      <c r="B64" s="12"/>
      <c r="D64" s="311" t="s">
        <v>304</v>
      </c>
      <c r="E64" s="37">
        <v>50.0</v>
      </c>
    </row>
    <row r="65">
      <c r="B65" s="12"/>
      <c r="D65" s="311" t="s">
        <v>415</v>
      </c>
      <c r="E65" s="37">
        <v>50.0</v>
      </c>
    </row>
    <row r="66">
      <c r="B66" s="12"/>
      <c r="D66" s="311" t="s">
        <v>305</v>
      </c>
      <c r="E66" s="37">
        <v>50.0</v>
      </c>
    </row>
    <row r="67">
      <c r="B67" s="12"/>
      <c r="D67" s="311" t="s">
        <v>185</v>
      </c>
      <c r="E67" s="37">
        <v>50.0</v>
      </c>
    </row>
    <row r="68">
      <c r="B68" s="12"/>
      <c r="D68" s="312" t="s">
        <v>280</v>
      </c>
      <c r="E68" s="37">
        <v>50.0</v>
      </c>
    </row>
    <row r="69">
      <c r="B69" s="12"/>
      <c r="D69" s="311" t="s">
        <v>322</v>
      </c>
      <c r="E69" s="37">
        <v>50.0</v>
      </c>
    </row>
    <row r="70">
      <c r="B70" s="12"/>
      <c r="D70" s="311" t="s">
        <v>271</v>
      </c>
      <c r="E70" s="37">
        <v>50.0</v>
      </c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mergeCells count="3">
    <mergeCell ref="I2:I4"/>
    <mergeCell ref="I5:I7"/>
    <mergeCell ref="I8:I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3.88"/>
    <col customWidth="1" min="3" max="3" width="63.5"/>
    <col customWidth="1" min="5" max="5" width="38.25"/>
    <col customWidth="1" min="7" max="7" width="41.38"/>
    <col customWidth="1" min="9" max="9" width="39.38"/>
    <col customWidth="1" min="11" max="11" width="56.38"/>
    <col customWidth="1" min="13" max="13" width="45.0"/>
    <col customWidth="1" min="15" max="15" width="51.25"/>
  </cols>
  <sheetData>
    <row r="1">
      <c r="A1" s="313" t="s">
        <v>916</v>
      </c>
    </row>
    <row r="2" hidden="1">
      <c r="A2" s="27" t="s">
        <v>59</v>
      </c>
      <c r="B2" s="132">
        <v>60.0</v>
      </c>
      <c r="C2" s="27" t="s">
        <v>917</v>
      </c>
    </row>
    <row r="3" hidden="1">
      <c r="A3" s="27" t="s">
        <v>55</v>
      </c>
      <c r="B3" s="132">
        <v>180.0</v>
      </c>
      <c r="C3" s="27" t="s">
        <v>917</v>
      </c>
    </row>
    <row r="4" hidden="1">
      <c r="A4" s="27" t="s">
        <v>90</v>
      </c>
      <c r="B4" s="132">
        <v>72.0</v>
      </c>
      <c r="C4" s="27" t="s">
        <v>917</v>
      </c>
    </row>
    <row r="5">
      <c r="A5" s="27" t="s">
        <v>42</v>
      </c>
      <c r="B5" s="132">
        <v>180.0</v>
      </c>
      <c r="C5" s="27" t="s">
        <v>918</v>
      </c>
    </row>
    <row r="6" hidden="1">
      <c r="A6" s="27" t="s">
        <v>60</v>
      </c>
      <c r="B6" s="132">
        <v>20.0</v>
      </c>
      <c r="C6" s="27" t="s">
        <v>917</v>
      </c>
    </row>
    <row r="7" hidden="1">
      <c r="A7" s="27" t="s">
        <v>129</v>
      </c>
      <c r="B7" s="132">
        <v>78.0</v>
      </c>
      <c r="C7" s="27" t="s">
        <v>917</v>
      </c>
    </row>
    <row r="8">
      <c r="A8" s="27" t="s">
        <v>70</v>
      </c>
      <c r="B8" s="132">
        <v>120.0</v>
      </c>
      <c r="C8" s="27" t="s">
        <v>918</v>
      </c>
    </row>
    <row r="9" hidden="1">
      <c r="A9" s="27" t="s">
        <v>57</v>
      </c>
      <c r="B9" s="132">
        <v>12.0</v>
      </c>
      <c r="C9" s="27" t="s">
        <v>917</v>
      </c>
    </row>
    <row r="10" hidden="1">
      <c r="A10" s="27" t="s">
        <v>92</v>
      </c>
      <c r="B10" s="132">
        <v>20.0</v>
      </c>
      <c r="C10" s="27" t="s">
        <v>917</v>
      </c>
    </row>
    <row r="11" hidden="1">
      <c r="A11" s="27" t="s">
        <v>94</v>
      </c>
      <c r="B11" s="132">
        <v>60.0</v>
      </c>
      <c r="C11" s="27" t="s">
        <v>917</v>
      </c>
    </row>
    <row r="12" hidden="1">
      <c r="A12" s="27" t="s">
        <v>405</v>
      </c>
      <c r="B12" s="132">
        <v>20.0</v>
      </c>
      <c r="C12" s="27" t="s">
        <v>917</v>
      </c>
    </row>
    <row r="13" hidden="1">
      <c r="A13" s="27" t="s">
        <v>15</v>
      </c>
      <c r="B13" s="132">
        <v>50.0</v>
      </c>
      <c r="C13" s="27" t="s">
        <v>917</v>
      </c>
    </row>
    <row r="14" hidden="1">
      <c r="A14" s="27" t="s">
        <v>17</v>
      </c>
      <c r="B14" s="132">
        <v>50.0</v>
      </c>
      <c r="C14" s="27" t="s">
        <v>917</v>
      </c>
    </row>
    <row r="15" hidden="1">
      <c r="A15" s="27" t="s">
        <v>77</v>
      </c>
      <c r="B15" s="132">
        <v>20.0</v>
      </c>
      <c r="C15" s="27" t="s">
        <v>917</v>
      </c>
    </row>
    <row r="16">
      <c r="A16" s="27" t="s">
        <v>61</v>
      </c>
      <c r="B16" s="132">
        <v>80.0</v>
      </c>
      <c r="C16" s="27" t="s">
        <v>918</v>
      </c>
    </row>
    <row r="17">
      <c r="A17" s="27" t="s">
        <v>116</v>
      </c>
      <c r="B17" s="132">
        <v>20.0</v>
      </c>
      <c r="C17" s="27" t="s">
        <v>919</v>
      </c>
    </row>
    <row r="18" hidden="1">
      <c r="A18" s="27" t="s">
        <v>52</v>
      </c>
      <c r="B18" s="132">
        <v>15.0</v>
      </c>
      <c r="C18" s="27" t="s">
        <v>917</v>
      </c>
    </row>
    <row r="19" hidden="1">
      <c r="A19" s="27" t="s">
        <v>403</v>
      </c>
      <c r="B19" s="132">
        <v>20.0</v>
      </c>
      <c r="C19" s="27" t="s">
        <v>917</v>
      </c>
    </row>
    <row r="20" hidden="1">
      <c r="A20" s="27" t="s">
        <v>44</v>
      </c>
      <c r="B20" s="132">
        <v>30.0</v>
      </c>
      <c r="C20" s="27" t="s">
        <v>917</v>
      </c>
    </row>
    <row r="21" hidden="1">
      <c r="A21" s="27" t="s">
        <v>110</v>
      </c>
      <c r="B21" s="132">
        <v>20.0</v>
      </c>
      <c r="C21" s="27" t="s">
        <v>917</v>
      </c>
    </row>
    <row r="22" hidden="1">
      <c r="A22" s="27" t="s">
        <v>33</v>
      </c>
      <c r="B22" s="132">
        <v>100.0</v>
      </c>
      <c r="C22" s="27" t="s">
        <v>917</v>
      </c>
    </row>
    <row r="23" hidden="1">
      <c r="A23" s="27" t="s">
        <v>113</v>
      </c>
      <c r="B23" s="132">
        <v>40.0</v>
      </c>
      <c r="C23" s="27" t="s">
        <v>917</v>
      </c>
    </row>
    <row r="24" hidden="1">
      <c r="A24" s="27" t="s">
        <v>54</v>
      </c>
      <c r="B24" s="132">
        <v>10.0</v>
      </c>
      <c r="C24" s="27" t="s">
        <v>917</v>
      </c>
    </row>
    <row r="25" hidden="1">
      <c r="A25" s="27" t="s">
        <v>100</v>
      </c>
      <c r="B25" s="132">
        <v>30.0</v>
      </c>
      <c r="C25" s="27" t="s">
        <v>917</v>
      </c>
    </row>
    <row r="26" hidden="1">
      <c r="A26" s="27" t="s">
        <v>64</v>
      </c>
      <c r="B26" s="132">
        <v>24.0</v>
      </c>
      <c r="C26" s="27" t="s">
        <v>917</v>
      </c>
    </row>
    <row r="27" hidden="1">
      <c r="A27" s="27" t="s">
        <v>63</v>
      </c>
      <c r="B27" s="132">
        <v>24.0</v>
      </c>
      <c r="C27" s="27" t="s">
        <v>917</v>
      </c>
    </row>
    <row r="28" hidden="1">
      <c r="A28" s="27" t="s">
        <v>68</v>
      </c>
      <c r="B28" s="132">
        <v>40.0</v>
      </c>
      <c r="C28" s="27" t="s">
        <v>917</v>
      </c>
    </row>
    <row r="29">
      <c r="A29" s="27" t="s">
        <v>26</v>
      </c>
      <c r="B29" s="132">
        <v>20.0</v>
      </c>
      <c r="C29" s="27" t="s">
        <v>918</v>
      </c>
    </row>
    <row r="30">
      <c r="A30" s="27" t="s">
        <v>53</v>
      </c>
      <c r="B30" s="132">
        <v>20.0</v>
      </c>
      <c r="C30" s="314" t="s">
        <v>920</v>
      </c>
    </row>
    <row r="31" hidden="1">
      <c r="A31" s="27" t="s">
        <v>97</v>
      </c>
      <c r="B31" s="132">
        <v>30.0</v>
      </c>
      <c r="C31" s="27" t="s">
        <v>917</v>
      </c>
    </row>
    <row r="32">
      <c r="A32" s="27" t="s">
        <v>74</v>
      </c>
      <c r="B32" s="132">
        <v>120.0</v>
      </c>
      <c r="C32" s="314" t="s">
        <v>921</v>
      </c>
    </row>
    <row r="33" hidden="1">
      <c r="A33" s="27" t="s">
        <v>65</v>
      </c>
      <c r="B33" s="132">
        <v>50.0</v>
      </c>
      <c r="C33" s="27" t="s">
        <v>917</v>
      </c>
    </row>
    <row r="34">
      <c r="A34" s="27" t="s">
        <v>115</v>
      </c>
      <c r="B34" s="132">
        <v>144.0</v>
      </c>
      <c r="C34" s="27" t="s">
        <v>918</v>
      </c>
    </row>
    <row r="35">
      <c r="A35" s="27" t="s">
        <v>69</v>
      </c>
      <c r="B35" s="132">
        <v>20.0</v>
      </c>
      <c r="C35" s="27" t="s">
        <v>918</v>
      </c>
    </row>
    <row r="36" hidden="1">
      <c r="A36" s="27" t="s">
        <v>119</v>
      </c>
      <c r="B36" s="132">
        <v>50.0</v>
      </c>
      <c r="C36" s="27" t="s">
        <v>917</v>
      </c>
    </row>
    <row r="37" hidden="1">
      <c r="A37" s="27" t="s">
        <v>411</v>
      </c>
      <c r="B37" s="132">
        <v>20.0</v>
      </c>
      <c r="C37" s="27" t="s">
        <v>917</v>
      </c>
    </row>
    <row r="38" hidden="1">
      <c r="A38" s="27" t="s">
        <v>107</v>
      </c>
      <c r="B38" s="132">
        <v>12.0</v>
      </c>
      <c r="C38" s="27" t="s">
        <v>917</v>
      </c>
    </row>
    <row r="39" hidden="1">
      <c r="A39" s="27" t="s">
        <v>109</v>
      </c>
      <c r="B39" s="132">
        <v>12.0</v>
      </c>
      <c r="C39" s="27" t="s">
        <v>917</v>
      </c>
    </row>
    <row r="40" hidden="1">
      <c r="A40" s="27" t="s">
        <v>67</v>
      </c>
      <c r="B40" s="132">
        <v>100.0</v>
      </c>
      <c r="C40" s="27" t="s">
        <v>917</v>
      </c>
    </row>
    <row r="41" hidden="1">
      <c r="A41" s="27" t="s">
        <v>86</v>
      </c>
      <c r="B41" s="132">
        <v>40.0</v>
      </c>
      <c r="C41" s="27" t="s">
        <v>917</v>
      </c>
    </row>
    <row r="42" hidden="1">
      <c r="A42" s="27" t="s">
        <v>51</v>
      </c>
      <c r="B42" s="132">
        <v>20.0</v>
      </c>
      <c r="C42" s="27" t="s">
        <v>917</v>
      </c>
    </row>
    <row r="43" hidden="1">
      <c r="A43" s="27" t="s">
        <v>59</v>
      </c>
      <c r="B43" s="132">
        <v>50.0</v>
      </c>
      <c r="C43" s="27" t="s">
        <v>917</v>
      </c>
    </row>
    <row r="44" hidden="1">
      <c r="A44" s="27" t="s">
        <v>55</v>
      </c>
      <c r="B44" s="132">
        <v>240.0</v>
      </c>
      <c r="C44" s="27" t="s">
        <v>917</v>
      </c>
    </row>
    <row r="45" hidden="1">
      <c r="A45" s="27" t="s">
        <v>90</v>
      </c>
      <c r="B45" s="132">
        <v>72.0</v>
      </c>
      <c r="C45" s="27" t="s">
        <v>917</v>
      </c>
    </row>
    <row r="46">
      <c r="A46" s="27" t="s">
        <v>42</v>
      </c>
      <c r="B46" s="132">
        <v>120.0</v>
      </c>
      <c r="C46" s="27" t="s">
        <v>918</v>
      </c>
    </row>
    <row r="47" hidden="1">
      <c r="A47" s="27" t="s">
        <v>129</v>
      </c>
      <c r="B47" s="132">
        <v>40.0</v>
      </c>
      <c r="C47" s="27" t="s">
        <v>917</v>
      </c>
    </row>
    <row r="48">
      <c r="A48" s="27" t="s">
        <v>70</v>
      </c>
      <c r="B48" s="132">
        <v>120.0</v>
      </c>
      <c r="C48" s="27" t="s">
        <v>918</v>
      </c>
    </row>
    <row r="49">
      <c r="A49" s="27" t="s">
        <v>134</v>
      </c>
      <c r="B49" s="132">
        <v>150.0</v>
      </c>
      <c r="C49" s="27" t="s">
        <v>919</v>
      </c>
    </row>
    <row r="50" hidden="1">
      <c r="A50" s="27" t="s">
        <v>57</v>
      </c>
      <c r="B50" s="132">
        <v>12.0</v>
      </c>
      <c r="C50" s="27" t="s">
        <v>917</v>
      </c>
    </row>
    <row r="51" hidden="1">
      <c r="A51" s="27" t="s">
        <v>92</v>
      </c>
      <c r="B51" s="132">
        <v>60.0</v>
      </c>
      <c r="C51" s="27" t="s">
        <v>917</v>
      </c>
    </row>
    <row r="52" hidden="1">
      <c r="A52" s="27" t="s">
        <v>94</v>
      </c>
      <c r="B52" s="132">
        <v>220.0</v>
      </c>
      <c r="C52" s="27" t="s">
        <v>917</v>
      </c>
    </row>
    <row r="53" hidden="1">
      <c r="A53" s="27" t="s">
        <v>15</v>
      </c>
      <c r="B53" s="132">
        <v>40.0</v>
      </c>
      <c r="C53" s="27" t="s">
        <v>917</v>
      </c>
    </row>
    <row r="54" hidden="1">
      <c r="A54" s="27" t="s">
        <v>77</v>
      </c>
      <c r="B54" s="132">
        <v>10.0</v>
      </c>
      <c r="C54" s="27" t="s">
        <v>917</v>
      </c>
    </row>
    <row r="55">
      <c r="A55" s="27" t="s">
        <v>61</v>
      </c>
      <c r="B55" s="132">
        <v>40.0</v>
      </c>
      <c r="C55" s="27" t="s">
        <v>918</v>
      </c>
    </row>
    <row r="56">
      <c r="A56" s="27" t="s">
        <v>116</v>
      </c>
      <c r="B56" s="132">
        <v>20.0</v>
      </c>
      <c r="C56" s="27" t="s">
        <v>919</v>
      </c>
    </row>
    <row r="57" hidden="1">
      <c r="A57" s="27" t="s">
        <v>52</v>
      </c>
      <c r="B57" s="132">
        <v>15.0</v>
      </c>
      <c r="C57" s="27" t="s">
        <v>917</v>
      </c>
    </row>
    <row r="58" hidden="1">
      <c r="A58" s="27" t="s">
        <v>44</v>
      </c>
      <c r="B58" s="132">
        <v>20.0</v>
      </c>
      <c r="C58" s="27" t="s">
        <v>917</v>
      </c>
    </row>
    <row r="59" hidden="1">
      <c r="A59" s="27" t="s">
        <v>110</v>
      </c>
      <c r="B59" s="132">
        <v>20.0</v>
      </c>
      <c r="C59" s="27" t="s">
        <v>917</v>
      </c>
    </row>
    <row r="60" hidden="1">
      <c r="A60" s="27" t="s">
        <v>33</v>
      </c>
      <c r="B60" s="132">
        <v>60.0</v>
      </c>
      <c r="C60" s="27" t="s">
        <v>917</v>
      </c>
    </row>
    <row r="61" hidden="1">
      <c r="A61" s="27" t="s">
        <v>82</v>
      </c>
      <c r="B61" s="132">
        <v>20.0</v>
      </c>
      <c r="C61" s="27" t="s">
        <v>917</v>
      </c>
    </row>
    <row r="62" hidden="1">
      <c r="A62" s="27" t="s">
        <v>100</v>
      </c>
      <c r="B62" s="132">
        <v>20.0</v>
      </c>
      <c r="C62" s="27" t="s">
        <v>917</v>
      </c>
    </row>
    <row r="63" hidden="1">
      <c r="A63" s="27" t="s">
        <v>64</v>
      </c>
      <c r="B63" s="132">
        <v>12.0</v>
      </c>
      <c r="C63" s="27" t="s">
        <v>917</v>
      </c>
    </row>
    <row r="64" hidden="1">
      <c r="A64" s="27" t="s">
        <v>63</v>
      </c>
      <c r="B64" s="132">
        <v>24.0</v>
      </c>
      <c r="C64" s="27" t="s">
        <v>917</v>
      </c>
    </row>
    <row r="65" hidden="1">
      <c r="A65" s="27" t="s">
        <v>30</v>
      </c>
      <c r="B65" s="132">
        <v>30.0</v>
      </c>
      <c r="C65" s="27" t="s">
        <v>917</v>
      </c>
    </row>
    <row r="66" hidden="1">
      <c r="A66" s="27" t="s">
        <v>68</v>
      </c>
      <c r="B66" s="132">
        <v>50.0</v>
      </c>
      <c r="C66" s="27" t="s">
        <v>917</v>
      </c>
    </row>
    <row r="67" hidden="1">
      <c r="A67" s="27" t="s">
        <v>22</v>
      </c>
      <c r="B67" s="132">
        <v>10.0</v>
      </c>
      <c r="C67" s="27" t="s">
        <v>917</v>
      </c>
    </row>
    <row r="68">
      <c r="A68" s="27" t="s">
        <v>53</v>
      </c>
      <c r="B68" s="132">
        <v>10.0</v>
      </c>
      <c r="C68" s="314" t="s">
        <v>920</v>
      </c>
    </row>
    <row r="69" hidden="1">
      <c r="A69" s="27" t="s">
        <v>97</v>
      </c>
      <c r="B69" s="132">
        <v>30.0</v>
      </c>
      <c r="C69" s="27" t="s">
        <v>917</v>
      </c>
    </row>
    <row r="70" hidden="1">
      <c r="A70" s="27" t="s">
        <v>112</v>
      </c>
      <c r="B70" s="132">
        <v>20.0</v>
      </c>
      <c r="C70" s="27" t="s">
        <v>917</v>
      </c>
    </row>
    <row r="71">
      <c r="A71" s="27" t="s">
        <v>74</v>
      </c>
      <c r="B71" s="132">
        <v>120.0</v>
      </c>
      <c r="C71" s="314" t="s">
        <v>921</v>
      </c>
    </row>
    <row r="72" hidden="1">
      <c r="A72" s="27" t="s">
        <v>65</v>
      </c>
      <c r="B72" s="132">
        <v>40.0</v>
      </c>
      <c r="C72" s="27" t="s">
        <v>917</v>
      </c>
    </row>
    <row r="73" hidden="1">
      <c r="A73" s="27" t="s">
        <v>117</v>
      </c>
      <c r="B73" s="132">
        <v>20.0</v>
      </c>
      <c r="C73" s="27" t="s">
        <v>917</v>
      </c>
    </row>
    <row r="74">
      <c r="A74" s="27" t="s">
        <v>115</v>
      </c>
      <c r="B74" s="132">
        <v>288.0</v>
      </c>
      <c r="C74" s="27" t="s">
        <v>918</v>
      </c>
    </row>
    <row r="75" hidden="1">
      <c r="A75" s="27" t="s">
        <v>98</v>
      </c>
      <c r="B75" s="132">
        <v>20.0</v>
      </c>
      <c r="C75" s="27" t="s">
        <v>917</v>
      </c>
    </row>
    <row r="76">
      <c r="A76" s="27" t="s">
        <v>69</v>
      </c>
      <c r="B76" s="132">
        <v>40.0</v>
      </c>
      <c r="C76" s="27" t="s">
        <v>918</v>
      </c>
    </row>
    <row r="77" hidden="1">
      <c r="A77" s="27" t="s">
        <v>119</v>
      </c>
      <c r="B77" s="132">
        <v>30.0</v>
      </c>
      <c r="C77" s="27" t="s">
        <v>917</v>
      </c>
    </row>
    <row r="78" hidden="1">
      <c r="A78" s="27" t="s">
        <v>107</v>
      </c>
      <c r="B78" s="132">
        <v>12.0</v>
      </c>
      <c r="C78" s="27" t="s">
        <v>917</v>
      </c>
    </row>
    <row r="79" hidden="1">
      <c r="A79" s="27" t="s">
        <v>67</v>
      </c>
      <c r="B79" s="132">
        <v>120.0</v>
      </c>
      <c r="C79" s="27" t="s">
        <v>917</v>
      </c>
    </row>
    <row r="80" hidden="1">
      <c r="A80" s="27" t="s">
        <v>67</v>
      </c>
      <c r="B80" s="132">
        <v>928.0</v>
      </c>
      <c r="C80" s="27" t="s">
        <v>917</v>
      </c>
    </row>
    <row r="81" hidden="1">
      <c r="A81" s="27" t="s">
        <v>68</v>
      </c>
      <c r="B81" s="132">
        <v>348.0</v>
      </c>
      <c r="C81" s="27" t="s">
        <v>917</v>
      </c>
    </row>
    <row r="82" hidden="1">
      <c r="A82" s="27" t="s">
        <v>23</v>
      </c>
      <c r="B82" s="132">
        <v>348.0</v>
      </c>
      <c r="C82" s="27" t="s">
        <v>917</v>
      </c>
    </row>
    <row r="83">
      <c r="A83" s="27" t="s">
        <v>131</v>
      </c>
      <c r="B83" s="132">
        <v>1152.0</v>
      </c>
      <c r="C83" s="27" t="s">
        <v>918</v>
      </c>
    </row>
    <row r="84" hidden="1">
      <c r="A84" s="27" t="s">
        <v>376</v>
      </c>
      <c r="B84" s="132">
        <v>250.0</v>
      </c>
      <c r="C84" s="27" t="s">
        <v>917</v>
      </c>
    </row>
    <row r="85" hidden="1">
      <c r="A85" s="27" t="s">
        <v>168</v>
      </c>
      <c r="B85" s="132">
        <v>100.0</v>
      </c>
      <c r="C85" s="27" t="s">
        <v>917</v>
      </c>
    </row>
    <row r="86" hidden="1">
      <c r="A86" s="27" t="s">
        <v>192</v>
      </c>
      <c r="B86" s="132">
        <v>144.0</v>
      </c>
      <c r="C86" s="27" t="s">
        <v>917</v>
      </c>
    </row>
    <row r="87">
      <c r="A87" s="27" t="s">
        <v>289</v>
      </c>
      <c r="B87" s="132">
        <v>100.0</v>
      </c>
      <c r="C87" s="27" t="s">
        <v>918</v>
      </c>
    </row>
    <row r="88" hidden="1">
      <c r="A88" s="27" t="s">
        <v>418</v>
      </c>
      <c r="B88" s="132">
        <v>72.0</v>
      </c>
      <c r="C88" s="27" t="s">
        <v>917</v>
      </c>
    </row>
    <row r="89">
      <c r="A89" s="27" t="s">
        <v>240</v>
      </c>
      <c r="B89" s="132">
        <v>100.0</v>
      </c>
      <c r="C89" s="27" t="s">
        <v>922</v>
      </c>
    </row>
    <row r="90" hidden="1">
      <c r="A90" s="27" t="s">
        <v>263</v>
      </c>
      <c r="B90" s="132">
        <v>20.0</v>
      </c>
      <c r="C90" s="27" t="s">
        <v>917</v>
      </c>
    </row>
    <row r="91" hidden="1">
      <c r="A91" s="27" t="s">
        <v>275</v>
      </c>
      <c r="B91" s="132">
        <v>600.0</v>
      </c>
      <c r="C91" s="27" t="s">
        <v>917</v>
      </c>
    </row>
    <row r="92" hidden="1">
      <c r="A92" s="27" t="s">
        <v>290</v>
      </c>
      <c r="B92" s="132">
        <v>200.0</v>
      </c>
      <c r="C92" s="27" t="s">
        <v>917</v>
      </c>
    </row>
    <row r="93" hidden="1">
      <c r="A93" s="27" t="s">
        <v>315</v>
      </c>
      <c r="B93" s="132">
        <v>40.0</v>
      </c>
      <c r="C93" s="27" t="s">
        <v>917</v>
      </c>
    </row>
    <row r="94" hidden="1">
      <c r="A94" s="27" t="s">
        <v>344</v>
      </c>
      <c r="B94" s="132">
        <v>240.0</v>
      </c>
      <c r="C94" s="27" t="s">
        <v>917</v>
      </c>
    </row>
    <row r="95">
      <c r="A95" s="27" t="s">
        <v>295</v>
      </c>
      <c r="B95" s="132">
        <v>120.0</v>
      </c>
      <c r="C95" s="27" t="s">
        <v>918</v>
      </c>
    </row>
    <row r="96">
      <c r="A96" s="27" t="s">
        <v>226</v>
      </c>
      <c r="B96" s="132">
        <v>200.0</v>
      </c>
      <c r="C96" s="27" t="s">
        <v>922</v>
      </c>
    </row>
    <row r="97" hidden="1">
      <c r="A97" s="27" t="s">
        <v>203</v>
      </c>
      <c r="B97" s="132">
        <v>80.0</v>
      </c>
      <c r="C97" s="27" t="s">
        <v>917</v>
      </c>
    </row>
    <row r="98" hidden="1">
      <c r="A98" s="27" t="s">
        <v>164</v>
      </c>
      <c r="B98" s="132">
        <v>250.0</v>
      </c>
      <c r="C98" s="27" t="s">
        <v>917</v>
      </c>
    </row>
    <row r="99">
      <c r="A99" s="27" t="s">
        <v>166</v>
      </c>
      <c r="B99" s="132">
        <v>300.0</v>
      </c>
      <c r="C99" s="27" t="s">
        <v>918</v>
      </c>
    </row>
    <row r="100">
      <c r="A100" s="27" t="s">
        <v>340</v>
      </c>
      <c r="B100" s="132">
        <v>288.0</v>
      </c>
      <c r="C100" s="27" t="s">
        <v>918</v>
      </c>
    </row>
    <row r="101" hidden="1">
      <c r="A101" s="27" t="s">
        <v>183</v>
      </c>
      <c r="B101" s="132">
        <v>200.0</v>
      </c>
      <c r="C101" s="27" t="s">
        <v>917</v>
      </c>
    </row>
    <row r="102">
      <c r="A102" s="27" t="s">
        <v>370</v>
      </c>
      <c r="B102" s="132">
        <v>144.0</v>
      </c>
      <c r="C102" s="27" t="s">
        <v>918</v>
      </c>
    </row>
    <row r="103">
      <c r="A103" s="27" t="s">
        <v>197</v>
      </c>
      <c r="B103" s="132">
        <v>144.0</v>
      </c>
      <c r="C103" s="27" t="s">
        <v>918</v>
      </c>
    </row>
    <row r="104" hidden="1">
      <c r="A104" s="27" t="s">
        <v>292</v>
      </c>
      <c r="B104" s="132">
        <v>600.0</v>
      </c>
      <c r="C104" s="27" t="s">
        <v>917</v>
      </c>
    </row>
    <row r="105" hidden="1">
      <c r="A105" s="27" t="s">
        <v>286</v>
      </c>
      <c r="B105" s="132">
        <v>300.0</v>
      </c>
      <c r="C105" s="27" t="s">
        <v>917</v>
      </c>
    </row>
    <row r="106" hidden="1">
      <c r="A106" s="27" t="s">
        <v>278</v>
      </c>
      <c r="B106" s="132">
        <v>100.0</v>
      </c>
      <c r="C106" s="27" t="s">
        <v>917</v>
      </c>
    </row>
    <row r="107" hidden="1">
      <c r="A107" s="27" t="s">
        <v>353</v>
      </c>
      <c r="B107" s="132">
        <v>150.0</v>
      </c>
      <c r="C107" s="27" t="s">
        <v>917</v>
      </c>
    </row>
    <row r="108" hidden="1">
      <c r="A108" s="27" t="s">
        <v>364</v>
      </c>
      <c r="B108" s="132">
        <v>20.0</v>
      </c>
      <c r="C108" s="27" t="s">
        <v>917</v>
      </c>
    </row>
    <row r="109" hidden="1">
      <c r="A109" s="27" t="s">
        <v>243</v>
      </c>
      <c r="B109" s="132">
        <v>120.0</v>
      </c>
      <c r="C109" s="27" t="s">
        <v>917</v>
      </c>
    </row>
    <row r="110">
      <c r="A110" s="27" t="s">
        <v>375</v>
      </c>
      <c r="B110" s="132">
        <v>288.0</v>
      </c>
      <c r="C110" s="27" t="s">
        <v>918</v>
      </c>
    </row>
    <row r="111">
      <c r="A111" s="27" t="s">
        <v>371</v>
      </c>
      <c r="B111" s="132">
        <v>432.0</v>
      </c>
      <c r="C111" s="27" t="s">
        <v>918</v>
      </c>
    </row>
    <row r="112">
      <c r="A112" s="27" t="s">
        <v>369</v>
      </c>
      <c r="B112" s="132">
        <v>144.0</v>
      </c>
      <c r="C112" s="27" t="s">
        <v>918</v>
      </c>
    </row>
    <row r="113">
      <c r="A113" s="27" t="s">
        <v>194</v>
      </c>
      <c r="B113" s="132">
        <v>80.0</v>
      </c>
      <c r="C113" s="27" t="s">
        <v>922</v>
      </c>
    </row>
    <row r="114">
      <c r="A114" s="27" t="s">
        <v>195</v>
      </c>
      <c r="B114" s="132">
        <v>60.0</v>
      </c>
      <c r="C114" s="27" t="s">
        <v>918</v>
      </c>
    </row>
    <row r="115" hidden="1">
      <c r="A115" s="27" t="s">
        <v>352</v>
      </c>
      <c r="B115" s="132">
        <v>90.0</v>
      </c>
      <c r="C115" s="27" t="s">
        <v>917</v>
      </c>
    </row>
    <row r="116" hidden="1">
      <c r="A116" s="27" t="s">
        <v>245</v>
      </c>
      <c r="B116" s="132">
        <v>200.0</v>
      </c>
      <c r="C116" s="27" t="s">
        <v>917</v>
      </c>
    </row>
    <row r="117" hidden="1">
      <c r="A117" s="27" t="s">
        <v>239</v>
      </c>
      <c r="B117" s="132">
        <v>800.0</v>
      </c>
      <c r="C117" s="27" t="s">
        <v>917</v>
      </c>
    </row>
    <row r="118" hidden="1">
      <c r="A118" s="27" t="s">
        <v>273</v>
      </c>
      <c r="B118" s="132">
        <v>450.0</v>
      </c>
      <c r="C118" s="27" t="s">
        <v>917</v>
      </c>
    </row>
    <row r="119" hidden="1">
      <c r="A119" s="27" t="s">
        <v>309</v>
      </c>
      <c r="B119" s="132">
        <v>200.0</v>
      </c>
      <c r="C119" s="27" t="s">
        <v>917</v>
      </c>
    </row>
    <row r="120" hidden="1">
      <c r="A120" s="27" t="s">
        <v>317</v>
      </c>
      <c r="B120" s="132">
        <v>200.0</v>
      </c>
      <c r="C120" s="27" t="s">
        <v>917</v>
      </c>
    </row>
    <row r="121" hidden="1">
      <c r="A121" s="27" t="s">
        <v>293</v>
      </c>
      <c r="B121" s="132">
        <v>120.0</v>
      </c>
      <c r="C121" s="27" t="s">
        <v>917</v>
      </c>
    </row>
    <row r="122" hidden="1">
      <c r="A122" s="55" t="s">
        <v>72</v>
      </c>
      <c r="B122" s="55">
        <v>1296.0</v>
      </c>
    </row>
    <row r="123">
      <c r="A123" s="27" t="s">
        <v>42</v>
      </c>
      <c r="B123" s="132">
        <v>240.0</v>
      </c>
      <c r="C123" s="27" t="s">
        <v>918</v>
      </c>
    </row>
    <row r="124" hidden="1">
      <c r="A124" s="27" t="s">
        <v>129</v>
      </c>
      <c r="B124" s="132">
        <v>200.0</v>
      </c>
      <c r="C124" s="27" t="s">
        <v>917</v>
      </c>
    </row>
    <row r="125">
      <c r="A125" s="27" t="s">
        <v>70</v>
      </c>
      <c r="B125" s="132">
        <v>240.0</v>
      </c>
      <c r="C125" s="27" t="s">
        <v>918</v>
      </c>
    </row>
    <row r="126">
      <c r="A126" s="27" t="s">
        <v>134</v>
      </c>
      <c r="B126" s="132">
        <v>1200.0</v>
      </c>
      <c r="C126" s="27" t="s">
        <v>919</v>
      </c>
    </row>
    <row r="127">
      <c r="A127" s="27" t="s">
        <v>61</v>
      </c>
      <c r="B127" s="132">
        <v>144.0</v>
      </c>
      <c r="C127" s="27" t="s">
        <v>918</v>
      </c>
    </row>
    <row r="128" hidden="1">
      <c r="A128" s="27" t="s">
        <v>110</v>
      </c>
      <c r="B128" s="132">
        <v>60.0</v>
      </c>
      <c r="C128" s="27" t="s">
        <v>917</v>
      </c>
    </row>
    <row r="129" hidden="1">
      <c r="A129" s="27" t="s">
        <v>102</v>
      </c>
      <c r="B129" s="132">
        <v>100.0</v>
      </c>
      <c r="C129" s="27" t="s">
        <v>917</v>
      </c>
    </row>
    <row r="130" hidden="1">
      <c r="A130" s="27" t="s">
        <v>82</v>
      </c>
      <c r="B130" s="132">
        <v>40.0</v>
      </c>
      <c r="C130" s="27" t="s">
        <v>917</v>
      </c>
    </row>
    <row r="131" hidden="1">
      <c r="A131" s="27" t="s">
        <v>68</v>
      </c>
      <c r="B131" s="132">
        <v>150.0</v>
      </c>
      <c r="C131" s="27" t="s">
        <v>917</v>
      </c>
    </row>
    <row r="132" hidden="1">
      <c r="A132" s="27" t="s">
        <v>28</v>
      </c>
      <c r="B132" s="132">
        <v>36.0</v>
      </c>
      <c r="C132" s="27" t="s">
        <v>917</v>
      </c>
    </row>
    <row r="133" hidden="1">
      <c r="A133" s="27" t="s">
        <v>23</v>
      </c>
      <c r="B133" s="132">
        <v>240.0</v>
      </c>
      <c r="C133" s="27" t="s">
        <v>917</v>
      </c>
    </row>
    <row r="134">
      <c r="A134" s="27" t="s">
        <v>26</v>
      </c>
      <c r="B134" s="132">
        <v>100.0</v>
      </c>
      <c r="C134" s="27" t="s">
        <v>918</v>
      </c>
    </row>
    <row r="135" hidden="1">
      <c r="A135" s="27" t="s">
        <v>97</v>
      </c>
      <c r="B135" s="132">
        <v>60.0</v>
      </c>
      <c r="C135" s="27" t="s">
        <v>917</v>
      </c>
    </row>
    <row r="136" hidden="1">
      <c r="A136" s="27" t="s">
        <v>112</v>
      </c>
      <c r="B136" s="132">
        <v>30.0</v>
      </c>
      <c r="C136" s="27" t="s">
        <v>917</v>
      </c>
    </row>
    <row r="137">
      <c r="A137" s="27" t="s">
        <v>69</v>
      </c>
      <c r="B137" s="132">
        <v>120.0</v>
      </c>
      <c r="C137" s="27" t="s">
        <v>918</v>
      </c>
    </row>
    <row r="138" hidden="1">
      <c r="A138" s="27" t="s">
        <v>84</v>
      </c>
      <c r="B138" s="132">
        <v>40.0</v>
      </c>
      <c r="C138" s="27" t="s">
        <v>917</v>
      </c>
    </row>
    <row r="139" hidden="1">
      <c r="A139" s="27" t="s">
        <v>411</v>
      </c>
      <c r="B139" s="132">
        <v>60.0</v>
      </c>
      <c r="C139" s="27" t="s">
        <v>917</v>
      </c>
    </row>
    <row r="140" hidden="1">
      <c r="A140" s="27" t="s">
        <v>109</v>
      </c>
      <c r="B140" s="132">
        <v>36.0</v>
      </c>
      <c r="C140" s="27" t="s">
        <v>917</v>
      </c>
    </row>
    <row r="141" hidden="1">
      <c r="A141" s="27" t="s">
        <v>89</v>
      </c>
      <c r="B141" s="132">
        <v>40.0</v>
      </c>
      <c r="C141" s="27" t="s">
        <v>917</v>
      </c>
    </row>
    <row r="142" hidden="1">
      <c r="A142" s="27" t="s">
        <v>67</v>
      </c>
      <c r="B142" s="132">
        <v>400.0</v>
      </c>
      <c r="C142" s="27" t="s">
        <v>917</v>
      </c>
    </row>
    <row r="143" hidden="1">
      <c r="A143" s="55" t="s">
        <v>72</v>
      </c>
      <c r="B143" s="55">
        <v>432.0</v>
      </c>
    </row>
    <row r="144">
      <c r="A144" s="27" t="s">
        <v>173</v>
      </c>
      <c r="B144" s="173">
        <v>400.0</v>
      </c>
      <c r="C144" s="27" t="s">
        <v>918</v>
      </c>
    </row>
    <row r="145">
      <c r="A145" s="27" t="s">
        <v>275</v>
      </c>
      <c r="B145" s="173">
        <v>3072.0</v>
      </c>
      <c r="C145" s="27" t="s">
        <v>918</v>
      </c>
    </row>
    <row r="146">
      <c r="A146" s="27" t="s">
        <v>167</v>
      </c>
      <c r="B146" s="173">
        <v>1024.0</v>
      </c>
      <c r="C146" s="27" t="s">
        <v>918</v>
      </c>
    </row>
    <row r="147">
      <c r="A147" s="27" t="s">
        <v>325</v>
      </c>
      <c r="B147" s="173">
        <v>576.0</v>
      </c>
      <c r="C147" s="27" t="s">
        <v>918</v>
      </c>
    </row>
    <row r="148">
      <c r="A148" s="27" t="s">
        <v>334</v>
      </c>
      <c r="B148" s="173">
        <v>1000.0</v>
      </c>
      <c r="C148" s="27" t="s">
        <v>918</v>
      </c>
    </row>
    <row r="149">
      <c r="A149" s="27" t="s">
        <v>183</v>
      </c>
      <c r="B149" s="173">
        <v>576.0</v>
      </c>
      <c r="C149" s="27" t="s">
        <v>918</v>
      </c>
    </row>
    <row r="150">
      <c r="A150" s="27" t="s">
        <v>375</v>
      </c>
      <c r="B150" s="173">
        <v>864.0</v>
      </c>
      <c r="C150" s="27" t="s">
        <v>918</v>
      </c>
    </row>
    <row r="151">
      <c r="A151" s="27" t="s">
        <v>369</v>
      </c>
      <c r="B151" s="173">
        <v>864.0</v>
      </c>
      <c r="C151" s="27" t="s">
        <v>918</v>
      </c>
    </row>
    <row r="152" hidden="1">
      <c r="A152" s="55" t="s">
        <v>344</v>
      </c>
      <c r="B152" s="55">
        <v>50.0</v>
      </c>
      <c r="C152" s="55" t="s">
        <v>917</v>
      </c>
    </row>
    <row r="153" hidden="1">
      <c r="A153" s="55" t="s">
        <v>158</v>
      </c>
      <c r="B153" s="55">
        <v>150.0</v>
      </c>
      <c r="C153" s="55" t="s">
        <v>917</v>
      </c>
    </row>
    <row r="154">
      <c r="A154" s="55" t="s">
        <v>242</v>
      </c>
      <c r="B154" s="55">
        <v>150.0</v>
      </c>
      <c r="C154" s="55" t="s">
        <v>923</v>
      </c>
    </row>
    <row r="155" hidden="1">
      <c r="A155" s="55" t="s">
        <v>416</v>
      </c>
      <c r="B155" s="55">
        <v>30.0</v>
      </c>
      <c r="C155" s="55" t="s">
        <v>917</v>
      </c>
    </row>
    <row r="156" hidden="1">
      <c r="A156" s="55" t="s">
        <v>362</v>
      </c>
      <c r="B156" s="55">
        <v>70.0</v>
      </c>
      <c r="C156" s="55" t="s">
        <v>917</v>
      </c>
    </row>
    <row r="157" hidden="1">
      <c r="A157" s="55" t="s">
        <v>366</v>
      </c>
      <c r="B157" s="55">
        <v>100.0</v>
      </c>
      <c r="C157" s="55" t="s">
        <v>917</v>
      </c>
    </row>
    <row r="158">
      <c r="A158" s="55" t="s">
        <v>340</v>
      </c>
      <c r="B158" s="55">
        <v>30.0</v>
      </c>
      <c r="C158" s="55" t="s">
        <v>923</v>
      </c>
    </row>
    <row r="159" hidden="1">
      <c r="A159" s="55" t="s">
        <v>360</v>
      </c>
      <c r="B159" s="55">
        <v>70.0</v>
      </c>
      <c r="C159" s="55" t="s">
        <v>917</v>
      </c>
    </row>
    <row r="160" hidden="1">
      <c r="A160" s="55" t="s">
        <v>162</v>
      </c>
      <c r="B160" s="55">
        <v>100.0</v>
      </c>
      <c r="C160" s="55" t="s">
        <v>917</v>
      </c>
    </row>
    <row r="161">
      <c r="A161" s="55" t="s">
        <v>325</v>
      </c>
      <c r="B161" s="55">
        <v>300.0</v>
      </c>
      <c r="C161" s="55" t="s">
        <v>923</v>
      </c>
    </row>
    <row r="162" hidden="1">
      <c r="A162" s="55" t="s">
        <v>334</v>
      </c>
      <c r="B162" s="55">
        <v>50.0</v>
      </c>
      <c r="C162" s="55" t="s">
        <v>917</v>
      </c>
    </row>
    <row r="163" hidden="1">
      <c r="A163" s="55" t="s">
        <v>159</v>
      </c>
      <c r="B163" s="55">
        <v>100.0</v>
      </c>
      <c r="C163" s="55" t="s">
        <v>917</v>
      </c>
    </row>
    <row r="164" hidden="1">
      <c r="A164" s="55" t="s">
        <v>335</v>
      </c>
      <c r="B164" s="55">
        <v>50.0</v>
      </c>
      <c r="C164" s="55" t="s">
        <v>917</v>
      </c>
    </row>
    <row r="165" hidden="1">
      <c r="A165" s="55" t="s">
        <v>183</v>
      </c>
      <c r="B165" s="55">
        <v>120.0</v>
      </c>
      <c r="C165" s="55" t="s">
        <v>917</v>
      </c>
    </row>
    <row r="166">
      <c r="A166" s="55" t="s">
        <v>349</v>
      </c>
      <c r="B166" s="55">
        <v>80.0</v>
      </c>
      <c r="C166" s="55" t="s">
        <v>924</v>
      </c>
    </row>
    <row r="167">
      <c r="A167" s="55" t="s">
        <v>196</v>
      </c>
      <c r="B167" s="55">
        <v>30.0</v>
      </c>
      <c r="C167" s="55" t="s">
        <v>923</v>
      </c>
    </row>
    <row r="168">
      <c r="A168" s="55" t="s">
        <v>241</v>
      </c>
      <c r="B168" s="55">
        <v>50.0</v>
      </c>
      <c r="C168" s="55" t="s">
        <v>923</v>
      </c>
    </row>
    <row r="169">
      <c r="A169" s="55" t="s">
        <v>355</v>
      </c>
      <c r="B169" s="55">
        <v>80.0</v>
      </c>
      <c r="C169" s="55" t="s">
        <v>923</v>
      </c>
    </row>
    <row r="170" hidden="1">
      <c r="A170" s="55" t="s">
        <v>333</v>
      </c>
      <c r="B170" s="55">
        <v>50.0</v>
      </c>
      <c r="C170" s="55" t="s">
        <v>917</v>
      </c>
    </row>
    <row r="171" hidden="1">
      <c r="A171" s="55" t="s">
        <v>364</v>
      </c>
      <c r="B171" s="55">
        <v>150.0</v>
      </c>
      <c r="C171" s="55" t="s">
        <v>917</v>
      </c>
    </row>
    <row r="172" hidden="1">
      <c r="A172" s="55" t="s">
        <v>252</v>
      </c>
      <c r="B172" s="55">
        <v>200.0</v>
      </c>
      <c r="C172" s="55" t="s">
        <v>917</v>
      </c>
    </row>
    <row r="173" hidden="1">
      <c r="A173" s="55" t="s">
        <v>372</v>
      </c>
      <c r="B173" s="55">
        <v>50.0</v>
      </c>
      <c r="C173" s="55" t="s">
        <v>917</v>
      </c>
    </row>
    <row r="174" hidden="1">
      <c r="A174" s="55" t="s">
        <v>371</v>
      </c>
      <c r="B174" s="55">
        <v>100.0</v>
      </c>
      <c r="C174" s="55" t="s">
        <v>917</v>
      </c>
    </row>
    <row r="175" hidden="1">
      <c r="A175" s="55" t="s">
        <v>369</v>
      </c>
      <c r="B175" s="55">
        <v>100.0</v>
      </c>
      <c r="C175" s="55" t="s">
        <v>917</v>
      </c>
    </row>
    <row r="176">
      <c r="A176" s="55" t="s">
        <v>175</v>
      </c>
      <c r="B176" s="55">
        <v>100.0</v>
      </c>
      <c r="C176" s="55" t="s">
        <v>923</v>
      </c>
    </row>
    <row r="177">
      <c r="A177" s="55" t="s">
        <v>220</v>
      </c>
      <c r="B177" s="55">
        <v>100.0</v>
      </c>
      <c r="C177" s="55" t="s">
        <v>923</v>
      </c>
    </row>
    <row r="178">
      <c r="A178" s="55" t="s">
        <v>352</v>
      </c>
      <c r="B178" s="55">
        <v>100.0</v>
      </c>
      <c r="C178" s="55" t="s">
        <v>923</v>
      </c>
    </row>
    <row r="179">
      <c r="A179" s="55" t="s">
        <v>356</v>
      </c>
      <c r="B179" s="55">
        <v>50.0</v>
      </c>
      <c r="C179" s="55" t="s">
        <v>923</v>
      </c>
    </row>
    <row r="180" hidden="1">
      <c r="A180" s="55" t="s">
        <v>337</v>
      </c>
      <c r="B180" s="55">
        <v>80.0</v>
      </c>
      <c r="C180" s="55" t="s">
        <v>917</v>
      </c>
    </row>
    <row r="181" hidden="1">
      <c r="A181" s="55" t="s">
        <v>223</v>
      </c>
      <c r="B181" s="55">
        <v>100.0</v>
      </c>
      <c r="C181" s="55" t="s">
        <v>917</v>
      </c>
    </row>
    <row r="182" hidden="1">
      <c r="A182" s="55" t="s">
        <v>179</v>
      </c>
      <c r="B182" s="55">
        <v>100.0</v>
      </c>
      <c r="C182" s="55" t="s">
        <v>917</v>
      </c>
    </row>
    <row r="183" hidden="1">
      <c r="A183" s="55" t="s">
        <v>189</v>
      </c>
      <c r="B183" s="55">
        <v>80.0</v>
      </c>
      <c r="C183" s="55" t="s">
        <v>917</v>
      </c>
    </row>
    <row r="184" hidden="1">
      <c r="A184" s="55" t="s">
        <v>180</v>
      </c>
      <c r="B184" s="55">
        <v>150.0</v>
      </c>
      <c r="C184" s="55" t="s">
        <v>917</v>
      </c>
    </row>
    <row r="185" hidden="1">
      <c r="A185" s="27" t="s">
        <v>59</v>
      </c>
      <c r="B185" s="132">
        <v>41.0</v>
      </c>
      <c r="C185" s="27" t="s">
        <v>917</v>
      </c>
    </row>
    <row r="186">
      <c r="A186" s="27" t="s">
        <v>42</v>
      </c>
      <c r="B186" s="132">
        <v>120.0</v>
      </c>
      <c r="C186" s="27" t="s">
        <v>918</v>
      </c>
    </row>
    <row r="187">
      <c r="A187" s="27" t="s">
        <v>134</v>
      </c>
      <c r="B187" s="132">
        <v>300.0</v>
      </c>
      <c r="C187" s="27" t="s">
        <v>919</v>
      </c>
    </row>
    <row r="188">
      <c r="A188" s="27" t="s">
        <v>131</v>
      </c>
      <c r="B188" s="132">
        <v>288.0</v>
      </c>
      <c r="C188" s="27" t="s">
        <v>918</v>
      </c>
    </row>
    <row r="189" hidden="1">
      <c r="A189" s="27" t="s">
        <v>15</v>
      </c>
      <c r="B189" s="132">
        <v>49.0</v>
      </c>
      <c r="C189" s="27" t="s">
        <v>917</v>
      </c>
    </row>
    <row r="190" hidden="1">
      <c r="A190" s="27" t="s">
        <v>77</v>
      </c>
      <c r="B190" s="132">
        <v>30.0</v>
      </c>
      <c r="C190" s="27" t="s">
        <v>917</v>
      </c>
    </row>
    <row r="191">
      <c r="A191" s="27" t="s">
        <v>61</v>
      </c>
      <c r="B191" s="132">
        <v>144.0</v>
      </c>
      <c r="C191" s="27" t="s">
        <v>918</v>
      </c>
    </row>
    <row r="192" hidden="1">
      <c r="A192" s="27" t="s">
        <v>102</v>
      </c>
      <c r="B192" s="132">
        <v>300.0</v>
      </c>
      <c r="C192" s="27" t="s">
        <v>917</v>
      </c>
    </row>
    <row r="193" hidden="1">
      <c r="A193" s="27" t="s">
        <v>33</v>
      </c>
      <c r="B193" s="132">
        <v>200.0</v>
      </c>
      <c r="C193" s="27" t="s">
        <v>917</v>
      </c>
    </row>
    <row r="194" hidden="1">
      <c r="A194" s="27" t="s">
        <v>63</v>
      </c>
      <c r="B194" s="132">
        <v>36.0</v>
      </c>
      <c r="C194" s="27" t="s">
        <v>917</v>
      </c>
    </row>
    <row r="195" hidden="1">
      <c r="A195" s="27" t="s">
        <v>68</v>
      </c>
      <c r="B195" s="132">
        <v>200.0</v>
      </c>
      <c r="C195" s="27" t="s">
        <v>917</v>
      </c>
    </row>
    <row r="196" hidden="1">
      <c r="A196" s="27" t="s">
        <v>23</v>
      </c>
      <c r="B196" s="132">
        <v>116.0</v>
      </c>
      <c r="C196" s="27" t="s">
        <v>917</v>
      </c>
    </row>
    <row r="197">
      <c r="A197" s="27" t="s">
        <v>115</v>
      </c>
      <c r="B197" s="132">
        <v>288.0</v>
      </c>
      <c r="C197" s="27" t="s">
        <v>918</v>
      </c>
    </row>
    <row r="198" hidden="1">
      <c r="A198" s="27" t="s">
        <v>98</v>
      </c>
      <c r="B198" s="132">
        <v>40.0</v>
      </c>
      <c r="C198" s="27" t="s">
        <v>917</v>
      </c>
    </row>
    <row r="199">
      <c r="A199" s="27" t="s">
        <v>69</v>
      </c>
      <c r="B199" s="132">
        <v>50.0</v>
      </c>
      <c r="C199" s="27" t="s">
        <v>918</v>
      </c>
    </row>
    <row r="200" hidden="1">
      <c r="A200" s="27" t="s">
        <v>119</v>
      </c>
      <c r="B200" s="132">
        <v>48.0</v>
      </c>
      <c r="C200" s="27" t="s">
        <v>917</v>
      </c>
    </row>
    <row r="201" hidden="1">
      <c r="A201" s="27" t="s">
        <v>67</v>
      </c>
      <c r="B201" s="132">
        <v>400.0</v>
      </c>
      <c r="C201" s="27" t="s">
        <v>917</v>
      </c>
    </row>
    <row r="202" hidden="1">
      <c r="A202" s="27" t="s">
        <v>86</v>
      </c>
      <c r="B202" s="132">
        <v>120.0</v>
      </c>
      <c r="C202" s="27" t="s">
        <v>917</v>
      </c>
    </row>
    <row r="203" hidden="1">
      <c r="A203" s="27" t="s">
        <v>51</v>
      </c>
      <c r="B203" s="132">
        <v>42.0</v>
      </c>
      <c r="C203" s="27" t="s">
        <v>917</v>
      </c>
    </row>
    <row r="204">
      <c r="A204" s="55" t="s">
        <v>299</v>
      </c>
      <c r="B204" s="55">
        <v>50.0</v>
      </c>
      <c r="C204" s="55" t="s">
        <v>922</v>
      </c>
    </row>
    <row r="205" hidden="1">
      <c r="A205" s="55" t="s">
        <v>376</v>
      </c>
      <c r="B205" s="55">
        <v>100.0</v>
      </c>
      <c r="C205" s="55" t="s">
        <v>917</v>
      </c>
    </row>
    <row r="206" hidden="1">
      <c r="A206" s="55" t="s">
        <v>170</v>
      </c>
      <c r="B206" s="55">
        <v>80.0</v>
      </c>
      <c r="C206" s="55" t="s">
        <v>917</v>
      </c>
    </row>
    <row r="207">
      <c r="A207" s="55" t="s">
        <v>173</v>
      </c>
      <c r="B207" s="55">
        <v>50.0</v>
      </c>
      <c r="C207" s="55" t="s">
        <v>918</v>
      </c>
    </row>
    <row r="208" hidden="1">
      <c r="A208" s="55" t="s">
        <v>315</v>
      </c>
      <c r="B208" s="55">
        <v>30.0</v>
      </c>
      <c r="C208" s="55" t="s">
        <v>917</v>
      </c>
    </row>
    <row r="209" hidden="1">
      <c r="A209" s="55" t="s">
        <v>374</v>
      </c>
      <c r="B209" s="55">
        <v>90.0</v>
      </c>
      <c r="C209" s="55" t="s">
        <v>917</v>
      </c>
    </row>
    <row r="210">
      <c r="A210" s="55" t="s">
        <v>295</v>
      </c>
      <c r="B210" s="55">
        <v>72.0</v>
      </c>
      <c r="C210" s="55" t="s">
        <v>918</v>
      </c>
    </row>
    <row r="211" hidden="1">
      <c r="A211" s="55" t="s">
        <v>164</v>
      </c>
      <c r="B211" s="55">
        <v>100.0</v>
      </c>
      <c r="C211" s="55" t="s">
        <v>917</v>
      </c>
    </row>
    <row r="212">
      <c r="A212" s="55" t="s">
        <v>197</v>
      </c>
      <c r="B212" s="55">
        <v>50.0</v>
      </c>
      <c r="C212" s="55" t="s">
        <v>918</v>
      </c>
    </row>
    <row r="213" hidden="1">
      <c r="A213" s="55" t="s">
        <v>294</v>
      </c>
      <c r="B213" s="55">
        <v>40.0</v>
      </c>
      <c r="C213" s="55" t="s">
        <v>917</v>
      </c>
    </row>
    <row r="214" hidden="1">
      <c r="A214" s="55" t="s">
        <v>353</v>
      </c>
      <c r="B214" s="55">
        <v>80.0</v>
      </c>
      <c r="C214" s="55" t="s">
        <v>917</v>
      </c>
    </row>
    <row r="215">
      <c r="A215" s="55" t="s">
        <v>251</v>
      </c>
      <c r="B215" s="55">
        <v>60.0</v>
      </c>
      <c r="C215" s="55" t="s">
        <v>922</v>
      </c>
    </row>
    <row r="216">
      <c r="A216" s="55" t="s">
        <v>252</v>
      </c>
      <c r="B216" s="55">
        <v>432.0</v>
      </c>
      <c r="C216" s="55" t="s">
        <v>918</v>
      </c>
    </row>
    <row r="217">
      <c r="A217" s="55" t="s">
        <v>373</v>
      </c>
      <c r="B217" s="55">
        <v>288.0</v>
      </c>
      <c r="C217" s="55" t="s">
        <v>925</v>
      </c>
    </row>
    <row r="218">
      <c r="A218" s="55" t="s">
        <v>284</v>
      </c>
      <c r="B218" s="55">
        <v>20.0</v>
      </c>
      <c r="C218" s="55" t="s">
        <v>922</v>
      </c>
    </row>
    <row r="219">
      <c r="A219" s="55" t="s">
        <v>230</v>
      </c>
      <c r="B219" s="55">
        <v>400.0</v>
      </c>
      <c r="C219" s="55" t="s">
        <v>922</v>
      </c>
    </row>
    <row r="220">
      <c r="A220" s="55" t="s">
        <v>231</v>
      </c>
      <c r="B220" s="55">
        <v>20.0</v>
      </c>
      <c r="C220" s="55" t="s">
        <v>918</v>
      </c>
    </row>
    <row r="221" hidden="1">
      <c r="A221" s="55" t="s">
        <v>205</v>
      </c>
      <c r="B221" s="55">
        <v>160.0</v>
      </c>
      <c r="C221" s="55" t="s">
        <v>926</v>
      </c>
    </row>
    <row r="222">
      <c r="A222" s="55" t="s">
        <v>154</v>
      </c>
      <c r="B222" s="55">
        <v>1440.0</v>
      </c>
      <c r="C222" s="55" t="s">
        <v>918</v>
      </c>
    </row>
    <row r="223">
      <c r="A223" s="55" t="s">
        <v>129</v>
      </c>
      <c r="B223" s="55">
        <v>864.0</v>
      </c>
      <c r="C223" s="55" t="s">
        <v>918</v>
      </c>
    </row>
    <row r="224">
      <c r="A224" s="55" t="s">
        <v>134</v>
      </c>
      <c r="B224" s="55">
        <v>1600.0</v>
      </c>
      <c r="C224" s="55" t="s">
        <v>919</v>
      </c>
    </row>
    <row r="225">
      <c r="A225" s="55" t="s">
        <v>133</v>
      </c>
      <c r="B225" s="55">
        <v>720.0</v>
      </c>
      <c r="C225" s="55" t="s">
        <v>919</v>
      </c>
    </row>
    <row r="226">
      <c r="A226" s="55" t="s">
        <v>116</v>
      </c>
      <c r="B226" s="55">
        <v>300.0</v>
      </c>
      <c r="C226" s="55" t="s">
        <v>919</v>
      </c>
    </row>
    <row r="227" hidden="1">
      <c r="A227" s="55" t="s">
        <v>95</v>
      </c>
      <c r="B227" s="55">
        <v>84.0</v>
      </c>
      <c r="C227" s="55" t="s">
        <v>917</v>
      </c>
    </row>
    <row r="228" hidden="1">
      <c r="A228" s="55" t="s">
        <v>52</v>
      </c>
      <c r="B228" s="55">
        <v>30.0</v>
      </c>
      <c r="C228" s="55" t="s">
        <v>917</v>
      </c>
    </row>
    <row r="229" hidden="1">
      <c r="A229" s="55" t="s">
        <v>101</v>
      </c>
      <c r="B229" s="55">
        <v>120.0</v>
      </c>
      <c r="C229" s="55" t="s">
        <v>917</v>
      </c>
    </row>
    <row r="230" hidden="1">
      <c r="A230" s="55" t="s">
        <v>63</v>
      </c>
      <c r="B230" s="55">
        <v>96.0</v>
      </c>
      <c r="C230" s="55" t="s">
        <v>917</v>
      </c>
    </row>
    <row r="231" hidden="1">
      <c r="A231" s="55" t="s">
        <v>22</v>
      </c>
      <c r="B231" s="55">
        <v>100.0</v>
      </c>
      <c r="C231" s="55" t="s">
        <v>917</v>
      </c>
    </row>
    <row r="232" hidden="1">
      <c r="A232" s="55" t="s">
        <v>23</v>
      </c>
      <c r="B232" s="55">
        <v>480.0</v>
      </c>
      <c r="C232" s="55" t="s">
        <v>917</v>
      </c>
    </row>
    <row r="233" hidden="1">
      <c r="A233" s="55" t="s">
        <v>99</v>
      </c>
      <c r="B233" s="55">
        <v>80.0</v>
      </c>
      <c r="C233" s="55" t="s">
        <v>917</v>
      </c>
    </row>
    <row r="234" hidden="1">
      <c r="A234" s="55" t="s">
        <v>65</v>
      </c>
      <c r="B234" s="55">
        <v>150.0</v>
      </c>
      <c r="C234" s="55" t="s">
        <v>917</v>
      </c>
    </row>
    <row r="235" hidden="1">
      <c r="A235" s="55" t="s">
        <v>67</v>
      </c>
      <c r="B235" s="55">
        <v>1986.0</v>
      </c>
      <c r="C235" s="55" t="s">
        <v>917</v>
      </c>
    </row>
    <row r="236">
      <c r="A236" s="55" t="s">
        <v>42</v>
      </c>
      <c r="B236" s="55">
        <v>1440.0</v>
      </c>
      <c r="C236" s="55" t="s">
        <v>918</v>
      </c>
    </row>
    <row r="237" hidden="1">
      <c r="A237" s="55" t="s">
        <v>72</v>
      </c>
      <c r="B237" s="55">
        <v>864.0</v>
      </c>
      <c r="C237" s="55" t="s">
        <v>917</v>
      </c>
    </row>
    <row r="238">
      <c r="A238" s="55" t="s">
        <v>129</v>
      </c>
      <c r="B238" s="55">
        <v>1728.0</v>
      </c>
      <c r="C238" s="55" t="s">
        <v>918</v>
      </c>
    </row>
    <row r="239" hidden="1">
      <c r="A239" s="55" t="s">
        <v>67</v>
      </c>
      <c r="B239" s="55">
        <v>4176.0</v>
      </c>
      <c r="C239" s="55" t="s">
        <v>917</v>
      </c>
    </row>
    <row r="240" hidden="1">
      <c r="A240" s="55" t="s">
        <v>68</v>
      </c>
      <c r="B240" s="55">
        <v>1392.0</v>
      </c>
      <c r="C240" s="55" t="s">
        <v>917</v>
      </c>
    </row>
    <row r="241" hidden="1">
      <c r="A241" s="55" t="s">
        <v>119</v>
      </c>
      <c r="B241" s="55">
        <v>50.0</v>
      </c>
      <c r="C241" s="55" t="s">
        <v>917</v>
      </c>
    </row>
    <row r="242" hidden="1">
      <c r="A242" s="55" t="s">
        <v>68</v>
      </c>
      <c r="B242" s="55">
        <v>70.0</v>
      </c>
      <c r="C242" s="55" t="s">
        <v>917</v>
      </c>
    </row>
    <row r="243" hidden="1">
      <c r="A243" s="55" t="s">
        <v>112</v>
      </c>
      <c r="B243" s="55">
        <v>20.0</v>
      </c>
      <c r="C243" s="55" t="s">
        <v>917</v>
      </c>
    </row>
    <row r="244" hidden="1">
      <c r="A244" s="55" t="s">
        <v>64</v>
      </c>
      <c r="B244" s="55">
        <v>70.0</v>
      </c>
      <c r="C244" s="55" t="s">
        <v>917</v>
      </c>
    </row>
    <row r="245" hidden="1">
      <c r="A245" s="55" t="s">
        <v>23</v>
      </c>
      <c r="B245" s="55">
        <v>100.0</v>
      </c>
      <c r="C245" s="55" t="s">
        <v>917</v>
      </c>
    </row>
    <row r="246">
      <c r="A246" s="55" t="s">
        <v>57</v>
      </c>
      <c r="B246" s="55">
        <v>30.0</v>
      </c>
      <c r="C246" s="55" t="s">
        <v>923</v>
      </c>
    </row>
    <row r="247" hidden="1">
      <c r="A247" s="55" t="s">
        <v>74</v>
      </c>
      <c r="B247" s="55">
        <v>20.0</v>
      </c>
      <c r="C247" s="55" t="s">
        <v>917</v>
      </c>
    </row>
    <row r="248" hidden="1">
      <c r="A248" s="55" t="s">
        <v>72</v>
      </c>
      <c r="B248" s="55">
        <v>40.0</v>
      </c>
    </row>
    <row r="249" hidden="1">
      <c r="A249" s="55" t="s">
        <v>134</v>
      </c>
      <c r="B249" s="55">
        <v>30.0</v>
      </c>
      <c r="C249" s="55" t="s">
        <v>917</v>
      </c>
    </row>
    <row r="250" hidden="1">
      <c r="A250" s="55" t="s">
        <v>154</v>
      </c>
      <c r="B250" s="55">
        <v>40.0</v>
      </c>
      <c r="C250" s="55" t="s">
        <v>917</v>
      </c>
    </row>
    <row r="251">
      <c r="A251" s="55" t="s">
        <v>375</v>
      </c>
      <c r="B251" s="55">
        <v>20.0</v>
      </c>
      <c r="C251" s="55" t="s">
        <v>918</v>
      </c>
    </row>
    <row r="252">
      <c r="A252" s="55" t="s">
        <v>373</v>
      </c>
      <c r="B252" s="55">
        <v>20.0</v>
      </c>
      <c r="C252" s="55" t="s">
        <v>927</v>
      </c>
    </row>
    <row r="253" hidden="1">
      <c r="A253" s="55" t="s">
        <v>372</v>
      </c>
      <c r="B253" s="55">
        <v>30.0</v>
      </c>
      <c r="C253" s="55" t="s">
        <v>917</v>
      </c>
    </row>
    <row r="254" hidden="1">
      <c r="A254" s="55" t="s">
        <v>371</v>
      </c>
      <c r="B254" s="55">
        <v>30.0</v>
      </c>
      <c r="C254" s="55" t="s">
        <v>917</v>
      </c>
    </row>
    <row r="255">
      <c r="A255" s="55" t="s">
        <v>231</v>
      </c>
      <c r="B255" s="55">
        <v>10.0</v>
      </c>
      <c r="C255" s="55" t="s">
        <v>923</v>
      </c>
    </row>
    <row r="256">
      <c r="A256" s="55" t="s">
        <v>310</v>
      </c>
      <c r="B256" s="55">
        <v>10.0</v>
      </c>
      <c r="C256" s="55" t="s">
        <v>923</v>
      </c>
    </row>
    <row r="257">
      <c r="A257" s="55" t="s">
        <v>229</v>
      </c>
      <c r="B257" s="55">
        <v>10.0</v>
      </c>
      <c r="C257" s="55" t="s">
        <v>923</v>
      </c>
    </row>
    <row r="258">
      <c r="A258" s="55" t="s">
        <v>207</v>
      </c>
      <c r="B258" s="55">
        <v>10.0</v>
      </c>
      <c r="C258" s="55" t="s">
        <v>923</v>
      </c>
    </row>
    <row r="259">
      <c r="A259" s="55" t="s">
        <v>206</v>
      </c>
      <c r="B259" s="55">
        <v>10.0</v>
      </c>
      <c r="C259" s="55" t="s">
        <v>923</v>
      </c>
    </row>
    <row r="260" hidden="1">
      <c r="A260" s="55" t="s">
        <v>374</v>
      </c>
      <c r="B260" s="55">
        <v>10.0</v>
      </c>
      <c r="C260" s="55" t="s">
        <v>917</v>
      </c>
    </row>
    <row r="261" hidden="1">
      <c r="A261" s="55" t="s">
        <v>369</v>
      </c>
      <c r="B261" s="55">
        <v>20.0</v>
      </c>
      <c r="C261" s="55" t="s">
        <v>917</v>
      </c>
    </row>
    <row r="262" hidden="1">
      <c r="A262" s="55" t="s">
        <v>360</v>
      </c>
      <c r="B262" s="55">
        <v>20.0</v>
      </c>
      <c r="C262" s="55" t="s">
        <v>917</v>
      </c>
    </row>
    <row r="263">
      <c r="A263" s="55" t="s">
        <v>370</v>
      </c>
      <c r="B263" s="55">
        <v>10.0</v>
      </c>
      <c r="C263" s="55" t="s">
        <v>923</v>
      </c>
    </row>
    <row r="264">
      <c r="A264" s="55" t="s">
        <v>354</v>
      </c>
      <c r="B264" s="55">
        <v>10.0</v>
      </c>
      <c r="C264" s="55" t="s">
        <v>923</v>
      </c>
    </row>
    <row r="265" hidden="1">
      <c r="A265" s="55" t="s">
        <v>366</v>
      </c>
      <c r="B265" s="55">
        <v>10.0</v>
      </c>
      <c r="C265" s="55" t="s">
        <v>917</v>
      </c>
    </row>
    <row r="266">
      <c r="A266" s="55" t="s">
        <v>352</v>
      </c>
      <c r="B266" s="55">
        <v>10.0</v>
      </c>
      <c r="C266" s="55" t="s">
        <v>923</v>
      </c>
    </row>
    <row r="267">
      <c r="A267" s="55" t="s">
        <v>283</v>
      </c>
      <c r="B267" s="55">
        <v>10.0</v>
      </c>
      <c r="C267" s="55" t="s">
        <v>923</v>
      </c>
    </row>
    <row r="268">
      <c r="A268" s="55" t="s">
        <v>242</v>
      </c>
      <c r="B268" s="55">
        <v>10.0</v>
      </c>
      <c r="C268" s="55" t="s">
        <v>923</v>
      </c>
    </row>
    <row r="269" hidden="1">
      <c r="A269" s="55" t="s">
        <v>239</v>
      </c>
      <c r="B269" s="55">
        <v>20.0</v>
      </c>
      <c r="C269" s="55" t="s">
        <v>917</v>
      </c>
    </row>
    <row r="270" hidden="1">
      <c r="A270" s="55" t="s">
        <v>162</v>
      </c>
      <c r="B270" s="55">
        <v>20.0</v>
      </c>
      <c r="C270" s="55" t="s">
        <v>917</v>
      </c>
    </row>
    <row r="271" hidden="1">
      <c r="A271" s="55" t="s">
        <v>293</v>
      </c>
      <c r="B271" s="55">
        <v>10.0</v>
      </c>
      <c r="C271" s="55" t="s">
        <v>917</v>
      </c>
    </row>
    <row r="272" hidden="1">
      <c r="A272" s="55" t="s">
        <v>223</v>
      </c>
      <c r="B272" s="55">
        <v>20.0</v>
      </c>
      <c r="C272" s="55" t="s">
        <v>917</v>
      </c>
    </row>
    <row r="273" hidden="1">
      <c r="A273" s="55" t="s">
        <v>275</v>
      </c>
      <c r="B273" s="55">
        <v>10.0</v>
      </c>
      <c r="C273" s="55" t="s">
        <v>917</v>
      </c>
    </row>
    <row r="274">
      <c r="A274" s="55" t="s">
        <v>340</v>
      </c>
      <c r="B274" s="55">
        <v>10.0</v>
      </c>
      <c r="C274" s="55" t="s">
        <v>923</v>
      </c>
    </row>
    <row r="275" hidden="1">
      <c r="A275" s="55" t="s">
        <v>230</v>
      </c>
      <c r="B275" s="55">
        <v>20.0</v>
      </c>
      <c r="C275" s="55" t="s">
        <v>928</v>
      </c>
    </row>
    <row r="276">
      <c r="A276" s="55" t="s">
        <v>195</v>
      </c>
      <c r="B276" s="55">
        <v>10.0</v>
      </c>
      <c r="C276" s="55" t="s">
        <v>923</v>
      </c>
    </row>
    <row r="277" hidden="1">
      <c r="A277" s="55" t="s">
        <v>202</v>
      </c>
      <c r="B277" s="55">
        <v>10.0</v>
      </c>
      <c r="C277" s="55" t="s">
        <v>917</v>
      </c>
    </row>
    <row r="278">
      <c r="A278" s="55" t="s">
        <v>173</v>
      </c>
      <c r="B278" s="55">
        <v>10.0</v>
      </c>
      <c r="C278" s="55" t="s">
        <v>923</v>
      </c>
    </row>
    <row r="279" hidden="1">
      <c r="A279" s="55" t="s">
        <v>290</v>
      </c>
      <c r="B279" s="55">
        <v>10.0</v>
      </c>
      <c r="C279" s="55" t="s">
        <v>917</v>
      </c>
    </row>
    <row r="280" hidden="1">
      <c r="A280" s="55" t="s">
        <v>317</v>
      </c>
      <c r="B280" s="55">
        <v>10.0</v>
      </c>
      <c r="C280" s="55" t="s">
        <v>917</v>
      </c>
    </row>
    <row r="281" hidden="1">
      <c r="A281" s="55" t="s">
        <v>286</v>
      </c>
      <c r="B281" s="55">
        <v>20.0</v>
      </c>
      <c r="C281" s="55" t="s">
        <v>917</v>
      </c>
    </row>
    <row r="282" hidden="1">
      <c r="A282" s="55" t="s">
        <v>306</v>
      </c>
      <c r="B282" s="55">
        <v>10.0</v>
      </c>
      <c r="C282" s="55" t="s">
        <v>917</v>
      </c>
    </row>
    <row r="283" hidden="1">
      <c r="A283" s="55" t="s">
        <v>284</v>
      </c>
      <c r="B283" s="55">
        <v>20.0</v>
      </c>
      <c r="C283" s="55" t="s">
        <v>928</v>
      </c>
    </row>
    <row r="284" hidden="1">
      <c r="A284" s="55" t="s">
        <v>278</v>
      </c>
      <c r="B284" s="55">
        <v>10.0</v>
      </c>
      <c r="C284" s="55" t="s">
        <v>917</v>
      </c>
    </row>
    <row r="285" hidden="1">
      <c r="A285" s="55" t="s">
        <v>313</v>
      </c>
      <c r="B285" s="55">
        <v>10.0</v>
      </c>
      <c r="C285" s="55" t="s">
        <v>928</v>
      </c>
    </row>
    <row r="286" hidden="1">
      <c r="A286" s="55" t="s">
        <v>304</v>
      </c>
      <c r="B286" s="55">
        <v>10.0</v>
      </c>
      <c r="C286" s="55" t="s">
        <v>917</v>
      </c>
    </row>
    <row r="287" hidden="1">
      <c r="A287" s="55" t="s">
        <v>139</v>
      </c>
      <c r="B287" s="55">
        <v>10.0</v>
      </c>
    </row>
    <row r="288" hidden="1">
      <c r="A288" s="55" t="s">
        <v>136</v>
      </c>
      <c r="B288" s="55">
        <v>10.0</v>
      </c>
    </row>
    <row r="289" hidden="1">
      <c r="A289" s="55" t="s">
        <v>142</v>
      </c>
      <c r="B289" s="55">
        <v>10.0</v>
      </c>
    </row>
    <row r="290" hidden="1">
      <c r="A290" s="55" t="s">
        <v>59</v>
      </c>
      <c r="B290" s="55">
        <v>41.0</v>
      </c>
      <c r="C290" s="55" t="s">
        <v>917</v>
      </c>
    </row>
    <row r="291" hidden="1">
      <c r="A291" s="55" t="s">
        <v>153</v>
      </c>
      <c r="B291" s="55">
        <v>120.0</v>
      </c>
      <c r="C291" s="55" t="s">
        <v>917</v>
      </c>
    </row>
    <row r="292" hidden="1">
      <c r="A292" s="55" t="s">
        <v>72</v>
      </c>
      <c r="B292" s="55">
        <v>216.0</v>
      </c>
    </row>
    <row r="293" hidden="1">
      <c r="A293" s="55" t="s">
        <v>151</v>
      </c>
      <c r="B293" s="55">
        <v>120.0</v>
      </c>
      <c r="C293" s="55" t="s">
        <v>917</v>
      </c>
    </row>
    <row r="294" hidden="1">
      <c r="A294" s="55" t="s">
        <v>154</v>
      </c>
      <c r="B294" s="55">
        <v>180.0</v>
      </c>
      <c r="C294" s="55" t="s">
        <v>917</v>
      </c>
    </row>
    <row r="295" hidden="1">
      <c r="A295" s="55" t="s">
        <v>55</v>
      </c>
      <c r="B295" s="55">
        <v>300.0</v>
      </c>
      <c r="C295" s="55" t="s">
        <v>917</v>
      </c>
    </row>
    <row r="296" hidden="1">
      <c r="A296" s="55" t="s">
        <v>90</v>
      </c>
      <c r="B296" s="55">
        <v>96.0</v>
      </c>
      <c r="C296" s="55" t="s">
        <v>917</v>
      </c>
    </row>
    <row r="297" hidden="1">
      <c r="A297" s="55" t="s">
        <v>149</v>
      </c>
      <c r="B297" s="55">
        <v>120.0</v>
      </c>
      <c r="C297" s="55" t="s">
        <v>917</v>
      </c>
    </row>
    <row r="298">
      <c r="A298" s="55" t="s">
        <v>42</v>
      </c>
      <c r="B298" s="55">
        <v>120.0</v>
      </c>
      <c r="C298" s="55" t="s">
        <v>918</v>
      </c>
    </row>
    <row r="299" hidden="1">
      <c r="A299" s="55" t="s">
        <v>60</v>
      </c>
      <c r="B299" s="55">
        <v>20.0</v>
      </c>
      <c r="C299" s="55" t="s">
        <v>917</v>
      </c>
    </row>
    <row r="300">
      <c r="A300" s="55" t="s">
        <v>70</v>
      </c>
      <c r="B300" s="55">
        <v>120.0</v>
      </c>
      <c r="C300" s="55" t="s">
        <v>918</v>
      </c>
    </row>
    <row r="301" hidden="1">
      <c r="A301" s="55" t="s">
        <v>57</v>
      </c>
      <c r="B301" s="55">
        <v>12.0</v>
      </c>
      <c r="C301" s="55" t="s">
        <v>917</v>
      </c>
    </row>
    <row r="302" hidden="1">
      <c r="A302" s="55" t="s">
        <v>58</v>
      </c>
      <c r="B302" s="55">
        <v>36.0</v>
      </c>
      <c r="C302" s="55" t="s">
        <v>917</v>
      </c>
    </row>
    <row r="303" hidden="1">
      <c r="A303" s="55" t="s">
        <v>92</v>
      </c>
      <c r="B303" s="55">
        <v>80.0</v>
      </c>
      <c r="C303" s="55" t="s">
        <v>917</v>
      </c>
    </row>
    <row r="304" hidden="1">
      <c r="A304" s="55" t="s">
        <v>94</v>
      </c>
      <c r="B304" s="55">
        <v>100.0</v>
      </c>
      <c r="C304" s="55" t="s">
        <v>917</v>
      </c>
    </row>
    <row r="305">
      <c r="A305" s="55" t="s">
        <v>61</v>
      </c>
      <c r="B305" s="55">
        <v>144.0</v>
      </c>
      <c r="C305" s="55" t="s">
        <v>918</v>
      </c>
    </row>
    <row r="306">
      <c r="A306" s="55" t="s">
        <v>116</v>
      </c>
      <c r="B306" s="55">
        <v>30.0</v>
      </c>
      <c r="C306" s="55" t="s">
        <v>919</v>
      </c>
    </row>
    <row r="307" hidden="1">
      <c r="A307" s="55" t="s">
        <v>102</v>
      </c>
      <c r="B307" s="55">
        <v>100.0</v>
      </c>
      <c r="C307" s="55" t="s">
        <v>917</v>
      </c>
    </row>
    <row r="308" hidden="1">
      <c r="A308" s="55" t="s">
        <v>113</v>
      </c>
      <c r="B308" s="55">
        <v>40.0</v>
      </c>
      <c r="C308" s="55" t="s">
        <v>917</v>
      </c>
    </row>
    <row r="309" hidden="1">
      <c r="A309" s="55" t="s">
        <v>64</v>
      </c>
      <c r="B309" s="55">
        <v>12.0</v>
      </c>
      <c r="C309" s="55" t="s">
        <v>917</v>
      </c>
    </row>
    <row r="310" hidden="1">
      <c r="A310" s="55" t="s">
        <v>30</v>
      </c>
      <c r="B310" s="55">
        <v>20.0</v>
      </c>
      <c r="C310" s="55" t="s">
        <v>917</v>
      </c>
    </row>
    <row r="311" hidden="1">
      <c r="A311" s="55" t="s">
        <v>68</v>
      </c>
      <c r="B311" s="55">
        <v>100.0</v>
      </c>
      <c r="C311" s="55" t="s">
        <v>917</v>
      </c>
    </row>
    <row r="312">
      <c r="A312" s="55" t="s">
        <v>26</v>
      </c>
      <c r="B312" s="55">
        <v>40.0</v>
      </c>
      <c r="C312" s="55" t="s">
        <v>918</v>
      </c>
    </row>
    <row r="313" hidden="1">
      <c r="A313" s="55" t="s">
        <v>112</v>
      </c>
      <c r="B313" s="55">
        <v>40.0</v>
      </c>
      <c r="C313" s="55" t="s">
        <v>917</v>
      </c>
    </row>
    <row r="314">
      <c r="A314" s="55" t="s">
        <v>115</v>
      </c>
      <c r="B314" s="55">
        <v>288.0</v>
      </c>
      <c r="C314" s="55" t="s">
        <v>918</v>
      </c>
    </row>
    <row r="315">
      <c r="A315" s="55" t="s">
        <v>69</v>
      </c>
      <c r="B315" s="55">
        <v>60.0</v>
      </c>
      <c r="C315" s="55" t="s">
        <v>918</v>
      </c>
    </row>
    <row r="316" hidden="1">
      <c r="A316" s="55" t="s">
        <v>119</v>
      </c>
      <c r="B316" s="55">
        <v>60.0</v>
      </c>
      <c r="C316" s="55" t="s">
        <v>917</v>
      </c>
    </row>
    <row r="317" hidden="1">
      <c r="A317" s="55" t="s">
        <v>411</v>
      </c>
      <c r="B317" s="55">
        <v>20.0</v>
      </c>
      <c r="C317" s="55" t="s">
        <v>917</v>
      </c>
    </row>
    <row r="318" hidden="1">
      <c r="A318" s="55" t="s">
        <v>64</v>
      </c>
      <c r="B318" s="55">
        <v>12.0</v>
      </c>
      <c r="C318" s="55" t="s">
        <v>917</v>
      </c>
    </row>
    <row r="319" hidden="1">
      <c r="A319" s="55" t="s">
        <v>63</v>
      </c>
      <c r="B319" s="55">
        <v>12.0</v>
      </c>
      <c r="C319" s="55" t="s">
        <v>917</v>
      </c>
    </row>
    <row r="320" hidden="1">
      <c r="A320" s="55" t="s">
        <v>110</v>
      </c>
      <c r="B320" s="55">
        <v>8.0</v>
      </c>
      <c r="C320" s="55" t="s">
        <v>917</v>
      </c>
    </row>
    <row r="321" hidden="1">
      <c r="A321" s="55" t="s">
        <v>403</v>
      </c>
      <c r="B321" s="55">
        <v>20.0</v>
      </c>
      <c r="C321" s="55" t="s">
        <v>917</v>
      </c>
    </row>
    <row r="322" hidden="1">
      <c r="A322" s="55" t="s">
        <v>76</v>
      </c>
      <c r="B322" s="55">
        <v>11.0</v>
      </c>
      <c r="C322" s="55" t="s">
        <v>917</v>
      </c>
    </row>
    <row r="323" hidden="1">
      <c r="A323" s="55" t="s">
        <v>17</v>
      </c>
      <c r="B323" s="55">
        <v>24.0</v>
      </c>
      <c r="C323" s="55" t="s">
        <v>917</v>
      </c>
    </row>
    <row r="324" hidden="1">
      <c r="A324" s="55" t="s">
        <v>15</v>
      </c>
      <c r="B324" s="55">
        <v>27.0</v>
      </c>
      <c r="C324" s="55" t="s">
        <v>917</v>
      </c>
    </row>
    <row r="325" hidden="1">
      <c r="A325" s="55" t="s">
        <v>33</v>
      </c>
      <c r="B325" s="55">
        <v>82.0</v>
      </c>
      <c r="C325" s="55" t="s">
        <v>917</v>
      </c>
    </row>
    <row r="326">
      <c r="A326" s="55" t="s">
        <v>74</v>
      </c>
      <c r="B326" s="55">
        <v>81.0</v>
      </c>
      <c r="C326" s="55" t="s">
        <v>929</v>
      </c>
    </row>
    <row r="327" hidden="1">
      <c r="A327" s="55" t="s">
        <v>86</v>
      </c>
      <c r="B327" s="55">
        <v>23.0</v>
      </c>
      <c r="C327" s="55" t="s">
        <v>917</v>
      </c>
    </row>
    <row r="328">
      <c r="A328" s="55" t="s">
        <v>144</v>
      </c>
      <c r="B328" s="55">
        <v>10.0</v>
      </c>
      <c r="C328" s="55" t="s">
        <v>930</v>
      </c>
    </row>
    <row r="329" hidden="1">
      <c r="A329" s="55" t="s">
        <v>97</v>
      </c>
      <c r="B329" s="55">
        <v>18.0</v>
      </c>
      <c r="C329" s="55" t="s">
        <v>917</v>
      </c>
    </row>
    <row r="330" hidden="1">
      <c r="A330" s="55" t="s">
        <v>67</v>
      </c>
      <c r="B330" s="55">
        <v>73.0</v>
      </c>
      <c r="C330" s="55" t="s">
        <v>917</v>
      </c>
    </row>
    <row r="331" hidden="1">
      <c r="A331" s="55" t="s">
        <v>23</v>
      </c>
      <c r="B331" s="55">
        <v>16.0</v>
      </c>
      <c r="C331" s="55" t="s">
        <v>917</v>
      </c>
    </row>
    <row r="332" hidden="1">
      <c r="A332" s="55" t="s">
        <v>107</v>
      </c>
      <c r="B332" s="55">
        <v>12.0</v>
      </c>
      <c r="C332" s="55" t="s">
        <v>917</v>
      </c>
    </row>
    <row r="333" hidden="1">
      <c r="A333" s="55" t="s">
        <v>411</v>
      </c>
      <c r="B333" s="55">
        <v>20.0</v>
      </c>
      <c r="C333" s="55" t="s">
        <v>917</v>
      </c>
    </row>
    <row r="334" hidden="1">
      <c r="A334" s="55" t="s">
        <v>28</v>
      </c>
      <c r="B334" s="55">
        <v>12.0</v>
      </c>
      <c r="C334" s="55" t="s">
        <v>917</v>
      </c>
    </row>
    <row r="335">
      <c r="A335" s="55" t="s">
        <v>131</v>
      </c>
      <c r="B335" s="55">
        <v>54.0</v>
      </c>
      <c r="C335" s="55" t="s">
        <v>918</v>
      </c>
    </row>
    <row r="336" hidden="1">
      <c r="A336" s="55" t="s">
        <v>22</v>
      </c>
      <c r="B336" s="55">
        <v>30.0</v>
      </c>
      <c r="C336" s="55" t="s">
        <v>917</v>
      </c>
    </row>
    <row r="337" hidden="1">
      <c r="A337" s="55" t="s">
        <v>84</v>
      </c>
      <c r="B337" s="55">
        <v>20.0</v>
      </c>
      <c r="C337" s="55" t="s">
        <v>917</v>
      </c>
    </row>
    <row r="338" hidden="1">
      <c r="A338" s="27" t="s">
        <v>59</v>
      </c>
      <c r="B338" s="132">
        <v>41.0</v>
      </c>
      <c r="C338" s="27" t="s">
        <v>917</v>
      </c>
    </row>
    <row r="339" hidden="1">
      <c r="A339" s="27" t="s">
        <v>72</v>
      </c>
      <c r="B339" s="132">
        <v>216.0</v>
      </c>
      <c r="C339" s="315"/>
    </row>
    <row r="340">
      <c r="A340" s="27" t="s">
        <v>42</v>
      </c>
      <c r="B340" s="132">
        <v>240.0</v>
      </c>
      <c r="C340" s="27" t="s">
        <v>918</v>
      </c>
    </row>
    <row r="341" hidden="1">
      <c r="A341" s="27" t="s">
        <v>60</v>
      </c>
      <c r="B341" s="132">
        <v>40.0</v>
      </c>
      <c r="C341" s="27" t="s">
        <v>917</v>
      </c>
    </row>
    <row r="342" hidden="1">
      <c r="A342" s="27" t="s">
        <v>129</v>
      </c>
      <c r="B342" s="132">
        <v>70.0</v>
      </c>
      <c r="C342" s="27" t="s">
        <v>917</v>
      </c>
    </row>
    <row r="343">
      <c r="A343" s="27" t="s">
        <v>70</v>
      </c>
      <c r="B343" s="132">
        <v>160.0</v>
      </c>
      <c r="C343" s="27" t="s">
        <v>918</v>
      </c>
    </row>
    <row r="344">
      <c r="A344" s="27" t="s">
        <v>131</v>
      </c>
      <c r="B344" s="132">
        <v>288.0</v>
      </c>
      <c r="C344" s="27" t="s">
        <v>918</v>
      </c>
    </row>
    <row r="345" hidden="1">
      <c r="A345" s="27" t="s">
        <v>102</v>
      </c>
      <c r="B345" s="132">
        <v>100.0</v>
      </c>
      <c r="C345" s="27" t="s">
        <v>917</v>
      </c>
    </row>
    <row r="346" hidden="1">
      <c r="A346" s="27" t="s">
        <v>30</v>
      </c>
      <c r="B346" s="132">
        <v>20.0</v>
      </c>
      <c r="C346" s="27" t="s">
        <v>917</v>
      </c>
    </row>
    <row r="347">
      <c r="A347" s="27" t="s">
        <v>26</v>
      </c>
      <c r="B347" s="132">
        <v>40.0</v>
      </c>
      <c r="C347" s="27" t="s">
        <v>918</v>
      </c>
    </row>
    <row r="348" hidden="1">
      <c r="A348" s="27" t="s">
        <v>112</v>
      </c>
      <c r="B348" s="132">
        <v>80.0</v>
      </c>
      <c r="C348" s="27" t="s">
        <v>917</v>
      </c>
    </row>
    <row r="349">
      <c r="A349" s="27" t="s">
        <v>115</v>
      </c>
      <c r="B349" s="132">
        <v>144.0</v>
      </c>
      <c r="C349" s="27" t="s">
        <v>918</v>
      </c>
    </row>
    <row r="350">
      <c r="A350" s="27" t="s">
        <v>69</v>
      </c>
      <c r="B350" s="132">
        <v>40.0</v>
      </c>
      <c r="C350" s="27" t="s">
        <v>918</v>
      </c>
    </row>
    <row r="351" hidden="1">
      <c r="A351" s="55" t="s">
        <v>72</v>
      </c>
      <c r="B351" s="55">
        <v>293.0</v>
      </c>
    </row>
    <row r="352">
      <c r="A352" s="55" t="s">
        <v>131</v>
      </c>
      <c r="B352" s="55">
        <v>197.0</v>
      </c>
      <c r="C352" s="55" t="s">
        <v>918</v>
      </c>
    </row>
    <row r="353">
      <c r="A353" s="55" t="s">
        <v>61</v>
      </c>
      <c r="B353" s="55">
        <v>65.0</v>
      </c>
      <c r="C353" s="55" t="s">
        <v>918</v>
      </c>
    </row>
    <row r="354" hidden="1">
      <c r="A354" s="55" t="s">
        <v>102</v>
      </c>
      <c r="B354" s="55">
        <v>60.0</v>
      </c>
      <c r="C354" s="55" t="s">
        <v>917</v>
      </c>
    </row>
    <row r="355" hidden="1">
      <c r="A355" s="55" t="s">
        <v>68</v>
      </c>
      <c r="B355" s="55">
        <v>37.0</v>
      </c>
      <c r="C355" s="55" t="s">
        <v>917</v>
      </c>
    </row>
    <row r="356" hidden="1">
      <c r="A356" s="55" t="s">
        <v>23</v>
      </c>
      <c r="B356" s="55">
        <v>10.0</v>
      </c>
      <c r="C356" s="55" t="s">
        <v>917</v>
      </c>
    </row>
    <row r="357">
      <c r="A357" s="55" t="s">
        <v>69</v>
      </c>
      <c r="B357" s="55">
        <v>11.0</v>
      </c>
      <c r="C357" s="55" t="s">
        <v>918</v>
      </c>
    </row>
    <row r="358" hidden="1">
      <c r="A358" s="55" t="s">
        <v>67</v>
      </c>
      <c r="B358" s="55">
        <v>61.0</v>
      </c>
      <c r="C358" s="55" t="s">
        <v>917</v>
      </c>
    </row>
    <row r="359" hidden="1">
      <c r="A359" s="27" t="s">
        <v>376</v>
      </c>
      <c r="B359" s="132">
        <v>80.0</v>
      </c>
      <c r="C359" s="27" t="s">
        <v>917</v>
      </c>
    </row>
    <row r="360" hidden="1">
      <c r="A360" s="27" t="s">
        <v>205</v>
      </c>
      <c r="B360" s="132">
        <v>270.0</v>
      </c>
      <c r="C360" s="27" t="s">
        <v>917</v>
      </c>
    </row>
    <row r="361" hidden="1">
      <c r="A361" s="27" t="s">
        <v>170</v>
      </c>
      <c r="B361" s="132">
        <v>200.0</v>
      </c>
      <c r="C361" s="27" t="s">
        <v>917</v>
      </c>
    </row>
    <row r="362" hidden="1">
      <c r="A362" s="27" t="s">
        <v>168</v>
      </c>
      <c r="B362" s="132">
        <v>50.0</v>
      </c>
      <c r="C362" s="27" t="s">
        <v>917</v>
      </c>
    </row>
    <row r="363" hidden="1">
      <c r="A363" s="27" t="s">
        <v>219</v>
      </c>
      <c r="B363" s="132">
        <v>72.0</v>
      </c>
      <c r="C363" s="27" t="s">
        <v>917</v>
      </c>
    </row>
    <row r="364">
      <c r="A364" s="27" t="s">
        <v>289</v>
      </c>
      <c r="B364" s="132">
        <v>20.0</v>
      </c>
      <c r="C364" s="27" t="s">
        <v>918</v>
      </c>
    </row>
    <row r="365" hidden="1">
      <c r="A365" s="27" t="s">
        <v>418</v>
      </c>
      <c r="B365" s="132">
        <v>72.0</v>
      </c>
      <c r="C365" s="27" t="s">
        <v>917</v>
      </c>
    </row>
    <row r="366" hidden="1">
      <c r="A366" s="27" t="s">
        <v>275</v>
      </c>
      <c r="B366" s="132">
        <v>200.0</v>
      </c>
      <c r="C366" s="27" t="s">
        <v>917</v>
      </c>
    </row>
    <row r="367" hidden="1">
      <c r="A367" s="27" t="s">
        <v>290</v>
      </c>
      <c r="B367" s="132">
        <v>80.0</v>
      </c>
      <c r="C367" s="27" t="s">
        <v>917</v>
      </c>
    </row>
    <row r="368">
      <c r="A368" s="27" t="s">
        <v>199</v>
      </c>
      <c r="B368" s="132">
        <v>80.0</v>
      </c>
      <c r="C368" s="314" t="s">
        <v>931</v>
      </c>
    </row>
    <row r="369" hidden="1">
      <c r="A369" s="27" t="s">
        <v>315</v>
      </c>
      <c r="B369" s="132">
        <v>20.0</v>
      </c>
      <c r="C369" s="27" t="s">
        <v>917</v>
      </c>
    </row>
    <row r="370" hidden="1">
      <c r="A370" s="27" t="s">
        <v>344</v>
      </c>
      <c r="B370" s="132">
        <v>100.0</v>
      </c>
      <c r="C370" s="27" t="s">
        <v>917</v>
      </c>
    </row>
    <row r="371" hidden="1">
      <c r="A371" s="27" t="s">
        <v>374</v>
      </c>
      <c r="B371" s="132">
        <v>90.0</v>
      </c>
      <c r="C371" s="27" t="s">
        <v>917</v>
      </c>
    </row>
    <row r="372">
      <c r="A372" s="27" t="s">
        <v>226</v>
      </c>
      <c r="B372" s="132">
        <v>300.0</v>
      </c>
      <c r="C372" s="27" t="s">
        <v>922</v>
      </c>
    </row>
    <row r="373" hidden="1">
      <c r="A373" s="27" t="s">
        <v>200</v>
      </c>
      <c r="B373" s="132">
        <v>72.0</v>
      </c>
      <c r="C373" s="27" t="s">
        <v>917</v>
      </c>
    </row>
    <row r="374" hidden="1">
      <c r="A374" s="27" t="s">
        <v>236</v>
      </c>
      <c r="B374" s="132">
        <v>216.0</v>
      </c>
      <c r="C374" s="27" t="s">
        <v>917</v>
      </c>
    </row>
    <row r="375" hidden="1">
      <c r="A375" s="27" t="s">
        <v>318</v>
      </c>
      <c r="B375" s="132">
        <v>200.0</v>
      </c>
      <c r="C375" s="27" t="s">
        <v>917</v>
      </c>
    </row>
    <row r="376">
      <c r="A376" s="27" t="s">
        <v>320</v>
      </c>
      <c r="B376" s="132">
        <v>200.0</v>
      </c>
      <c r="C376" s="27" t="s">
        <v>918</v>
      </c>
    </row>
    <row r="377" hidden="1">
      <c r="A377" s="27" t="s">
        <v>164</v>
      </c>
      <c r="B377" s="132">
        <v>400.0</v>
      </c>
      <c r="C377" s="27" t="s">
        <v>917</v>
      </c>
    </row>
    <row r="378">
      <c r="A378" s="27" t="s">
        <v>166</v>
      </c>
      <c r="B378" s="132">
        <v>100.0</v>
      </c>
      <c r="C378" s="27" t="s">
        <v>918</v>
      </c>
    </row>
    <row r="379" hidden="1">
      <c r="A379" s="27" t="s">
        <v>306</v>
      </c>
      <c r="B379" s="132">
        <v>60.0</v>
      </c>
      <c r="C379" s="27" t="s">
        <v>917</v>
      </c>
    </row>
    <row r="380">
      <c r="A380" s="27" t="s">
        <v>307</v>
      </c>
      <c r="B380" s="132">
        <v>50.0</v>
      </c>
      <c r="C380" s="27" t="s">
        <v>918</v>
      </c>
    </row>
    <row r="381">
      <c r="A381" s="27" t="s">
        <v>340</v>
      </c>
      <c r="B381" s="132">
        <v>70.0</v>
      </c>
      <c r="C381" s="27" t="s">
        <v>918</v>
      </c>
    </row>
    <row r="382">
      <c r="A382" s="27" t="s">
        <v>325</v>
      </c>
      <c r="B382" s="132">
        <v>288.0</v>
      </c>
      <c r="C382" s="27" t="s">
        <v>918</v>
      </c>
    </row>
    <row r="383" hidden="1">
      <c r="A383" s="27" t="s">
        <v>334</v>
      </c>
      <c r="B383" s="132">
        <v>48.0</v>
      </c>
      <c r="C383" s="27" t="s">
        <v>917</v>
      </c>
    </row>
    <row r="384" hidden="1">
      <c r="A384" s="27" t="s">
        <v>183</v>
      </c>
      <c r="B384" s="132">
        <v>70.0</v>
      </c>
      <c r="C384" s="27" t="s">
        <v>917</v>
      </c>
    </row>
    <row r="385">
      <c r="A385" s="27" t="s">
        <v>370</v>
      </c>
      <c r="B385" s="132">
        <v>60.0</v>
      </c>
      <c r="C385" s="27" t="s">
        <v>918</v>
      </c>
    </row>
    <row r="386">
      <c r="A386" s="27" t="s">
        <v>197</v>
      </c>
      <c r="B386" s="132">
        <v>144.0</v>
      </c>
      <c r="C386" s="27" t="s">
        <v>918</v>
      </c>
    </row>
    <row r="387" hidden="1">
      <c r="A387" s="27" t="s">
        <v>292</v>
      </c>
      <c r="B387" s="132">
        <v>120.0</v>
      </c>
      <c r="C387" s="27" t="s">
        <v>917</v>
      </c>
    </row>
    <row r="388" hidden="1">
      <c r="A388" s="27" t="s">
        <v>286</v>
      </c>
      <c r="B388" s="132">
        <v>120.0</v>
      </c>
      <c r="C388" s="27" t="s">
        <v>917</v>
      </c>
    </row>
    <row r="389" hidden="1">
      <c r="A389" s="27" t="s">
        <v>311</v>
      </c>
      <c r="B389" s="132">
        <v>10.0</v>
      </c>
      <c r="C389" s="27" t="s">
        <v>917</v>
      </c>
    </row>
    <row r="390" hidden="1">
      <c r="A390" s="27" t="s">
        <v>294</v>
      </c>
      <c r="B390" s="132">
        <v>40.0</v>
      </c>
      <c r="C390" s="27" t="s">
        <v>917</v>
      </c>
    </row>
    <row r="391" hidden="1">
      <c r="A391" s="27" t="s">
        <v>291</v>
      </c>
      <c r="B391" s="132">
        <v>50.0</v>
      </c>
      <c r="C391" s="27" t="s">
        <v>917</v>
      </c>
    </row>
    <row r="392" hidden="1">
      <c r="A392" s="27" t="s">
        <v>278</v>
      </c>
      <c r="B392" s="132">
        <v>60.0</v>
      </c>
      <c r="C392" s="27" t="s">
        <v>917</v>
      </c>
    </row>
    <row r="393" hidden="1">
      <c r="A393" s="27" t="s">
        <v>353</v>
      </c>
      <c r="B393" s="132">
        <v>20.0</v>
      </c>
      <c r="C393" s="27" t="s">
        <v>917</v>
      </c>
    </row>
    <row r="394" hidden="1">
      <c r="A394" s="27" t="s">
        <v>355</v>
      </c>
      <c r="B394" s="132">
        <v>50.0</v>
      </c>
      <c r="C394" s="27" t="s">
        <v>917</v>
      </c>
    </row>
    <row r="395">
      <c r="A395" s="27" t="s">
        <v>251</v>
      </c>
      <c r="B395" s="132">
        <v>20.0</v>
      </c>
      <c r="C395" s="27" t="s">
        <v>922</v>
      </c>
    </row>
    <row r="396">
      <c r="A396" s="27" t="s">
        <v>375</v>
      </c>
      <c r="B396" s="132">
        <v>144.0</v>
      </c>
      <c r="C396" s="27" t="s">
        <v>918</v>
      </c>
    </row>
    <row r="397">
      <c r="A397" s="27" t="s">
        <v>372</v>
      </c>
      <c r="B397" s="132">
        <v>144.0</v>
      </c>
      <c r="C397" s="27" t="s">
        <v>918</v>
      </c>
    </row>
    <row r="398">
      <c r="A398" s="27" t="s">
        <v>373</v>
      </c>
      <c r="B398" s="132">
        <v>144.0</v>
      </c>
      <c r="C398" s="314" t="s">
        <v>925</v>
      </c>
    </row>
    <row r="399">
      <c r="A399" s="27" t="s">
        <v>371</v>
      </c>
      <c r="B399" s="132">
        <v>144.0</v>
      </c>
      <c r="C399" s="27" t="s">
        <v>918</v>
      </c>
    </row>
    <row r="400">
      <c r="A400" s="27" t="s">
        <v>369</v>
      </c>
      <c r="B400" s="132">
        <v>144.0</v>
      </c>
      <c r="C400" s="27" t="s">
        <v>918</v>
      </c>
    </row>
    <row r="401" hidden="1">
      <c r="A401" s="27" t="s">
        <v>201</v>
      </c>
      <c r="B401" s="132">
        <v>72.0</v>
      </c>
      <c r="C401" s="27" t="s">
        <v>917</v>
      </c>
    </row>
    <row r="402" hidden="1">
      <c r="A402" s="27" t="s">
        <v>175</v>
      </c>
      <c r="B402" s="132">
        <v>96.0</v>
      </c>
      <c r="C402" s="27" t="s">
        <v>917</v>
      </c>
    </row>
    <row r="403" hidden="1">
      <c r="A403" s="27" t="s">
        <v>220</v>
      </c>
      <c r="B403" s="132">
        <v>96.0</v>
      </c>
      <c r="C403" s="27" t="s">
        <v>917</v>
      </c>
    </row>
    <row r="404" hidden="1">
      <c r="A404" s="27" t="s">
        <v>352</v>
      </c>
      <c r="B404" s="132">
        <v>120.0</v>
      </c>
      <c r="C404" s="27" t="s">
        <v>917</v>
      </c>
    </row>
    <row r="405">
      <c r="A405" s="27" t="s">
        <v>356</v>
      </c>
      <c r="B405" s="132">
        <v>20.0</v>
      </c>
      <c r="C405" s="27" t="s">
        <v>918</v>
      </c>
    </row>
    <row r="406" hidden="1">
      <c r="A406" s="27" t="s">
        <v>187</v>
      </c>
      <c r="B406" s="132">
        <v>50.0</v>
      </c>
      <c r="C406" s="27" t="s">
        <v>917</v>
      </c>
    </row>
    <row r="407" hidden="1">
      <c r="A407" s="27" t="s">
        <v>354</v>
      </c>
      <c r="B407" s="132">
        <v>60.0</v>
      </c>
      <c r="C407" s="27" t="s">
        <v>917</v>
      </c>
    </row>
    <row r="408" hidden="1">
      <c r="A408" s="27" t="s">
        <v>185</v>
      </c>
      <c r="B408" s="132">
        <v>200.0</v>
      </c>
      <c r="C408" s="27" t="s">
        <v>917</v>
      </c>
    </row>
    <row r="409">
      <c r="A409" s="27" t="s">
        <v>223</v>
      </c>
      <c r="B409" s="132">
        <v>144.0</v>
      </c>
      <c r="C409" s="27" t="s">
        <v>918</v>
      </c>
    </row>
    <row r="410">
      <c r="A410" s="27" t="s">
        <v>189</v>
      </c>
      <c r="B410" s="132">
        <v>60.0</v>
      </c>
      <c r="C410" s="27" t="s">
        <v>918</v>
      </c>
    </row>
    <row r="411">
      <c r="A411" s="27" t="s">
        <v>321</v>
      </c>
      <c r="B411" s="132">
        <v>20.0</v>
      </c>
      <c r="C411" s="314" t="s">
        <v>932</v>
      </c>
    </row>
    <row r="412">
      <c r="A412" s="27" t="s">
        <v>180</v>
      </c>
      <c r="B412" s="132">
        <v>20.0</v>
      </c>
      <c r="C412" s="27" t="s">
        <v>918</v>
      </c>
    </row>
    <row r="413">
      <c r="A413" s="27" t="s">
        <v>221</v>
      </c>
      <c r="B413" s="132">
        <v>20.0</v>
      </c>
      <c r="C413" s="27" t="s">
        <v>922</v>
      </c>
    </row>
    <row r="414" hidden="1">
      <c r="A414" s="27" t="s">
        <v>239</v>
      </c>
      <c r="B414" s="132">
        <v>400.0</v>
      </c>
      <c r="C414" s="27" t="s">
        <v>917</v>
      </c>
    </row>
    <row r="415">
      <c r="A415" s="27" t="s">
        <v>230</v>
      </c>
      <c r="B415" s="132">
        <v>400.0</v>
      </c>
      <c r="C415" s="27" t="s">
        <v>922</v>
      </c>
    </row>
    <row r="416">
      <c r="A416" s="27" t="s">
        <v>231</v>
      </c>
      <c r="B416" s="132">
        <v>50.0</v>
      </c>
      <c r="C416" s="27" t="s">
        <v>918</v>
      </c>
    </row>
    <row r="417" hidden="1">
      <c r="A417" s="27" t="s">
        <v>273</v>
      </c>
      <c r="B417" s="132">
        <v>120.0</v>
      </c>
      <c r="C417" s="27" t="s">
        <v>917</v>
      </c>
    </row>
    <row r="418" hidden="1">
      <c r="A418" s="27" t="s">
        <v>309</v>
      </c>
      <c r="B418" s="132">
        <v>300.0</v>
      </c>
      <c r="C418" s="27" t="s">
        <v>917</v>
      </c>
    </row>
    <row r="419" hidden="1">
      <c r="A419" s="27" t="s">
        <v>317</v>
      </c>
      <c r="B419" s="132">
        <v>30.0</v>
      </c>
      <c r="C419" s="27" t="s">
        <v>917</v>
      </c>
    </row>
    <row r="420" hidden="1">
      <c r="A420" s="27" t="s">
        <v>293</v>
      </c>
      <c r="B420" s="132">
        <v>30.0</v>
      </c>
      <c r="C420" s="27" t="s">
        <v>917</v>
      </c>
    </row>
    <row r="421" hidden="1">
      <c r="A421" s="27" t="s">
        <v>176</v>
      </c>
      <c r="B421" s="132">
        <v>400.0</v>
      </c>
      <c r="C421" s="27" t="s">
        <v>917</v>
      </c>
    </row>
    <row r="422">
      <c r="A422" s="27" t="s">
        <v>257</v>
      </c>
      <c r="B422" s="132">
        <v>42.0</v>
      </c>
      <c r="C422" s="314" t="s">
        <v>932</v>
      </c>
    </row>
    <row r="423" hidden="1">
      <c r="A423" s="27" t="s">
        <v>376</v>
      </c>
      <c r="B423" s="132">
        <v>50.0</v>
      </c>
      <c r="C423" s="27" t="s">
        <v>917</v>
      </c>
    </row>
    <row r="424">
      <c r="A424" s="27" t="s">
        <v>207</v>
      </c>
      <c r="B424" s="132">
        <v>150.0</v>
      </c>
      <c r="C424" s="27" t="s">
        <v>918</v>
      </c>
    </row>
    <row r="425" hidden="1">
      <c r="A425" s="27" t="s">
        <v>170</v>
      </c>
      <c r="B425" s="132">
        <v>120.0</v>
      </c>
      <c r="C425" s="27" t="s">
        <v>917</v>
      </c>
    </row>
    <row r="426">
      <c r="A426" s="27" t="s">
        <v>173</v>
      </c>
      <c r="B426" s="132">
        <v>100.0</v>
      </c>
      <c r="C426" s="27" t="s">
        <v>918</v>
      </c>
    </row>
    <row r="427" hidden="1">
      <c r="A427" s="27" t="s">
        <v>168</v>
      </c>
      <c r="B427" s="132">
        <v>30.0</v>
      </c>
      <c r="C427" s="27" t="s">
        <v>917</v>
      </c>
    </row>
    <row r="428" hidden="1">
      <c r="A428" s="27" t="s">
        <v>219</v>
      </c>
      <c r="B428" s="132">
        <v>30.0</v>
      </c>
      <c r="C428" s="27" t="s">
        <v>917</v>
      </c>
    </row>
    <row r="429" hidden="1">
      <c r="A429" s="27" t="s">
        <v>329</v>
      </c>
      <c r="B429" s="132">
        <v>72.0</v>
      </c>
      <c r="C429" s="27" t="s">
        <v>917</v>
      </c>
    </row>
    <row r="430">
      <c r="A430" s="27" t="s">
        <v>289</v>
      </c>
      <c r="B430" s="132">
        <v>20.0</v>
      </c>
      <c r="C430" s="27" t="s">
        <v>918</v>
      </c>
    </row>
    <row r="431" hidden="1">
      <c r="A431" s="27" t="s">
        <v>266</v>
      </c>
      <c r="B431" s="132">
        <v>10.0</v>
      </c>
      <c r="C431" s="27" t="s">
        <v>917</v>
      </c>
    </row>
    <row r="432">
      <c r="A432" s="27" t="s">
        <v>174</v>
      </c>
      <c r="B432" s="132">
        <v>20.0</v>
      </c>
      <c r="C432" s="27" t="s">
        <v>918</v>
      </c>
    </row>
    <row r="433" hidden="1">
      <c r="A433" s="27" t="s">
        <v>275</v>
      </c>
      <c r="B433" s="132">
        <v>40.0</v>
      </c>
      <c r="C433" s="27" t="s">
        <v>917</v>
      </c>
    </row>
    <row r="434" hidden="1">
      <c r="A434" s="27" t="s">
        <v>290</v>
      </c>
      <c r="B434" s="132">
        <v>40.0</v>
      </c>
      <c r="C434" s="27" t="s">
        <v>917</v>
      </c>
    </row>
    <row r="435">
      <c r="A435" s="27" t="s">
        <v>199</v>
      </c>
      <c r="B435" s="132">
        <v>40.0</v>
      </c>
      <c r="C435" s="314" t="s">
        <v>931</v>
      </c>
    </row>
    <row r="436" hidden="1">
      <c r="A436" s="27" t="s">
        <v>315</v>
      </c>
      <c r="B436" s="132">
        <v>30.0</v>
      </c>
      <c r="C436" s="27" t="s">
        <v>917</v>
      </c>
    </row>
    <row r="437" hidden="1">
      <c r="A437" s="27" t="s">
        <v>344</v>
      </c>
      <c r="B437" s="132">
        <v>180.0</v>
      </c>
      <c r="C437" s="27" t="s">
        <v>917</v>
      </c>
    </row>
    <row r="438" hidden="1">
      <c r="A438" s="27" t="s">
        <v>374</v>
      </c>
      <c r="B438" s="132">
        <v>150.0</v>
      </c>
      <c r="C438" s="27" t="s">
        <v>917</v>
      </c>
    </row>
    <row r="439" hidden="1">
      <c r="A439" s="27" t="s">
        <v>200</v>
      </c>
      <c r="B439" s="132">
        <v>72.0</v>
      </c>
      <c r="C439" s="27" t="s">
        <v>917</v>
      </c>
    </row>
    <row r="440" hidden="1">
      <c r="A440" s="27" t="s">
        <v>236</v>
      </c>
      <c r="B440" s="132">
        <v>216.0</v>
      </c>
      <c r="C440" s="27" t="s">
        <v>917</v>
      </c>
    </row>
    <row r="441">
      <c r="A441" s="27" t="s">
        <v>238</v>
      </c>
      <c r="B441" s="132">
        <v>30.0</v>
      </c>
      <c r="C441" s="27" t="s">
        <v>918</v>
      </c>
    </row>
    <row r="442" hidden="1">
      <c r="A442" s="27" t="s">
        <v>362</v>
      </c>
      <c r="B442" s="132">
        <v>30.0</v>
      </c>
      <c r="C442" s="27" t="s">
        <v>917</v>
      </c>
    </row>
    <row r="443" hidden="1">
      <c r="A443" s="27" t="s">
        <v>318</v>
      </c>
      <c r="B443" s="132">
        <v>150.0</v>
      </c>
      <c r="C443" s="27" t="s">
        <v>917</v>
      </c>
    </row>
    <row r="444">
      <c r="A444" s="27" t="s">
        <v>320</v>
      </c>
      <c r="B444" s="132">
        <v>120.0</v>
      </c>
      <c r="C444" s="27" t="s">
        <v>918</v>
      </c>
    </row>
    <row r="445" hidden="1">
      <c r="A445" s="27" t="s">
        <v>164</v>
      </c>
      <c r="B445" s="132">
        <v>250.0</v>
      </c>
      <c r="C445" s="27" t="s">
        <v>917</v>
      </c>
    </row>
    <row r="446">
      <c r="A446" s="27" t="s">
        <v>166</v>
      </c>
      <c r="B446" s="132">
        <v>100.0</v>
      </c>
      <c r="C446" s="27" t="s">
        <v>918</v>
      </c>
    </row>
    <row r="447" hidden="1">
      <c r="A447" s="27" t="s">
        <v>167</v>
      </c>
      <c r="B447" s="132">
        <v>100.0</v>
      </c>
      <c r="C447" s="27" t="s">
        <v>917</v>
      </c>
    </row>
    <row r="448" hidden="1">
      <c r="A448" s="27" t="s">
        <v>306</v>
      </c>
      <c r="B448" s="132">
        <v>80.0</v>
      </c>
      <c r="C448" s="27" t="s">
        <v>917</v>
      </c>
    </row>
    <row r="449">
      <c r="A449" s="27" t="s">
        <v>282</v>
      </c>
      <c r="B449" s="132">
        <v>120.0</v>
      </c>
      <c r="C449" s="314" t="s">
        <v>932</v>
      </c>
    </row>
    <row r="450">
      <c r="A450" s="27" t="s">
        <v>283</v>
      </c>
      <c r="B450" s="132">
        <v>20.0</v>
      </c>
      <c r="C450" s="27" t="s">
        <v>933</v>
      </c>
    </row>
    <row r="451" hidden="1">
      <c r="A451" s="27" t="s">
        <v>366</v>
      </c>
      <c r="B451" s="132">
        <v>20.0</v>
      </c>
      <c r="C451" s="27" t="s">
        <v>917</v>
      </c>
    </row>
    <row r="452">
      <c r="A452" s="27" t="s">
        <v>340</v>
      </c>
      <c r="B452" s="132">
        <v>144.0</v>
      </c>
      <c r="C452" s="27" t="s">
        <v>918</v>
      </c>
    </row>
    <row r="453" hidden="1">
      <c r="A453" s="27" t="s">
        <v>360</v>
      </c>
      <c r="B453" s="132">
        <v>50.0</v>
      </c>
      <c r="C453" s="27" t="s">
        <v>917</v>
      </c>
    </row>
    <row r="454">
      <c r="A454" s="27" t="s">
        <v>325</v>
      </c>
      <c r="B454" s="132">
        <v>60.0</v>
      </c>
      <c r="C454" s="27" t="s">
        <v>918</v>
      </c>
    </row>
    <row r="455" hidden="1">
      <c r="A455" s="27" t="s">
        <v>334</v>
      </c>
      <c r="B455" s="132">
        <v>72.0</v>
      </c>
      <c r="C455" s="27" t="s">
        <v>917</v>
      </c>
    </row>
    <row r="456" hidden="1">
      <c r="A456" s="27" t="s">
        <v>183</v>
      </c>
      <c r="B456" s="132">
        <v>50.0</v>
      </c>
      <c r="C456" s="27" t="s">
        <v>917</v>
      </c>
    </row>
    <row r="457" hidden="1">
      <c r="A457" s="27" t="s">
        <v>209</v>
      </c>
      <c r="B457" s="132">
        <v>72.0</v>
      </c>
      <c r="C457" s="27" t="s">
        <v>917</v>
      </c>
    </row>
    <row r="458">
      <c r="A458" s="27" t="s">
        <v>235</v>
      </c>
      <c r="B458" s="132">
        <v>50.0</v>
      </c>
      <c r="C458" s="27" t="s">
        <v>918</v>
      </c>
    </row>
    <row r="459">
      <c r="A459" s="27" t="s">
        <v>197</v>
      </c>
      <c r="B459" s="132">
        <v>50.0</v>
      </c>
      <c r="C459" s="27" t="s">
        <v>918</v>
      </c>
    </row>
    <row r="460" hidden="1">
      <c r="A460" s="27" t="s">
        <v>292</v>
      </c>
      <c r="B460" s="132">
        <v>150.0</v>
      </c>
      <c r="C460" s="27" t="s">
        <v>917</v>
      </c>
    </row>
    <row r="461" hidden="1">
      <c r="A461" s="27" t="s">
        <v>286</v>
      </c>
      <c r="B461" s="132">
        <v>50.0</v>
      </c>
      <c r="C461" s="27" t="s">
        <v>917</v>
      </c>
    </row>
    <row r="462" hidden="1">
      <c r="A462" s="27" t="s">
        <v>294</v>
      </c>
      <c r="B462" s="132">
        <v>40.0</v>
      </c>
      <c r="C462" s="27" t="s">
        <v>917</v>
      </c>
    </row>
    <row r="463" hidden="1">
      <c r="A463" s="27" t="s">
        <v>291</v>
      </c>
      <c r="B463" s="132">
        <v>20.0</v>
      </c>
      <c r="C463" s="27" t="s">
        <v>917</v>
      </c>
    </row>
    <row r="464" hidden="1">
      <c r="A464" s="27" t="s">
        <v>353</v>
      </c>
      <c r="B464" s="132">
        <v>20.0</v>
      </c>
      <c r="C464" s="27" t="s">
        <v>917</v>
      </c>
    </row>
    <row r="465" hidden="1">
      <c r="A465" s="27" t="s">
        <v>355</v>
      </c>
      <c r="B465" s="132">
        <v>30.0</v>
      </c>
      <c r="C465" s="27" t="s">
        <v>917</v>
      </c>
    </row>
    <row r="466" hidden="1">
      <c r="A466" s="27" t="s">
        <v>244</v>
      </c>
      <c r="B466" s="132">
        <v>12.0</v>
      </c>
      <c r="C466" s="27" t="s">
        <v>917</v>
      </c>
    </row>
    <row r="467">
      <c r="A467" s="27" t="s">
        <v>252</v>
      </c>
      <c r="B467" s="132">
        <v>144.0</v>
      </c>
      <c r="C467" s="27" t="s">
        <v>918</v>
      </c>
    </row>
    <row r="468">
      <c r="A468" s="27" t="s">
        <v>375</v>
      </c>
      <c r="B468" s="132">
        <v>144.0</v>
      </c>
      <c r="C468" s="27" t="s">
        <v>918</v>
      </c>
    </row>
    <row r="469">
      <c r="A469" s="27" t="s">
        <v>373</v>
      </c>
      <c r="B469" s="132">
        <v>144.0</v>
      </c>
      <c r="C469" s="314" t="s">
        <v>925</v>
      </c>
    </row>
    <row r="470">
      <c r="A470" s="27" t="s">
        <v>371</v>
      </c>
      <c r="B470" s="132">
        <v>144.0</v>
      </c>
      <c r="C470" s="27" t="s">
        <v>918</v>
      </c>
    </row>
    <row r="471">
      <c r="A471" s="27" t="s">
        <v>369</v>
      </c>
      <c r="B471" s="132">
        <v>60.0</v>
      </c>
      <c r="C471" s="27" t="s">
        <v>918</v>
      </c>
    </row>
    <row r="472" hidden="1">
      <c r="A472" s="27" t="s">
        <v>201</v>
      </c>
      <c r="B472" s="132">
        <v>30.0</v>
      </c>
      <c r="C472" s="27" t="s">
        <v>917</v>
      </c>
    </row>
    <row r="473" hidden="1">
      <c r="A473" s="27" t="s">
        <v>175</v>
      </c>
      <c r="B473" s="132">
        <v>96.0</v>
      </c>
      <c r="C473" s="27" t="s">
        <v>917</v>
      </c>
    </row>
    <row r="474" hidden="1">
      <c r="A474" s="27" t="s">
        <v>220</v>
      </c>
      <c r="B474" s="132">
        <v>96.0</v>
      </c>
      <c r="C474" s="27" t="s">
        <v>917</v>
      </c>
    </row>
    <row r="475" hidden="1">
      <c r="A475" s="27" t="s">
        <v>354</v>
      </c>
      <c r="B475" s="132">
        <v>50.0</v>
      </c>
      <c r="C475" s="27" t="s">
        <v>917</v>
      </c>
    </row>
    <row r="476" hidden="1">
      <c r="A476" s="27" t="s">
        <v>185</v>
      </c>
      <c r="B476" s="132">
        <v>120.0</v>
      </c>
      <c r="C476" s="27" t="s">
        <v>917</v>
      </c>
    </row>
    <row r="477">
      <c r="A477" s="27" t="s">
        <v>223</v>
      </c>
      <c r="B477" s="132">
        <v>144.0</v>
      </c>
      <c r="C477" s="27" t="s">
        <v>918</v>
      </c>
    </row>
    <row r="478">
      <c r="A478" s="27" t="s">
        <v>189</v>
      </c>
      <c r="B478" s="132">
        <v>60.0</v>
      </c>
      <c r="C478" s="27" t="s">
        <v>918</v>
      </c>
    </row>
    <row r="479">
      <c r="A479" s="27" t="s">
        <v>284</v>
      </c>
      <c r="B479" s="132">
        <v>20.0</v>
      </c>
      <c r="C479" s="27" t="s">
        <v>922</v>
      </c>
    </row>
    <row r="480">
      <c r="A480" s="27" t="s">
        <v>313</v>
      </c>
      <c r="B480" s="132">
        <v>50.0</v>
      </c>
      <c r="C480" s="27" t="s">
        <v>922</v>
      </c>
    </row>
    <row r="481">
      <c r="A481" s="27" t="s">
        <v>221</v>
      </c>
      <c r="B481" s="132">
        <v>40.0</v>
      </c>
      <c r="C481" s="27" t="s">
        <v>922</v>
      </c>
    </row>
    <row r="482" hidden="1">
      <c r="A482" s="27" t="s">
        <v>239</v>
      </c>
      <c r="B482" s="132">
        <v>200.0</v>
      </c>
      <c r="C482" s="27" t="s">
        <v>917</v>
      </c>
    </row>
    <row r="483">
      <c r="A483" s="27" t="s">
        <v>302</v>
      </c>
      <c r="B483" s="132">
        <v>60.0</v>
      </c>
      <c r="C483" s="27" t="s">
        <v>922</v>
      </c>
    </row>
    <row r="484">
      <c r="A484" s="27" t="s">
        <v>261</v>
      </c>
      <c r="B484" s="132">
        <v>20.0</v>
      </c>
      <c r="C484" s="27" t="s">
        <v>922</v>
      </c>
    </row>
    <row r="485">
      <c r="A485" s="27" t="s">
        <v>230</v>
      </c>
      <c r="B485" s="132">
        <v>300.0</v>
      </c>
      <c r="C485" s="27" t="s">
        <v>922</v>
      </c>
    </row>
    <row r="486">
      <c r="A486" s="27" t="s">
        <v>231</v>
      </c>
      <c r="B486" s="132">
        <v>120.0</v>
      </c>
      <c r="C486" s="27" t="s">
        <v>918</v>
      </c>
    </row>
    <row r="487" hidden="1">
      <c r="A487" s="27" t="s">
        <v>273</v>
      </c>
      <c r="B487" s="132">
        <v>100.0</v>
      </c>
      <c r="C487" s="27" t="s">
        <v>917</v>
      </c>
    </row>
    <row r="488" hidden="1">
      <c r="A488" s="27" t="s">
        <v>247</v>
      </c>
      <c r="B488" s="132">
        <v>10.0</v>
      </c>
      <c r="C488" s="27" t="s">
        <v>917</v>
      </c>
    </row>
    <row r="489" hidden="1">
      <c r="A489" s="27" t="s">
        <v>293</v>
      </c>
      <c r="B489" s="132">
        <v>20.0</v>
      </c>
      <c r="C489" s="27" t="s">
        <v>917</v>
      </c>
    </row>
    <row r="490" hidden="1">
      <c r="A490" s="27" t="s">
        <v>176</v>
      </c>
      <c r="B490" s="132">
        <v>120.0</v>
      </c>
      <c r="C490" s="27" t="s">
        <v>917</v>
      </c>
    </row>
    <row r="491">
      <c r="A491" s="27" t="s">
        <v>257</v>
      </c>
      <c r="B491" s="132">
        <v>20.0</v>
      </c>
      <c r="C491" s="314" t="s">
        <v>932</v>
      </c>
    </row>
    <row r="492" hidden="1">
      <c r="A492" s="55" t="s">
        <v>236</v>
      </c>
      <c r="B492" s="55">
        <v>54.0</v>
      </c>
      <c r="C492" s="55" t="s">
        <v>934</v>
      </c>
    </row>
    <row r="493" hidden="1">
      <c r="A493" s="55" t="s">
        <v>205</v>
      </c>
      <c r="B493" s="55">
        <v>140.0</v>
      </c>
      <c r="C493" s="55" t="s">
        <v>926</v>
      </c>
    </row>
    <row r="494">
      <c r="A494" s="55" t="s">
        <v>70</v>
      </c>
      <c r="B494" s="55">
        <v>1200.0</v>
      </c>
      <c r="C494" s="55" t="s">
        <v>918</v>
      </c>
    </row>
    <row r="495">
      <c r="A495" s="55" t="s">
        <v>42</v>
      </c>
      <c r="B495" s="55">
        <v>480.0</v>
      </c>
      <c r="C495" s="55" t="s">
        <v>918</v>
      </c>
    </row>
    <row r="496" hidden="1">
      <c r="A496" s="55" t="s">
        <v>72</v>
      </c>
      <c r="B496" s="55">
        <v>648.0</v>
      </c>
      <c r="C496" s="55" t="s">
        <v>917</v>
      </c>
    </row>
    <row r="497" hidden="1">
      <c r="A497" s="27" t="s">
        <v>113</v>
      </c>
      <c r="B497" s="132">
        <v>50.0</v>
      </c>
      <c r="C497" s="27" t="s">
        <v>917</v>
      </c>
    </row>
    <row r="498" hidden="1">
      <c r="A498" s="27" t="s">
        <v>115</v>
      </c>
      <c r="B498" s="132">
        <v>80.0</v>
      </c>
      <c r="C498" s="27" t="s">
        <v>917</v>
      </c>
    </row>
    <row r="499" hidden="1">
      <c r="A499" s="199" t="s">
        <v>112</v>
      </c>
      <c r="B499" s="132">
        <v>80.0</v>
      </c>
      <c r="C499" s="199" t="s">
        <v>917</v>
      </c>
    </row>
    <row r="500" hidden="1">
      <c r="A500" s="27" t="s">
        <v>102</v>
      </c>
      <c r="B500" s="132">
        <v>50.0</v>
      </c>
      <c r="C500" s="27" t="s">
        <v>917</v>
      </c>
    </row>
    <row r="501" hidden="1">
      <c r="A501" s="27" t="s">
        <v>92</v>
      </c>
      <c r="B501" s="132">
        <v>50.0</v>
      </c>
      <c r="C501" s="27" t="s">
        <v>917</v>
      </c>
    </row>
    <row r="502">
      <c r="A502" s="27" t="s">
        <v>61</v>
      </c>
      <c r="B502" s="132">
        <v>850.0</v>
      </c>
      <c r="C502" s="314" t="s">
        <v>935</v>
      </c>
    </row>
    <row r="503">
      <c r="A503" s="27" t="s">
        <v>69</v>
      </c>
      <c r="B503" s="132">
        <v>250.0</v>
      </c>
      <c r="C503" s="314" t="s">
        <v>936</v>
      </c>
    </row>
    <row r="504">
      <c r="A504" s="27" t="s">
        <v>25</v>
      </c>
      <c r="B504" s="132">
        <v>100.0</v>
      </c>
      <c r="C504" s="314" t="s">
        <v>937</v>
      </c>
    </row>
    <row r="505" hidden="1">
      <c r="A505" s="27" t="s">
        <v>30</v>
      </c>
      <c r="B505" s="132">
        <v>100.0</v>
      </c>
      <c r="C505" s="27" t="s">
        <v>917</v>
      </c>
    </row>
    <row r="506" hidden="1">
      <c r="A506" s="55" t="s">
        <v>72</v>
      </c>
      <c r="B506" s="55">
        <v>216.0</v>
      </c>
    </row>
    <row r="507" hidden="1">
      <c r="A507" s="55" t="s">
        <v>72</v>
      </c>
      <c r="B507" s="55">
        <v>216.0</v>
      </c>
    </row>
    <row r="508" hidden="1">
      <c r="A508" s="55" t="s">
        <v>72</v>
      </c>
      <c r="B508" s="55">
        <v>216.0</v>
      </c>
    </row>
    <row r="509" hidden="1">
      <c r="A509" s="55" t="s">
        <v>59</v>
      </c>
      <c r="B509" s="55">
        <v>41.0</v>
      </c>
      <c r="C509" s="55" t="s">
        <v>917</v>
      </c>
    </row>
    <row r="510" hidden="1">
      <c r="A510" s="55" t="s">
        <v>55</v>
      </c>
      <c r="B510" s="55">
        <v>420.0</v>
      </c>
      <c r="C510" s="55" t="s">
        <v>917</v>
      </c>
    </row>
    <row r="511" hidden="1">
      <c r="A511" s="55" t="s">
        <v>90</v>
      </c>
      <c r="B511" s="55">
        <v>96.0</v>
      </c>
      <c r="C511" s="55" t="s">
        <v>917</v>
      </c>
    </row>
    <row r="512">
      <c r="A512" s="55" t="s">
        <v>42</v>
      </c>
      <c r="B512" s="55">
        <v>240.0</v>
      </c>
      <c r="C512" s="55" t="s">
        <v>918</v>
      </c>
    </row>
    <row r="513" hidden="1">
      <c r="A513" s="55" t="s">
        <v>60</v>
      </c>
      <c r="B513" s="55">
        <v>20.0</v>
      </c>
      <c r="C513" s="55" t="s">
        <v>917</v>
      </c>
    </row>
    <row r="514" hidden="1">
      <c r="A514" s="55" t="s">
        <v>129</v>
      </c>
      <c r="B514" s="55">
        <v>80.0</v>
      </c>
      <c r="C514" s="55" t="s">
        <v>917</v>
      </c>
    </row>
    <row r="515">
      <c r="A515" s="55" t="s">
        <v>70</v>
      </c>
      <c r="B515" s="55">
        <v>140.0</v>
      </c>
      <c r="C515" s="55" t="s">
        <v>918</v>
      </c>
    </row>
    <row r="516">
      <c r="A516" s="55" t="s">
        <v>134</v>
      </c>
      <c r="B516" s="55">
        <v>150.0</v>
      </c>
      <c r="C516" s="55" t="s">
        <v>919</v>
      </c>
    </row>
    <row r="517" hidden="1">
      <c r="A517" s="55" t="s">
        <v>57</v>
      </c>
      <c r="B517" s="55">
        <v>12.0</v>
      </c>
      <c r="C517" s="55" t="s">
        <v>917</v>
      </c>
    </row>
    <row r="518">
      <c r="A518" s="55" t="s">
        <v>131</v>
      </c>
      <c r="B518" s="55">
        <v>288.0</v>
      </c>
      <c r="C518" s="55" t="s">
        <v>918</v>
      </c>
    </row>
    <row r="519" hidden="1">
      <c r="A519" s="55" t="s">
        <v>92</v>
      </c>
      <c r="B519" s="55">
        <v>160.0</v>
      </c>
      <c r="C519" s="55" t="s">
        <v>917</v>
      </c>
    </row>
    <row r="520" hidden="1">
      <c r="A520" s="55" t="s">
        <v>94</v>
      </c>
      <c r="B520" s="55">
        <v>80.0</v>
      </c>
      <c r="C520" s="55" t="s">
        <v>917</v>
      </c>
    </row>
    <row r="521" hidden="1">
      <c r="A521" s="55" t="s">
        <v>15</v>
      </c>
      <c r="B521" s="55">
        <v>60.0</v>
      </c>
      <c r="C521" s="55" t="s">
        <v>917</v>
      </c>
    </row>
    <row r="522" hidden="1">
      <c r="A522" s="55" t="s">
        <v>17</v>
      </c>
      <c r="B522" s="55">
        <v>50.0</v>
      </c>
      <c r="C522" s="55" t="s">
        <v>917</v>
      </c>
    </row>
    <row r="523">
      <c r="A523" s="55" t="s">
        <v>61</v>
      </c>
      <c r="B523" s="55">
        <v>144.0</v>
      </c>
      <c r="C523" s="55" t="s">
        <v>918</v>
      </c>
    </row>
    <row r="524">
      <c r="A524" s="55" t="s">
        <v>116</v>
      </c>
      <c r="B524" s="55">
        <v>40.0</v>
      </c>
      <c r="C524" s="55" t="s">
        <v>919</v>
      </c>
    </row>
    <row r="525" hidden="1">
      <c r="A525" s="55" t="s">
        <v>95</v>
      </c>
      <c r="B525" s="55">
        <v>20.0</v>
      </c>
      <c r="C525" s="55" t="s">
        <v>917</v>
      </c>
    </row>
    <row r="526" hidden="1">
      <c r="A526" s="55" t="s">
        <v>52</v>
      </c>
      <c r="B526" s="55">
        <v>30.0</v>
      </c>
      <c r="C526" s="55" t="s">
        <v>917</v>
      </c>
    </row>
    <row r="527" hidden="1">
      <c r="A527" s="55" t="s">
        <v>403</v>
      </c>
      <c r="B527" s="55">
        <v>20.0</v>
      </c>
      <c r="C527" s="55" t="s">
        <v>917</v>
      </c>
    </row>
    <row r="528" hidden="1">
      <c r="A528" s="55" t="s">
        <v>110</v>
      </c>
      <c r="B528" s="55">
        <v>20.0</v>
      </c>
      <c r="C528" s="55" t="s">
        <v>917</v>
      </c>
    </row>
    <row r="529" hidden="1">
      <c r="A529" s="55" t="s">
        <v>102</v>
      </c>
      <c r="B529" s="55">
        <v>200.0</v>
      </c>
      <c r="C529" s="55" t="s">
        <v>917</v>
      </c>
    </row>
    <row r="530" hidden="1">
      <c r="A530" s="55" t="s">
        <v>33</v>
      </c>
      <c r="B530" s="55">
        <v>200.0</v>
      </c>
      <c r="C530" s="55" t="s">
        <v>917</v>
      </c>
    </row>
    <row r="531" hidden="1">
      <c r="A531" s="55" t="s">
        <v>113</v>
      </c>
      <c r="B531" s="55">
        <v>40.0</v>
      </c>
      <c r="C531" s="55" t="s">
        <v>917</v>
      </c>
    </row>
    <row r="532" hidden="1">
      <c r="A532" s="55" t="s">
        <v>63</v>
      </c>
      <c r="B532" s="55">
        <v>24.0</v>
      </c>
      <c r="C532" s="55" t="s">
        <v>917</v>
      </c>
    </row>
    <row r="533" hidden="1">
      <c r="A533" s="55" t="s">
        <v>68</v>
      </c>
      <c r="B533" s="55">
        <v>120.0</v>
      </c>
      <c r="C533" s="55" t="s">
        <v>917</v>
      </c>
    </row>
    <row r="534" hidden="1">
      <c r="A534" s="55" t="s">
        <v>23</v>
      </c>
      <c r="B534" s="55">
        <v>96.0</v>
      </c>
      <c r="C534" s="55" t="s">
        <v>917</v>
      </c>
    </row>
    <row r="535" hidden="1">
      <c r="A535" s="55" t="s">
        <v>99</v>
      </c>
      <c r="B535" s="55">
        <v>40.0</v>
      </c>
      <c r="C535" s="55" t="s">
        <v>917</v>
      </c>
    </row>
    <row r="536">
      <c r="A536" s="55" t="s">
        <v>25</v>
      </c>
      <c r="B536" s="55">
        <v>60.0</v>
      </c>
      <c r="C536" s="55" t="s">
        <v>918</v>
      </c>
    </row>
    <row r="537">
      <c r="A537" s="55" t="s">
        <v>53</v>
      </c>
      <c r="B537" s="55">
        <v>30.0</v>
      </c>
      <c r="C537" s="55" t="s">
        <v>938</v>
      </c>
    </row>
    <row r="538" hidden="1">
      <c r="A538" s="55" t="s">
        <v>97</v>
      </c>
      <c r="B538" s="55">
        <v>60.0</v>
      </c>
      <c r="C538" s="55" t="s">
        <v>917</v>
      </c>
    </row>
    <row r="539" hidden="1">
      <c r="A539" s="55" t="s">
        <v>112</v>
      </c>
      <c r="B539" s="55">
        <v>50.0</v>
      </c>
      <c r="C539" s="55" t="s">
        <v>917</v>
      </c>
    </row>
    <row r="540">
      <c r="A540" s="55" t="s">
        <v>74</v>
      </c>
      <c r="B540" s="55">
        <v>90.0</v>
      </c>
      <c r="C540" s="55" t="s">
        <v>929</v>
      </c>
    </row>
    <row r="541" hidden="1">
      <c r="A541" s="55" t="s">
        <v>65</v>
      </c>
      <c r="B541" s="55">
        <v>30.0</v>
      </c>
      <c r="C541" s="55" t="s">
        <v>917</v>
      </c>
    </row>
    <row r="542">
      <c r="A542" s="55" t="s">
        <v>115</v>
      </c>
      <c r="B542" s="55">
        <v>432.0</v>
      </c>
      <c r="C542" s="55" t="s">
        <v>918</v>
      </c>
    </row>
    <row r="543">
      <c r="A543" s="55" t="s">
        <v>69</v>
      </c>
      <c r="B543" s="55">
        <v>60.0</v>
      </c>
      <c r="C543" s="55" t="s">
        <v>918</v>
      </c>
    </row>
    <row r="544" hidden="1">
      <c r="A544" s="55" t="s">
        <v>119</v>
      </c>
      <c r="B544" s="55">
        <v>48.0</v>
      </c>
      <c r="C544" s="55" t="s">
        <v>917</v>
      </c>
    </row>
    <row r="545" hidden="1">
      <c r="A545" s="55" t="s">
        <v>109</v>
      </c>
      <c r="B545" s="55">
        <v>12.0</v>
      </c>
      <c r="C545" s="55" t="s">
        <v>917</v>
      </c>
    </row>
    <row r="546" hidden="1">
      <c r="A546" s="55" t="s">
        <v>67</v>
      </c>
      <c r="B546" s="55">
        <v>200.0</v>
      </c>
      <c r="C546" s="55" t="s">
        <v>917</v>
      </c>
    </row>
    <row r="547" hidden="1">
      <c r="A547" s="55" t="s">
        <v>86</v>
      </c>
      <c r="B547" s="55">
        <v>120.0</v>
      </c>
      <c r="C547" s="55" t="s">
        <v>917</v>
      </c>
    </row>
    <row r="548" hidden="1">
      <c r="A548" s="55" t="s">
        <v>405</v>
      </c>
      <c r="B548" s="55">
        <v>60.0</v>
      </c>
      <c r="C548" s="55" t="s">
        <v>917</v>
      </c>
    </row>
    <row r="549">
      <c r="A549" s="55" t="s">
        <v>134</v>
      </c>
      <c r="B549" s="55">
        <v>400.0</v>
      </c>
      <c r="C549" s="55" t="s">
        <v>939</v>
      </c>
    </row>
    <row r="550" hidden="1">
      <c r="A550" s="55" t="s">
        <v>79</v>
      </c>
      <c r="B550" s="55">
        <v>100.0</v>
      </c>
      <c r="C550" s="55" t="s">
        <v>917</v>
      </c>
    </row>
    <row r="551" hidden="1">
      <c r="A551" s="55" t="s">
        <v>102</v>
      </c>
      <c r="B551" s="55">
        <v>100.0</v>
      </c>
      <c r="C551" s="55" t="s">
        <v>917</v>
      </c>
    </row>
    <row r="552" hidden="1">
      <c r="A552" s="55" t="s">
        <v>141</v>
      </c>
      <c r="B552" s="55">
        <v>200.0</v>
      </c>
    </row>
    <row r="553" hidden="1">
      <c r="A553" s="55" t="s">
        <v>153</v>
      </c>
      <c r="B553" s="55">
        <v>400.0</v>
      </c>
      <c r="C553" s="55" t="s">
        <v>917</v>
      </c>
    </row>
    <row r="554" hidden="1">
      <c r="A554" s="55" t="s">
        <v>151</v>
      </c>
      <c r="B554" s="55">
        <v>200.0</v>
      </c>
      <c r="C554" s="55" t="s">
        <v>917</v>
      </c>
    </row>
    <row r="555" hidden="1">
      <c r="A555" s="55" t="s">
        <v>139</v>
      </c>
      <c r="B555" s="55">
        <v>200.0</v>
      </c>
    </row>
    <row r="556" hidden="1">
      <c r="A556" s="55" t="s">
        <v>154</v>
      </c>
      <c r="B556" s="55">
        <v>600.0</v>
      </c>
      <c r="C556" s="55" t="s">
        <v>917</v>
      </c>
    </row>
    <row r="557" hidden="1">
      <c r="A557" s="55" t="s">
        <v>149</v>
      </c>
      <c r="B557" s="55">
        <v>600.0</v>
      </c>
      <c r="C557" s="55" t="s">
        <v>917</v>
      </c>
    </row>
    <row r="558">
      <c r="A558" s="55" t="s">
        <v>144</v>
      </c>
      <c r="B558" s="55">
        <v>600.0</v>
      </c>
      <c r="C558" s="55" t="s">
        <v>930</v>
      </c>
    </row>
    <row r="559">
      <c r="A559" s="55" t="s">
        <v>134</v>
      </c>
      <c r="B559" s="55">
        <v>1200.0</v>
      </c>
      <c r="C559" s="55" t="s">
        <v>939</v>
      </c>
    </row>
    <row r="560" hidden="1">
      <c r="A560" s="55" t="s">
        <v>147</v>
      </c>
      <c r="B560" s="55">
        <v>240.0</v>
      </c>
      <c r="C560" s="55" t="s">
        <v>917</v>
      </c>
    </row>
    <row r="561" hidden="1">
      <c r="A561" s="27" t="s">
        <v>59</v>
      </c>
      <c r="B561" s="132">
        <v>11.0</v>
      </c>
      <c r="C561" s="27" t="s">
        <v>917</v>
      </c>
    </row>
    <row r="562" hidden="1">
      <c r="A562" s="27" t="s">
        <v>55</v>
      </c>
      <c r="B562" s="132">
        <v>113.0</v>
      </c>
      <c r="C562" s="27" t="s">
        <v>917</v>
      </c>
    </row>
    <row r="563" hidden="1">
      <c r="A563" s="27" t="s">
        <v>90</v>
      </c>
      <c r="B563" s="132">
        <v>48.0</v>
      </c>
      <c r="C563" s="27" t="s">
        <v>917</v>
      </c>
    </row>
    <row r="564">
      <c r="A564" s="27" t="s">
        <v>42</v>
      </c>
      <c r="B564" s="132">
        <v>120.0</v>
      </c>
      <c r="C564" s="27" t="s">
        <v>918</v>
      </c>
    </row>
    <row r="565" hidden="1">
      <c r="A565" s="27" t="s">
        <v>129</v>
      </c>
      <c r="B565" s="132">
        <v>30.0</v>
      </c>
      <c r="C565" s="27" t="s">
        <v>917</v>
      </c>
    </row>
    <row r="566">
      <c r="A566" s="27" t="s">
        <v>70</v>
      </c>
      <c r="B566" s="132">
        <v>100.0</v>
      </c>
      <c r="C566" s="27" t="s">
        <v>918</v>
      </c>
    </row>
    <row r="567">
      <c r="A567" s="27" t="s">
        <v>134</v>
      </c>
      <c r="B567" s="132">
        <v>90.0</v>
      </c>
      <c r="C567" s="27" t="s">
        <v>919</v>
      </c>
    </row>
    <row r="568" hidden="1">
      <c r="A568" s="27" t="s">
        <v>58</v>
      </c>
      <c r="B568" s="132">
        <v>5.0</v>
      </c>
      <c r="C568" s="27" t="s">
        <v>917</v>
      </c>
    </row>
    <row r="569">
      <c r="A569" s="27" t="s">
        <v>131</v>
      </c>
      <c r="B569" s="132">
        <v>84.0</v>
      </c>
      <c r="C569" s="27" t="s">
        <v>918</v>
      </c>
    </row>
    <row r="570" hidden="1">
      <c r="A570" s="27" t="s">
        <v>92</v>
      </c>
      <c r="B570" s="132">
        <v>57.0</v>
      </c>
      <c r="C570" s="27" t="s">
        <v>917</v>
      </c>
    </row>
    <row r="571" hidden="1">
      <c r="A571" s="27" t="s">
        <v>94</v>
      </c>
      <c r="B571" s="132">
        <v>60.0</v>
      </c>
      <c r="C571" s="27" t="s">
        <v>917</v>
      </c>
    </row>
    <row r="572" hidden="1">
      <c r="A572" s="27" t="s">
        <v>15</v>
      </c>
      <c r="B572" s="132">
        <v>46.0</v>
      </c>
      <c r="C572" s="27" t="s">
        <v>917</v>
      </c>
    </row>
    <row r="573" hidden="1">
      <c r="A573" s="27" t="s">
        <v>77</v>
      </c>
      <c r="B573" s="132">
        <v>4.0</v>
      </c>
      <c r="C573" s="27" t="s">
        <v>917</v>
      </c>
    </row>
    <row r="574">
      <c r="A574" s="27" t="s">
        <v>61</v>
      </c>
      <c r="B574" s="132">
        <v>24.0</v>
      </c>
      <c r="C574" s="27" t="s">
        <v>918</v>
      </c>
    </row>
    <row r="575" hidden="1">
      <c r="A575" s="27" t="s">
        <v>33</v>
      </c>
      <c r="B575" s="132">
        <v>16.0</v>
      </c>
      <c r="C575" s="27" t="s">
        <v>917</v>
      </c>
    </row>
    <row r="576" hidden="1">
      <c r="A576" s="27" t="s">
        <v>113</v>
      </c>
      <c r="B576" s="132">
        <v>40.0</v>
      </c>
      <c r="C576" s="27" t="s">
        <v>917</v>
      </c>
    </row>
    <row r="577" hidden="1">
      <c r="A577" s="27" t="s">
        <v>30</v>
      </c>
      <c r="B577" s="132">
        <v>18.0</v>
      </c>
      <c r="C577" s="27" t="s">
        <v>917</v>
      </c>
    </row>
    <row r="578" hidden="1">
      <c r="A578" s="27" t="s">
        <v>112</v>
      </c>
      <c r="B578" s="132">
        <v>18.0</v>
      </c>
      <c r="C578" s="27" t="s">
        <v>917</v>
      </c>
    </row>
    <row r="579">
      <c r="A579" s="27" t="s">
        <v>74</v>
      </c>
      <c r="B579" s="132">
        <v>13.0</v>
      </c>
      <c r="C579" s="314" t="s">
        <v>929</v>
      </c>
    </row>
    <row r="580">
      <c r="A580" s="27" t="s">
        <v>115</v>
      </c>
      <c r="B580" s="132">
        <v>288.0</v>
      </c>
      <c r="C580" s="27" t="s">
        <v>918</v>
      </c>
    </row>
    <row r="581">
      <c r="A581" s="27" t="s">
        <v>69</v>
      </c>
      <c r="B581" s="132">
        <v>28.0</v>
      </c>
      <c r="C581" s="27" t="s">
        <v>918</v>
      </c>
    </row>
    <row r="582" hidden="1">
      <c r="A582" s="27" t="s">
        <v>119</v>
      </c>
      <c r="B582" s="132">
        <v>48.0</v>
      </c>
      <c r="C582" s="27" t="s">
        <v>917</v>
      </c>
    </row>
    <row r="583" hidden="1">
      <c r="A583" s="27" t="s">
        <v>411</v>
      </c>
      <c r="B583" s="132">
        <v>20.0</v>
      </c>
      <c r="C583" s="27" t="s">
        <v>917</v>
      </c>
    </row>
    <row r="584" hidden="1">
      <c r="A584" s="27" t="s">
        <v>67</v>
      </c>
      <c r="B584" s="132">
        <v>23.0</v>
      </c>
      <c r="C584" s="27" t="s">
        <v>917</v>
      </c>
    </row>
    <row r="585" hidden="1">
      <c r="A585" s="55" t="s">
        <v>59</v>
      </c>
      <c r="B585" s="55">
        <v>12.0</v>
      </c>
      <c r="C585" s="55" t="s">
        <v>917</v>
      </c>
    </row>
    <row r="586" hidden="1">
      <c r="A586" s="55" t="s">
        <v>151</v>
      </c>
      <c r="B586" s="55">
        <v>8.0</v>
      </c>
      <c r="C586" s="55" t="s">
        <v>917</v>
      </c>
    </row>
    <row r="587" hidden="1">
      <c r="A587" s="55" t="s">
        <v>154</v>
      </c>
      <c r="B587" s="55">
        <v>62.0</v>
      </c>
      <c r="C587" s="55" t="s">
        <v>917</v>
      </c>
    </row>
    <row r="588" hidden="1">
      <c r="A588" s="55" t="s">
        <v>55</v>
      </c>
      <c r="B588" s="55">
        <v>180.0</v>
      </c>
      <c r="C588" s="55" t="s">
        <v>917</v>
      </c>
    </row>
    <row r="589" hidden="1">
      <c r="A589" s="55" t="s">
        <v>90</v>
      </c>
      <c r="B589" s="55">
        <v>48.0</v>
      </c>
      <c r="C589" s="55" t="s">
        <v>917</v>
      </c>
    </row>
    <row r="590" hidden="1">
      <c r="A590" s="55" t="s">
        <v>149</v>
      </c>
      <c r="B590" s="55">
        <v>30.0</v>
      </c>
      <c r="C590" s="55" t="s">
        <v>917</v>
      </c>
    </row>
    <row r="591">
      <c r="A591" s="55" t="s">
        <v>42</v>
      </c>
      <c r="B591" s="55">
        <v>60.0</v>
      </c>
      <c r="C591" s="55" t="s">
        <v>918</v>
      </c>
    </row>
    <row r="592" hidden="1">
      <c r="A592" s="55" t="s">
        <v>60</v>
      </c>
      <c r="B592" s="55">
        <v>20.0</v>
      </c>
      <c r="C592" s="55" t="s">
        <v>917</v>
      </c>
    </row>
    <row r="593">
      <c r="A593" s="55" t="s">
        <v>144</v>
      </c>
      <c r="B593" s="55">
        <v>60.0</v>
      </c>
      <c r="C593" s="55" t="s">
        <v>930</v>
      </c>
    </row>
    <row r="594" hidden="1">
      <c r="A594" s="55" t="s">
        <v>129</v>
      </c>
      <c r="B594" s="55">
        <v>20.0</v>
      </c>
      <c r="C594" s="55" t="s">
        <v>917</v>
      </c>
    </row>
    <row r="595">
      <c r="A595" s="55" t="s">
        <v>70</v>
      </c>
      <c r="B595" s="55">
        <v>100.0</v>
      </c>
      <c r="C595" s="55" t="s">
        <v>918</v>
      </c>
    </row>
    <row r="596">
      <c r="A596" s="55" t="s">
        <v>134</v>
      </c>
      <c r="B596" s="55">
        <v>36.0</v>
      </c>
      <c r="C596" s="55" t="s">
        <v>919</v>
      </c>
    </row>
    <row r="597" hidden="1">
      <c r="A597" s="55" t="s">
        <v>147</v>
      </c>
      <c r="B597" s="55">
        <v>12.0</v>
      </c>
      <c r="C597" s="55" t="s">
        <v>917</v>
      </c>
    </row>
    <row r="598" hidden="1">
      <c r="A598" s="55" t="s">
        <v>58</v>
      </c>
      <c r="B598" s="55">
        <v>9.0</v>
      </c>
      <c r="C598" s="55" t="s">
        <v>917</v>
      </c>
    </row>
    <row r="599">
      <c r="A599" s="55" t="s">
        <v>131</v>
      </c>
      <c r="B599" s="55">
        <v>60.0</v>
      </c>
      <c r="C599" s="55" t="s">
        <v>918</v>
      </c>
    </row>
    <row r="600" hidden="1">
      <c r="A600" s="55" t="s">
        <v>405</v>
      </c>
      <c r="B600" s="55">
        <v>20.0</v>
      </c>
      <c r="C600" s="55" t="s">
        <v>917</v>
      </c>
    </row>
    <row r="601" hidden="1">
      <c r="A601" s="55" t="s">
        <v>15</v>
      </c>
      <c r="B601" s="55">
        <v>20.0</v>
      </c>
      <c r="C601" s="55" t="s">
        <v>917</v>
      </c>
    </row>
    <row r="602" hidden="1">
      <c r="A602" s="55" t="s">
        <v>76</v>
      </c>
      <c r="B602" s="55">
        <v>20.0</v>
      </c>
      <c r="C602" s="55" t="s">
        <v>917</v>
      </c>
    </row>
    <row r="603">
      <c r="A603" s="55" t="s">
        <v>61</v>
      </c>
      <c r="B603" s="55">
        <v>50.0</v>
      </c>
      <c r="C603" s="55" t="s">
        <v>918</v>
      </c>
    </row>
    <row r="604">
      <c r="A604" s="55" t="s">
        <v>116</v>
      </c>
      <c r="B604" s="55">
        <v>20.0</v>
      </c>
      <c r="C604" s="55" t="s">
        <v>919</v>
      </c>
    </row>
    <row r="605" hidden="1">
      <c r="A605" s="55" t="s">
        <v>32</v>
      </c>
      <c r="B605" s="55">
        <v>10.0</v>
      </c>
      <c r="C605" s="55" t="s">
        <v>917</v>
      </c>
    </row>
    <row r="606" hidden="1">
      <c r="A606" s="55" t="s">
        <v>403</v>
      </c>
      <c r="B606" s="55">
        <v>20.0</v>
      </c>
      <c r="C606" s="55" t="s">
        <v>917</v>
      </c>
    </row>
    <row r="607" hidden="1">
      <c r="A607" s="55" t="s">
        <v>44</v>
      </c>
      <c r="B607" s="55">
        <v>20.0</v>
      </c>
      <c r="C607" s="55" t="s">
        <v>917</v>
      </c>
    </row>
    <row r="608" hidden="1">
      <c r="A608" s="55" t="s">
        <v>102</v>
      </c>
      <c r="B608" s="55">
        <v>40.0</v>
      </c>
      <c r="C608" s="55" t="s">
        <v>917</v>
      </c>
    </row>
    <row r="609" hidden="1">
      <c r="A609" s="55" t="s">
        <v>33</v>
      </c>
      <c r="B609" s="55">
        <v>200.0</v>
      </c>
      <c r="C609" s="55" t="s">
        <v>917</v>
      </c>
    </row>
    <row r="610" hidden="1">
      <c r="A610" s="55" t="s">
        <v>64</v>
      </c>
      <c r="B610" s="55">
        <v>24.0</v>
      </c>
      <c r="C610" s="55" t="s">
        <v>917</v>
      </c>
    </row>
    <row r="611" hidden="1">
      <c r="A611" s="55" t="s">
        <v>30</v>
      </c>
      <c r="B611" s="55">
        <v>20.0</v>
      </c>
      <c r="C611" s="55" t="s">
        <v>917</v>
      </c>
    </row>
    <row r="612" hidden="1">
      <c r="A612" s="55" t="s">
        <v>68</v>
      </c>
      <c r="B612" s="55">
        <v>50.0</v>
      </c>
      <c r="C612" s="55" t="s">
        <v>917</v>
      </c>
    </row>
    <row r="613" hidden="1">
      <c r="A613" s="55" t="s">
        <v>23</v>
      </c>
      <c r="B613" s="55">
        <v>58.0</v>
      </c>
      <c r="C613" s="55" t="s">
        <v>917</v>
      </c>
    </row>
    <row r="614" hidden="1">
      <c r="A614" s="55" t="s">
        <v>112</v>
      </c>
      <c r="B614" s="55">
        <v>20.0</v>
      </c>
      <c r="C614" s="55" t="s">
        <v>917</v>
      </c>
    </row>
    <row r="615" hidden="1">
      <c r="A615" s="55" t="s">
        <v>399</v>
      </c>
      <c r="B615" s="55">
        <v>20.0</v>
      </c>
      <c r="C615" s="55" t="s">
        <v>917</v>
      </c>
    </row>
    <row r="616" hidden="1">
      <c r="A616" s="55" t="s">
        <v>65</v>
      </c>
      <c r="B616" s="55">
        <v>20.0</v>
      </c>
      <c r="C616" s="55" t="s">
        <v>917</v>
      </c>
    </row>
    <row r="617">
      <c r="A617" s="55" t="s">
        <v>115</v>
      </c>
      <c r="B617" s="55">
        <v>144.0</v>
      </c>
      <c r="C617" s="55" t="s">
        <v>918</v>
      </c>
    </row>
    <row r="618">
      <c r="A618" s="55" t="s">
        <v>69</v>
      </c>
      <c r="B618" s="55">
        <v>20.0</v>
      </c>
      <c r="C618" s="55" t="s">
        <v>918</v>
      </c>
    </row>
    <row r="619" hidden="1">
      <c r="A619" s="55" t="s">
        <v>119</v>
      </c>
      <c r="B619" s="55">
        <v>20.0</v>
      </c>
      <c r="C619" s="55" t="s">
        <v>917</v>
      </c>
    </row>
    <row r="620" hidden="1">
      <c r="A620" s="55" t="s">
        <v>67</v>
      </c>
      <c r="B620" s="55">
        <v>120.0</v>
      </c>
      <c r="C620" s="55" t="s">
        <v>917</v>
      </c>
    </row>
    <row r="621" hidden="1">
      <c r="A621" s="55" t="s">
        <v>86</v>
      </c>
      <c r="B621" s="55">
        <v>40.0</v>
      </c>
      <c r="C621" s="55" t="s">
        <v>917</v>
      </c>
    </row>
    <row r="622" hidden="1">
      <c r="A622" s="55" t="s">
        <v>51</v>
      </c>
      <c r="B622" s="55">
        <v>20.0</v>
      </c>
      <c r="C622" s="55" t="s">
        <v>917</v>
      </c>
    </row>
    <row r="623">
      <c r="A623" s="55" t="s">
        <v>262</v>
      </c>
      <c r="B623" s="55">
        <v>100.0</v>
      </c>
      <c r="C623" s="55" t="s">
        <v>922</v>
      </c>
    </row>
    <row r="624" hidden="1">
      <c r="A624" s="55" t="s">
        <v>376</v>
      </c>
      <c r="B624" s="55">
        <v>60.0</v>
      </c>
      <c r="C624" s="55" t="s">
        <v>917</v>
      </c>
    </row>
    <row r="625" hidden="1">
      <c r="A625" s="55" t="s">
        <v>205</v>
      </c>
      <c r="B625" s="55">
        <v>270.0</v>
      </c>
      <c r="C625" s="55" t="s">
        <v>917</v>
      </c>
    </row>
    <row r="626">
      <c r="A626" s="55" t="s">
        <v>207</v>
      </c>
      <c r="B626" s="55">
        <v>300.0</v>
      </c>
      <c r="C626" s="55" t="s">
        <v>918</v>
      </c>
    </row>
    <row r="627" hidden="1">
      <c r="A627" s="55" t="s">
        <v>170</v>
      </c>
      <c r="B627" s="55">
        <v>54.0</v>
      </c>
      <c r="C627" s="55" t="s">
        <v>917</v>
      </c>
    </row>
    <row r="628">
      <c r="A628" s="55" t="s">
        <v>173</v>
      </c>
      <c r="B628" s="55">
        <v>16.0</v>
      </c>
      <c r="C628" s="55" t="s">
        <v>918</v>
      </c>
    </row>
    <row r="629" hidden="1">
      <c r="A629" s="55" t="s">
        <v>219</v>
      </c>
      <c r="B629" s="55">
        <v>30.0</v>
      </c>
      <c r="C629" s="55" t="s">
        <v>917</v>
      </c>
    </row>
    <row r="630" hidden="1">
      <c r="A630" s="55" t="s">
        <v>329</v>
      </c>
      <c r="B630" s="55">
        <v>144.0</v>
      </c>
      <c r="C630" s="55" t="s">
        <v>917</v>
      </c>
    </row>
    <row r="631">
      <c r="A631" s="55" t="s">
        <v>289</v>
      </c>
      <c r="B631" s="55">
        <v>30.0</v>
      </c>
      <c r="C631" s="55" t="s">
        <v>918</v>
      </c>
    </row>
    <row r="632" hidden="1">
      <c r="A632" s="55" t="s">
        <v>418</v>
      </c>
      <c r="B632" s="55">
        <v>72.0</v>
      </c>
      <c r="C632" s="55" t="s">
        <v>917</v>
      </c>
    </row>
    <row r="633">
      <c r="A633" s="55" t="s">
        <v>240</v>
      </c>
      <c r="B633" s="55">
        <v>100.0</v>
      </c>
      <c r="C633" s="55" t="s">
        <v>922</v>
      </c>
    </row>
    <row r="634">
      <c r="A634" s="55" t="s">
        <v>174</v>
      </c>
      <c r="B634" s="55">
        <v>25.0</v>
      </c>
      <c r="C634" s="55" t="s">
        <v>918</v>
      </c>
    </row>
    <row r="635" hidden="1">
      <c r="A635" s="55" t="s">
        <v>275</v>
      </c>
      <c r="B635" s="55">
        <v>120.0</v>
      </c>
      <c r="C635" s="55" t="s">
        <v>917</v>
      </c>
    </row>
    <row r="636" hidden="1">
      <c r="A636" s="55" t="s">
        <v>290</v>
      </c>
      <c r="B636" s="55">
        <v>60.0</v>
      </c>
      <c r="C636" s="55" t="s">
        <v>917</v>
      </c>
    </row>
    <row r="637">
      <c r="A637" s="55" t="s">
        <v>199</v>
      </c>
      <c r="B637" s="55">
        <v>36.0</v>
      </c>
      <c r="C637" s="55" t="s">
        <v>931</v>
      </c>
    </row>
    <row r="638" hidden="1">
      <c r="A638" s="55" t="s">
        <v>315</v>
      </c>
      <c r="B638" s="55">
        <v>30.0</v>
      </c>
      <c r="C638" s="55" t="s">
        <v>917</v>
      </c>
    </row>
    <row r="639" hidden="1">
      <c r="A639" s="55" t="s">
        <v>344</v>
      </c>
      <c r="B639" s="55">
        <v>77.0</v>
      </c>
      <c r="C639" s="55" t="s">
        <v>917</v>
      </c>
    </row>
    <row r="640" hidden="1">
      <c r="A640" s="55" t="s">
        <v>203</v>
      </c>
      <c r="B640" s="55">
        <v>60.0</v>
      </c>
      <c r="C640" s="55" t="s">
        <v>917</v>
      </c>
    </row>
    <row r="641" hidden="1">
      <c r="A641" s="55" t="s">
        <v>236</v>
      </c>
      <c r="B641" s="55">
        <v>80.0</v>
      </c>
      <c r="C641" s="55" t="s">
        <v>917</v>
      </c>
    </row>
    <row r="642" hidden="1">
      <c r="A642" s="55" t="s">
        <v>318</v>
      </c>
      <c r="B642" s="55">
        <v>200.0</v>
      </c>
      <c r="C642" s="55" t="s">
        <v>917</v>
      </c>
    </row>
    <row r="643">
      <c r="A643" s="55" t="s">
        <v>320</v>
      </c>
      <c r="B643" s="55">
        <v>250.0</v>
      </c>
      <c r="C643" s="55" t="s">
        <v>918</v>
      </c>
    </row>
    <row r="644" hidden="1">
      <c r="A644" s="55" t="s">
        <v>164</v>
      </c>
      <c r="B644" s="55">
        <v>336.0</v>
      </c>
      <c r="C644" s="55" t="s">
        <v>917</v>
      </c>
    </row>
    <row r="645">
      <c r="A645" s="55" t="s">
        <v>166</v>
      </c>
      <c r="B645" s="55">
        <v>52.0</v>
      </c>
      <c r="C645" s="55" t="s">
        <v>918</v>
      </c>
    </row>
    <row r="646" hidden="1">
      <c r="A646" s="55" t="s">
        <v>167</v>
      </c>
      <c r="B646" s="55">
        <v>178.0</v>
      </c>
      <c r="C646" s="55" t="s">
        <v>917</v>
      </c>
    </row>
    <row r="647" hidden="1">
      <c r="A647" s="55" t="s">
        <v>306</v>
      </c>
      <c r="B647" s="55">
        <v>80.0</v>
      </c>
      <c r="C647" s="55" t="s">
        <v>917</v>
      </c>
    </row>
    <row r="648">
      <c r="A648" s="55" t="s">
        <v>282</v>
      </c>
      <c r="B648" s="55">
        <v>86.0</v>
      </c>
      <c r="C648" s="55" t="s">
        <v>932</v>
      </c>
    </row>
    <row r="649">
      <c r="A649" s="55" t="s">
        <v>340</v>
      </c>
      <c r="B649" s="55">
        <v>13.0</v>
      </c>
      <c r="C649" s="55" t="s">
        <v>918</v>
      </c>
    </row>
    <row r="650">
      <c r="A650" s="55" t="s">
        <v>325</v>
      </c>
      <c r="B650" s="55">
        <v>34.0</v>
      </c>
      <c r="C650" s="55" t="s">
        <v>918</v>
      </c>
    </row>
    <row r="651" hidden="1">
      <c r="A651" s="55" t="s">
        <v>334</v>
      </c>
      <c r="B651" s="55">
        <v>72.0</v>
      </c>
      <c r="C651" s="55" t="s">
        <v>917</v>
      </c>
    </row>
    <row r="652" hidden="1">
      <c r="A652" s="55" t="s">
        <v>183</v>
      </c>
      <c r="B652" s="55">
        <v>35.0</v>
      </c>
      <c r="C652" s="55" t="s">
        <v>917</v>
      </c>
    </row>
    <row r="653">
      <c r="A653" s="55" t="s">
        <v>235</v>
      </c>
      <c r="B653" s="55">
        <v>40.0</v>
      </c>
      <c r="C653" s="55" t="s">
        <v>918</v>
      </c>
    </row>
    <row r="654">
      <c r="A654" s="55" t="s">
        <v>264</v>
      </c>
      <c r="B654" s="55">
        <v>10.0</v>
      </c>
      <c r="C654" s="55" t="s">
        <v>918</v>
      </c>
    </row>
    <row r="655">
      <c r="A655" s="55" t="s">
        <v>196</v>
      </c>
      <c r="B655" s="55">
        <v>6.0</v>
      </c>
      <c r="C655" s="55" t="s">
        <v>918</v>
      </c>
    </row>
    <row r="656">
      <c r="A656" s="55" t="s">
        <v>241</v>
      </c>
      <c r="B656" s="55">
        <v>111.0</v>
      </c>
      <c r="C656" s="55" t="s">
        <v>918</v>
      </c>
    </row>
    <row r="657" hidden="1">
      <c r="A657" s="55" t="s">
        <v>292</v>
      </c>
      <c r="B657" s="55">
        <v>140.0</v>
      </c>
      <c r="C657" s="55" t="s">
        <v>917</v>
      </c>
    </row>
    <row r="658" hidden="1">
      <c r="A658" s="55" t="s">
        <v>286</v>
      </c>
      <c r="B658" s="55">
        <v>120.0</v>
      </c>
      <c r="C658" s="55" t="s">
        <v>917</v>
      </c>
    </row>
    <row r="659" hidden="1">
      <c r="A659" s="55" t="s">
        <v>311</v>
      </c>
      <c r="B659" s="55">
        <v>20.0</v>
      </c>
      <c r="C659" s="55" t="s">
        <v>917</v>
      </c>
    </row>
    <row r="660" hidden="1">
      <c r="A660" s="55" t="s">
        <v>294</v>
      </c>
      <c r="B660" s="55">
        <v>13.0</v>
      </c>
      <c r="C660" s="55" t="s">
        <v>917</v>
      </c>
    </row>
    <row r="661" hidden="1">
      <c r="A661" s="55" t="s">
        <v>351</v>
      </c>
      <c r="B661" s="55">
        <v>8.0</v>
      </c>
      <c r="C661" s="55" t="s">
        <v>917</v>
      </c>
    </row>
    <row r="662" hidden="1">
      <c r="A662" s="55" t="s">
        <v>355</v>
      </c>
      <c r="B662" s="55">
        <v>13.0</v>
      </c>
      <c r="C662" s="55" t="s">
        <v>917</v>
      </c>
    </row>
    <row r="663" hidden="1">
      <c r="A663" s="55" t="s">
        <v>244</v>
      </c>
      <c r="B663" s="55">
        <v>40.0</v>
      </c>
      <c r="C663" s="55" t="s">
        <v>917</v>
      </c>
    </row>
    <row r="664">
      <c r="A664" s="55" t="s">
        <v>252</v>
      </c>
      <c r="B664" s="55">
        <v>288.0</v>
      </c>
      <c r="C664" s="55" t="s">
        <v>918</v>
      </c>
    </row>
    <row r="665">
      <c r="A665" s="55" t="s">
        <v>373</v>
      </c>
      <c r="B665" s="55">
        <v>114.0</v>
      </c>
      <c r="C665" s="55" t="s">
        <v>925</v>
      </c>
    </row>
    <row r="666">
      <c r="A666" s="55" t="s">
        <v>371</v>
      </c>
      <c r="B666" s="55">
        <v>144.0</v>
      </c>
      <c r="C666" s="55" t="s">
        <v>918</v>
      </c>
    </row>
    <row r="667">
      <c r="A667" s="55" t="s">
        <v>369</v>
      </c>
      <c r="B667" s="55">
        <v>144.0</v>
      </c>
      <c r="C667" s="55" t="s">
        <v>918</v>
      </c>
    </row>
    <row r="668" hidden="1">
      <c r="A668" s="55" t="s">
        <v>201</v>
      </c>
      <c r="B668" s="55">
        <v>60.0</v>
      </c>
      <c r="C668" s="55" t="s">
        <v>917</v>
      </c>
    </row>
    <row r="669" hidden="1">
      <c r="A669" s="55" t="s">
        <v>175</v>
      </c>
      <c r="B669" s="55">
        <v>96.0</v>
      </c>
      <c r="C669" s="55" t="s">
        <v>917</v>
      </c>
    </row>
    <row r="670" hidden="1">
      <c r="A670" s="55" t="s">
        <v>220</v>
      </c>
      <c r="B670" s="55">
        <v>31.0</v>
      </c>
      <c r="C670" s="55" t="s">
        <v>917</v>
      </c>
    </row>
    <row r="671" hidden="1">
      <c r="A671" s="55" t="s">
        <v>352</v>
      </c>
      <c r="B671" s="55">
        <v>14.0</v>
      </c>
      <c r="C671" s="55" t="s">
        <v>917</v>
      </c>
    </row>
    <row r="672">
      <c r="A672" s="55" t="s">
        <v>356</v>
      </c>
      <c r="B672" s="55">
        <v>30.0</v>
      </c>
      <c r="C672" s="55" t="s">
        <v>918</v>
      </c>
    </row>
    <row r="673" hidden="1">
      <c r="A673" s="55" t="s">
        <v>187</v>
      </c>
      <c r="B673" s="55">
        <v>50.0</v>
      </c>
      <c r="C673" s="55" t="s">
        <v>917</v>
      </c>
    </row>
    <row r="674" hidden="1">
      <c r="A674" s="55" t="s">
        <v>185</v>
      </c>
      <c r="B674" s="55">
        <v>285.0</v>
      </c>
      <c r="C674" s="55" t="s">
        <v>917</v>
      </c>
    </row>
    <row r="675" hidden="1">
      <c r="A675" s="55" t="s">
        <v>245</v>
      </c>
      <c r="B675" s="55">
        <v>34.0</v>
      </c>
      <c r="C675" s="55" t="s">
        <v>917</v>
      </c>
    </row>
    <row r="676">
      <c r="A676" s="55" t="s">
        <v>223</v>
      </c>
      <c r="B676" s="55">
        <v>121.0</v>
      </c>
      <c r="C676" s="55" t="s">
        <v>918</v>
      </c>
    </row>
    <row r="677">
      <c r="A677" s="55" t="s">
        <v>189</v>
      </c>
      <c r="B677" s="55">
        <v>6.0</v>
      </c>
      <c r="C677" s="55" t="s">
        <v>918</v>
      </c>
    </row>
    <row r="678">
      <c r="A678" s="55" t="s">
        <v>321</v>
      </c>
      <c r="B678" s="55">
        <v>20.0</v>
      </c>
      <c r="C678" s="55" t="s">
        <v>932</v>
      </c>
    </row>
    <row r="679" hidden="1">
      <c r="A679" s="55" t="s">
        <v>239</v>
      </c>
      <c r="B679" s="55">
        <v>300.0</v>
      </c>
      <c r="C679" s="55" t="s">
        <v>917</v>
      </c>
    </row>
    <row r="680">
      <c r="A680" s="55" t="s">
        <v>230</v>
      </c>
      <c r="B680" s="55">
        <v>500.0</v>
      </c>
      <c r="C680" s="55" t="s">
        <v>922</v>
      </c>
    </row>
    <row r="681" hidden="1">
      <c r="A681" s="55" t="s">
        <v>273</v>
      </c>
      <c r="B681" s="55">
        <v>143.0</v>
      </c>
      <c r="C681" s="55" t="s">
        <v>917</v>
      </c>
    </row>
    <row r="682" hidden="1">
      <c r="A682" s="55" t="s">
        <v>247</v>
      </c>
      <c r="B682" s="55">
        <v>20.0</v>
      </c>
      <c r="C682" s="55" t="s">
        <v>917</v>
      </c>
    </row>
    <row r="683" hidden="1">
      <c r="A683" s="55" t="s">
        <v>309</v>
      </c>
      <c r="B683" s="55">
        <v>200.0</v>
      </c>
      <c r="C683" s="55" t="s">
        <v>917</v>
      </c>
    </row>
    <row r="684" hidden="1">
      <c r="A684" s="55" t="s">
        <v>317</v>
      </c>
      <c r="B684" s="55">
        <v>40.0</v>
      </c>
      <c r="C684" s="55" t="s">
        <v>917</v>
      </c>
    </row>
    <row r="685" hidden="1">
      <c r="A685" s="55" t="s">
        <v>293</v>
      </c>
      <c r="B685" s="55">
        <v>17.0</v>
      </c>
      <c r="C685" s="55" t="s">
        <v>917</v>
      </c>
    </row>
    <row r="686" hidden="1">
      <c r="A686" s="55" t="s">
        <v>176</v>
      </c>
      <c r="B686" s="55">
        <v>43.0</v>
      </c>
      <c r="C686" s="55" t="s">
        <v>917</v>
      </c>
    </row>
    <row r="687">
      <c r="A687" s="55" t="s">
        <v>262</v>
      </c>
      <c r="B687" s="55">
        <v>24.0</v>
      </c>
      <c r="C687" s="55" t="s">
        <v>922</v>
      </c>
    </row>
    <row r="688" hidden="1">
      <c r="A688" s="55" t="s">
        <v>205</v>
      </c>
      <c r="B688" s="55">
        <v>118.0</v>
      </c>
      <c r="C688" s="55" t="s">
        <v>917</v>
      </c>
    </row>
    <row r="689">
      <c r="A689" s="55" t="s">
        <v>207</v>
      </c>
      <c r="B689" s="55">
        <v>120.0</v>
      </c>
      <c r="C689" s="55" t="s">
        <v>918</v>
      </c>
    </row>
    <row r="690" hidden="1">
      <c r="A690" s="55" t="s">
        <v>170</v>
      </c>
      <c r="B690" s="55">
        <v>100.0</v>
      </c>
      <c r="C690" s="55" t="s">
        <v>917</v>
      </c>
    </row>
    <row r="691">
      <c r="A691" s="55" t="s">
        <v>173</v>
      </c>
      <c r="B691" s="55">
        <v>50.0</v>
      </c>
      <c r="C691" s="55" t="s">
        <v>918</v>
      </c>
    </row>
    <row r="692" hidden="1">
      <c r="A692" s="55" t="s">
        <v>219</v>
      </c>
      <c r="B692" s="55">
        <v>40.0</v>
      </c>
      <c r="C692" s="55" t="s">
        <v>917</v>
      </c>
    </row>
    <row r="693" hidden="1">
      <c r="A693" s="55" t="s">
        <v>329</v>
      </c>
      <c r="B693" s="55">
        <v>72.0</v>
      </c>
      <c r="C693" s="55" t="s">
        <v>917</v>
      </c>
    </row>
    <row r="694">
      <c r="A694" s="55" t="s">
        <v>240</v>
      </c>
      <c r="B694" s="55">
        <v>19.0</v>
      </c>
      <c r="C694" s="55" t="s">
        <v>922</v>
      </c>
    </row>
    <row r="695" hidden="1">
      <c r="A695" s="55" t="s">
        <v>266</v>
      </c>
      <c r="B695" s="55">
        <v>20.0</v>
      </c>
      <c r="C695" s="55" t="s">
        <v>917</v>
      </c>
    </row>
    <row r="696">
      <c r="A696" s="55" t="s">
        <v>174</v>
      </c>
      <c r="B696" s="55">
        <v>10.0</v>
      </c>
      <c r="C696" s="55" t="s">
        <v>918</v>
      </c>
    </row>
    <row r="697" hidden="1">
      <c r="A697" s="55" t="s">
        <v>275</v>
      </c>
      <c r="B697" s="55">
        <v>100.0</v>
      </c>
      <c r="C697" s="55" t="s">
        <v>917</v>
      </c>
    </row>
    <row r="698">
      <c r="A698" s="55" t="s">
        <v>199</v>
      </c>
      <c r="B698" s="55">
        <v>40.0</v>
      </c>
      <c r="C698" s="55" t="s">
        <v>931</v>
      </c>
    </row>
    <row r="699" hidden="1">
      <c r="A699" s="55" t="s">
        <v>344</v>
      </c>
      <c r="B699" s="55">
        <v>60.0</v>
      </c>
      <c r="C699" s="55" t="s">
        <v>917</v>
      </c>
    </row>
    <row r="700" hidden="1">
      <c r="A700" s="55" t="s">
        <v>374</v>
      </c>
      <c r="B700" s="55">
        <v>60.0</v>
      </c>
      <c r="C700" s="55" t="s">
        <v>917</v>
      </c>
    </row>
    <row r="701" hidden="1">
      <c r="A701" s="55" t="s">
        <v>158</v>
      </c>
      <c r="B701" s="55">
        <v>30.0</v>
      </c>
      <c r="C701" s="55" t="s">
        <v>917</v>
      </c>
    </row>
    <row r="702">
      <c r="A702" s="55" t="s">
        <v>295</v>
      </c>
      <c r="B702" s="55">
        <v>48.0</v>
      </c>
      <c r="C702" s="55" t="s">
        <v>918</v>
      </c>
    </row>
    <row r="703">
      <c r="A703" s="55" t="s">
        <v>242</v>
      </c>
      <c r="B703" s="55">
        <v>30.0</v>
      </c>
      <c r="C703" s="55" t="s">
        <v>918</v>
      </c>
    </row>
    <row r="704">
      <c r="A704" s="55" t="s">
        <v>226</v>
      </c>
      <c r="B704" s="55">
        <v>20.0</v>
      </c>
      <c r="C704" s="55" t="s">
        <v>922</v>
      </c>
    </row>
    <row r="705" hidden="1">
      <c r="A705" s="55" t="s">
        <v>200</v>
      </c>
      <c r="B705" s="55">
        <v>15.0</v>
      </c>
      <c r="C705" s="55" t="s">
        <v>917</v>
      </c>
    </row>
    <row r="706" hidden="1">
      <c r="A706" s="55" t="s">
        <v>236</v>
      </c>
      <c r="B706" s="55">
        <v>144.0</v>
      </c>
      <c r="C706" s="55" t="s">
        <v>917</v>
      </c>
    </row>
    <row r="707" hidden="1">
      <c r="A707" s="55" t="s">
        <v>362</v>
      </c>
      <c r="B707" s="55">
        <v>30.0</v>
      </c>
      <c r="C707" s="55" t="s">
        <v>917</v>
      </c>
    </row>
    <row r="708" hidden="1">
      <c r="A708" s="55" t="s">
        <v>318</v>
      </c>
      <c r="B708" s="55">
        <v>15.0</v>
      </c>
      <c r="C708" s="55" t="s">
        <v>917</v>
      </c>
    </row>
    <row r="709">
      <c r="A709" s="55" t="s">
        <v>320</v>
      </c>
      <c r="B709" s="55">
        <v>15.0</v>
      </c>
      <c r="C709" s="55" t="s">
        <v>918</v>
      </c>
    </row>
    <row r="710" hidden="1">
      <c r="A710" s="55" t="s">
        <v>164</v>
      </c>
      <c r="B710" s="55">
        <v>200.0</v>
      </c>
      <c r="C710" s="55" t="s">
        <v>917</v>
      </c>
    </row>
    <row r="711">
      <c r="A711" s="55" t="s">
        <v>166</v>
      </c>
      <c r="B711" s="55">
        <v>70.0</v>
      </c>
      <c r="C711" s="55" t="s">
        <v>918</v>
      </c>
    </row>
    <row r="712" hidden="1">
      <c r="A712" s="55" t="s">
        <v>306</v>
      </c>
      <c r="B712" s="55">
        <v>41.0</v>
      </c>
      <c r="C712" s="55" t="s">
        <v>917</v>
      </c>
    </row>
    <row r="713">
      <c r="A713" s="55" t="s">
        <v>282</v>
      </c>
      <c r="B713" s="55">
        <v>100.0</v>
      </c>
      <c r="C713" s="55" t="s">
        <v>932</v>
      </c>
    </row>
    <row r="714">
      <c r="A714" s="55" t="s">
        <v>340</v>
      </c>
      <c r="B714" s="55">
        <v>70.0</v>
      </c>
      <c r="C714" s="55" t="s">
        <v>918</v>
      </c>
    </row>
    <row r="715" hidden="1">
      <c r="A715" s="55" t="s">
        <v>360</v>
      </c>
      <c r="B715" s="55">
        <v>40.0</v>
      </c>
      <c r="C715" s="55" t="s">
        <v>917</v>
      </c>
    </row>
    <row r="716">
      <c r="A716" s="55" t="s">
        <v>325</v>
      </c>
      <c r="B716" s="55">
        <v>70.0</v>
      </c>
      <c r="C716" s="55" t="s">
        <v>918</v>
      </c>
    </row>
    <row r="717" hidden="1">
      <c r="A717" s="55" t="s">
        <v>334</v>
      </c>
      <c r="B717" s="55">
        <v>72.0</v>
      </c>
      <c r="C717" s="55" t="s">
        <v>917</v>
      </c>
    </row>
    <row r="718" hidden="1">
      <c r="A718" s="55" t="s">
        <v>183</v>
      </c>
      <c r="B718" s="55">
        <v>40.0</v>
      </c>
      <c r="C718" s="55" t="s">
        <v>917</v>
      </c>
    </row>
    <row r="719">
      <c r="A719" s="55" t="s">
        <v>235</v>
      </c>
      <c r="B719" s="55">
        <v>12.0</v>
      </c>
      <c r="C719" s="55" t="s">
        <v>918</v>
      </c>
    </row>
    <row r="720" hidden="1">
      <c r="A720" s="55" t="s">
        <v>304</v>
      </c>
      <c r="B720" s="55">
        <v>10.0</v>
      </c>
      <c r="C720" s="55" t="s">
        <v>917</v>
      </c>
    </row>
    <row r="721" hidden="1">
      <c r="A721" s="55" t="s">
        <v>292</v>
      </c>
      <c r="B721" s="55">
        <v>16.0</v>
      </c>
      <c r="C721" s="55" t="s">
        <v>917</v>
      </c>
    </row>
    <row r="722" hidden="1">
      <c r="A722" s="55" t="s">
        <v>286</v>
      </c>
      <c r="B722" s="55">
        <v>37.0</v>
      </c>
      <c r="C722" s="55" t="s">
        <v>917</v>
      </c>
    </row>
    <row r="723" hidden="1">
      <c r="A723" s="55" t="s">
        <v>294</v>
      </c>
      <c r="B723" s="55">
        <v>40.0</v>
      </c>
      <c r="C723" s="55" t="s">
        <v>917</v>
      </c>
    </row>
    <row r="724" hidden="1">
      <c r="A724" s="55" t="s">
        <v>278</v>
      </c>
      <c r="B724" s="55">
        <v>20.0</v>
      </c>
      <c r="C724" s="55" t="s">
        <v>917</v>
      </c>
    </row>
    <row r="725" hidden="1">
      <c r="A725" s="55" t="s">
        <v>355</v>
      </c>
      <c r="B725" s="55">
        <v>50.0</v>
      </c>
      <c r="C725" s="55" t="s">
        <v>917</v>
      </c>
    </row>
    <row r="726" hidden="1">
      <c r="A726" s="55" t="s">
        <v>244</v>
      </c>
      <c r="B726" s="55">
        <v>30.0</v>
      </c>
      <c r="C726" s="55" t="s">
        <v>917</v>
      </c>
    </row>
    <row r="727">
      <c r="A727" s="55" t="s">
        <v>252</v>
      </c>
      <c r="B727" s="55">
        <v>288.0</v>
      </c>
      <c r="C727" s="55" t="s">
        <v>918</v>
      </c>
    </row>
    <row r="728">
      <c r="A728" s="55" t="s">
        <v>375</v>
      </c>
      <c r="B728" s="55">
        <v>70.0</v>
      </c>
      <c r="C728" s="55" t="s">
        <v>918</v>
      </c>
    </row>
    <row r="729">
      <c r="A729" s="55" t="s">
        <v>372</v>
      </c>
      <c r="B729" s="55">
        <v>144.0</v>
      </c>
      <c r="C729" s="55" t="s">
        <v>918</v>
      </c>
    </row>
    <row r="730">
      <c r="A730" s="55" t="s">
        <v>373</v>
      </c>
      <c r="B730" s="55">
        <v>144.0</v>
      </c>
      <c r="C730" s="55" t="s">
        <v>925</v>
      </c>
    </row>
    <row r="731">
      <c r="A731" s="55" t="s">
        <v>371</v>
      </c>
      <c r="B731" s="55">
        <v>144.0</v>
      </c>
      <c r="C731" s="55" t="s">
        <v>918</v>
      </c>
    </row>
    <row r="732">
      <c r="A732" s="55" t="s">
        <v>369</v>
      </c>
      <c r="B732" s="55">
        <v>60.0</v>
      </c>
      <c r="C732" s="55" t="s">
        <v>918</v>
      </c>
    </row>
    <row r="733">
      <c r="A733" s="55" t="s">
        <v>195</v>
      </c>
      <c r="B733" s="55">
        <v>26.0</v>
      </c>
      <c r="C733" s="55" t="s">
        <v>918</v>
      </c>
    </row>
    <row r="734" hidden="1">
      <c r="A734" s="55" t="s">
        <v>175</v>
      </c>
      <c r="B734" s="55">
        <v>96.0</v>
      </c>
      <c r="C734" s="55" t="s">
        <v>917</v>
      </c>
    </row>
    <row r="735" hidden="1">
      <c r="A735" s="55" t="s">
        <v>220</v>
      </c>
      <c r="B735" s="55">
        <v>96.0</v>
      </c>
      <c r="C735" s="55" t="s">
        <v>917</v>
      </c>
    </row>
    <row r="736" hidden="1">
      <c r="A736" s="55" t="s">
        <v>187</v>
      </c>
      <c r="B736" s="55">
        <v>30.0</v>
      </c>
      <c r="C736" s="55" t="s">
        <v>917</v>
      </c>
    </row>
    <row r="737" hidden="1">
      <c r="A737" s="55" t="s">
        <v>337</v>
      </c>
      <c r="B737" s="55">
        <v>20.0</v>
      </c>
      <c r="C737" s="55" t="s">
        <v>917</v>
      </c>
    </row>
    <row r="738" hidden="1">
      <c r="A738" s="55" t="s">
        <v>354</v>
      </c>
      <c r="B738" s="55">
        <v>50.0</v>
      </c>
      <c r="C738" s="55" t="s">
        <v>917</v>
      </c>
    </row>
    <row r="739" hidden="1">
      <c r="A739" s="55" t="s">
        <v>185</v>
      </c>
      <c r="B739" s="55">
        <v>120.0</v>
      </c>
      <c r="C739" s="55" t="s">
        <v>917</v>
      </c>
    </row>
    <row r="740">
      <c r="A740" s="55" t="s">
        <v>223</v>
      </c>
      <c r="B740" s="55">
        <v>144.0</v>
      </c>
      <c r="C740" s="55" t="s">
        <v>918</v>
      </c>
    </row>
    <row r="741">
      <c r="A741" s="55" t="s">
        <v>189</v>
      </c>
      <c r="B741" s="55">
        <v>40.0</v>
      </c>
      <c r="C741" s="55" t="s">
        <v>918</v>
      </c>
    </row>
    <row r="742">
      <c r="A742" s="55" t="s">
        <v>284</v>
      </c>
      <c r="B742" s="55">
        <v>5.0</v>
      </c>
      <c r="C742" s="55" t="s">
        <v>922</v>
      </c>
    </row>
    <row r="743">
      <c r="A743" s="55" t="s">
        <v>221</v>
      </c>
      <c r="B743" s="55">
        <v>9.0</v>
      </c>
      <c r="C743" s="55" t="s">
        <v>922</v>
      </c>
    </row>
    <row r="744" hidden="1">
      <c r="A744" s="55" t="s">
        <v>239</v>
      </c>
      <c r="B744" s="55">
        <v>92.0</v>
      </c>
      <c r="C744" s="55" t="s">
        <v>917</v>
      </c>
    </row>
    <row r="745">
      <c r="A745" s="55" t="s">
        <v>230</v>
      </c>
      <c r="B745" s="55">
        <v>125.0</v>
      </c>
      <c r="C745" s="55" t="s">
        <v>922</v>
      </c>
    </row>
    <row r="746" hidden="1">
      <c r="A746" s="55" t="s">
        <v>273</v>
      </c>
      <c r="B746" s="55">
        <v>60.0</v>
      </c>
      <c r="C746" s="55" t="s">
        <v>917</v>
      </c>
    </row>
    <row r="747">
      <c r="A747" s="55" t="s">
        <v>250</v>
      </c>
      <c r="B747" s="55">
        <v>20.0</v>
      </c>
      <c r="C747" s="55" t="s">
        <v>932</v>
      </c>
    </row>
    <row r="748">
      <c r="A748" s="55" t="s">
        <v>331</v>
      </c>
      <c r="B748" s="55">
        <v>30.0</v>
      </c>
      <c r="C748" s="55" t="s">
        <v>932</v>
      </c>
    </row>
    <row r="749" hidden="1">
      <c r="A749" s="55" t="s">
        <v>309</v>
      </c>
      <c r="B749" s="55">
        <v>75.0</v>
      </c>
      <c r="C749" s="55" t="s">
        <v>917</v>
      </c>
    </row>
    <row r="750" hidden="1">
      <c r="A750" s="55" t="s">
        <v>293</v>
      </c>
      <c r="B750" s="55">
        <v>20.0</v>
      </c>
      <c r="C750" s="55" t="s">
        <v>917</v>
      </c>
    </row>
    <row r="751" hidden="1">
      <c r="A751" s="55" t="s">
        <v>176</v>
      </c>
      <c r="B751" s="55">
        <v>37.0</v>
      </c>
      <c r="C751" s="55" t="s">
        <v>917</v>
      </c>
    </row>
    <row r="752">
      <c r="A752" s="55" t="s">
        <v>177</v>
      </c>
      <c r="B752" s="55">
        <v>15.0</v>
      </c>
      <c r="C752" s="55" t="s">
        <v>918</v>
      </c>
    </row>
    <row r="753">
      <c r="A753" s="55" t="s">
        <v>257</v>
      </c>
      <c r="B753" s="55">
        <v>42.0</v>
      </c>
      <c r="C753" s="55" t="s">
        <v>932</v>
      </c>
    </row>
    <row r="754" hidden="1">
      <c r="A754" s="55" t="s">
        <v>68</v>
      </c>
      <c r="B754" s="55">
        <v>2784.0</v>
      </c>
      <c r="C754" s="55" t="s">
        <v>917</v>
      </c>
    </row>
    <row r="755" hidden="1">
      <c r="A755" s="55" t="s">
        <v>67</v>
      </c>
      <c r="B755" s="55">
        <v>2784.0</v>
      </c>
      <c r="C755" s="55" t="s">
        <v>917</v>
      </c>
    </row>
    <row r="756">
      <c r="A756" s="55" t="s">
        <v>133</v>
      </c>
      <c r="B756" s="55">
        <v>30.0</v>
      </c>
      <c r="C756" s="55" t="s">
        <v>940</v>
      </c>
    </row>
    <row r="757">
      <c r="A757" s="55" t="s">
        <v>134</v>
      </c>
      <c r="B757" s="55">
        <v>100.0</v>
      </c>
      <c r="C757" s="55" t="s">
        <v>940</v>
      </c>
    </row>
    <row r="758" hidden="1">
      <c r="A758" s="55" t="s">
        <v>154</v>
      </c>
      <c r="B758" s="55">
        <v>20.0</v>
      </c>
      <c r="C758" s="55" t="s">
        <v>917</v>
      </c>
    </row>
    <row r="759" hidden="1">
      <c r="A759" s="55" t="s">
        <v>376</v>
      </c>
      <c r="B759" s="55">
        <v>50.0</v>
      </c>
      <c r="C759" s="55" t="s">
        <v>917</v>
      </c>
    </row>
    <row r="760" hidden="1">
      <c r="A760" s="55" t="s">
        <v>375</v>
      </c>
      <c r="B760" s="55">
        <v>100.0</v>
      </c>
      <c r="C760" s="55" t="s">
        <v>917</v>
      </c>
    </row>
    <row r="761" hidden="1">
      <c r="A761" s="55" t="s">
        <v>371</v>
      </c>
      <c r="B761" s="55">
        <v>100.0</v>
      </c>
      <c r="C761" s="55" t="s">
        <v>917</v>
      </c>
    </row>
    <row r="762">
      <c r="A762" s="55" t="s">
        <v>231</v>
      </c>
      <c r="B762" s="55">
        <v>50.0</v>
      </c>
      <c r="C762" s="55" t="s">
        <v>941</v>
      </c>
    </row>
    <row r="763">
      <c r="A763" s="55" t="s">
        <v>310</v>
      </c>
      <c r="B763" s="55">
        <v>50.0</v>
      </c>
      <c r="C763" s="55" t="s">
        <v>941</v>
      </c>
    </row>
    <row r="764">
      <c r="A764" s="55" t="s">
        <v>229</v>
      </c>
      <c r="B764" s="55">
        <v>30.0</v>
      </c>
      <c r="C764" s="55" t="s">
        <v>941</v>
      </c>
    </row>
    <row r="765" hidden="1">
      <c r="A765" s="55" t="s">
        <v>374</v>
      </c>
      <c r="B765" s="55">
        <v>30.0</v>
      </c>
      <c r="C765" s="55" t="s">
        <v>917</v>
      </c>
    </row>
    <row r="766" hidden="1">
      <c r="A766" s="55" t="s">
        <v>369</v>
      </c>
      <c r="B766" s="55">
        <v>50.0</v>
      </c>
      <c r="C766" s="55" t="s">
        <v>917</v>
      </c>
    </row>
    <row r="767">
      <c r="A767" s="55" t="s">
        <v>354</v>
      </c>
      <c r="B767" s="55">
        <v>20.0</v>
      </c>
      <c r="C767" s="55" t="s">
        <v>941</v>
      </c>
    </row>
    <row r="768" hidden="1">
      <c r="A768" s="55" t="s">
        <v>366</v>
      </c>
      <c r="B768" s="55">
        <v>20.0</v>
      </c>
      <c r="C768" s="55" t="s">
        <v>917</v>
      </c>
    </row>
    <row r="769" hidden="1"/>
    <row r="770" hidden="1"/>
    <row r="771">
      <c r="A771" s="316" t="s">
        <v>942</v>
      </c>
      <c r="B771" s="317"/>
      <c r="C771" s="318" t="s">
        <v>943</v>
      </c>
    </row>
    <row r="772" hidden="1">
      <c r="A772" s="55" t="s">
        <v>72</v>
      </c>
      <c r="B772" s="55">
        <v>432.0</v>
      </c>
    </row>
    <row r="773" hidden="1">
      <c r="A773" s="55" t="s">
        <v>72</v>
      </c>
      <c r="B773" s="55">
        <v>216.0</v>
      </c>
    </row>
    <row r="774" hidden="1">
      <c r="A774" s="55" t="s">
        <v>72</v>
      </c>
      <c r="B774" s="55">
        <v>216.0</v>
      </c>
    </row>
    <row r="775" hidden="1">
      <c r="A775" s="55" t="s">
        <v>72</v>
      </c>
      <c r="B775" s="55">
        <v>1296.0</v>
      </c>
    </row>
    <row r="776">
      <c r="A776" s="27" t="s">
        <v>262</v>
      </c>
      <c r="B776" s="132">
        <v>40.0</v>
      </c>
      <c r="C776" s="27" t="s">
        <v>922</v>
      </c>
    </row>
    <row r="777" hidden="1">
      <c r="A777" s="27" t="s">
        <v>376</v>
      </c>
      <c r="B777" s="132">
        <v>60.0</v>
      </c>
      <c r="C777" s="27" t="s">
        <v>917</v>
      </c>
    </row>
    <row r="778" hidden="1">
      <c r="A778" s="27" t="s">
        <v>205</v>
      </c>
      <c r="B778" s="132">
        <v>60.0</v>
      </c>
      <c r="C778" s="27" t="s">
        <v>917</v>
      </c>
    </row>
    <row r="779">
      <c r="A779" s="27" t="s">
        <v>207</v>
      </c>
      <c r="B779" s="132">
        <v>80.0</v>
      </c>
      <c r="C779" s="27" t="s">
        <v>918</v>
      </c>
    </row>
    <row r="780" hidden="1">
      <c r="A780" s="27" t="s">
        <v>170</v>
      </c>
      <c r="B780" s="132">
        <v>60.0</v>
      </c>
      <c r="C780" s="27" t="s">
        <v>917</v>
      </c>
    </row>
    <row r="781">
      <c r="A781" s="27" t="s">
        <v>173</v>
      </c>
      <c r="B781" s="132">
        <v>20.0</v>
      </c>
      <c r="C781" s="27" t="s">
        <v>918</v>
      </c>
    </row>
    <row r="782" hidden="1">
      <c r="A782" s="55" t="s">
        <v>168</v>
      </c>
      <c r="B782" s="55">
        <v>20.0</v>
      </c>
      <c r="C782" s="55" t="s">
        <v>917</v>
      </c>
    </row>
    <row r="783" hidden="1">
      <c r="A783" s="55" t="s">
        <v>329</v>
      </c>
      <c r="B783" s="55">
        <v>72.0</v>
      </c>
      <c r="C783" s="55" t="s">
        <v>917</v>
      </c>
    </row>
    <row r="784">
      <c r="A784" s="55" t="s">
        <v>289</v>
      </c>
      <c r="B784" s="55">
        <v>30.0</v>
      </c>
      <c r="C784" s="55" t="s">
        <v>918</v>
      </c>
    </row>
    <row r="785" hidden="1">
      <c r="A785" s="55" t="s">
        <v>418</v>
      </c>
      <c r="B785" s="55">
        <v>40.0</v>
      </c>
      <c r="C785" s="55" t="s">
        <v>917</v>
      </c>
    </row>
    <row r="786" hidden="1">
      <c r="A786" s="55" t="s">
        <v>266</v>
      </c>
      <c r="B786" s="55">
        <v>10.0</v>
      </c>
      <c r="C786" s="55" t="s">
        <v>917</v>
      </c>
    </row>
    <row r="787">
      <c r="A787" s="55" t="s">
        <v>174</v>
      </c>
      <c r="B787" s="55">
        <v>30.0</v>
      </c>
      <c r="C787" s="55" t="s">
        <v>918</v>
      </c>
    </row>
    <row r="788" hidden="1">
      <c r="A788" s="55" t="s">
        <v>275</v>
      </c>
      <c r="B788" s="55">
        <v>50.0</v>
      </c>
      <c r="C788" s="55" t="s">
        <v>917</v>
      </c>
    </row>
    <row r="789" hidden="1">
      <c r="A789" s="55" t="s">
        <v>290</v>
      </c>
      <c r="B789" s="55">
        <v>30.0</v>
      </c>
      <c r="C789" s="55" t="s">
        <v>917</v>
      </c>
    </row>
    <row r="790">
      <c r="A790" s="55" t="s">
        <v>199</v>
      </c>
      <c r="B790" s="55">
        <v>80.0</v>
      </c>
      <c r="C790" s="55" t="s">
        <v>931</v>
      </c>
    </row>
    <row r="791" hidden="1">
      <c r="A791" s="55" t="s">
        <v>315</v>
      </c>
      <c r="B791" s="55">
        <v>20.0</v>
      </c>
      <c r="C791" s="55" t="s">
        <v>917</v>
      </c>
    </row>
    <row r="792" hidden="1">
      <c r="A792" s="55" t="s">
        <v>344</v>
      </c>
      <c r="B792" s="55">
        <v>60.0</v>
      </c>
      <c r="C792" s="55" t="s">
        <v>917</v>
      </c>
    </row>
    <row r="793" hidden="1">
      <c r="A793" s="55" t="s">
        <v>374</v>
      </c>
      <c r="B793" s="55">
        <v>30.0</v>
      </c>
      <c r="C793" s="55" t="s">
        <v>917</v>
      </c>
    </row>
    <row r="794">
      <c r="A794" s="55" t="s">
        <v>242</v>
      </c>
      <c r="B794" s="55">
        <v>30.0</v>
      </c>
      <c r="C794" s="55" t="s">
        <v>918</v>
      </c>
    </row>
    <row r="795">
      <c r="A795" s="55" t="s">
        <v>226</v>
      </c>
      <c r="B795" s="55">
        <v>60.0</v>
      </c>
      <c r="C795" s="55" t="s">
        <v>922</v>
      </c>
    </row>
    <row r="796" hidden="1">
      <c r="A796" s="55" t="s">
        <v>200</v>
      </c>
      <c r="B796" s="55">
        <v>30.0</v>
      </c>
      <c r="C796" s="55" t="s">
        <v>917</v>
      </c>
    </row>
    <row r="797" hidden="1">
      <c r="A797" s="55" t="s">
        <v>236</v>
      </c>
      <c r="B797" s="55">
        <v>120.0</v>
      </c>
      <c r="C797" s="55" t="s">
        <v>917</v>
      </c>
    </row>
    <row r="798" hidden="1">
      <c r="A798" s="55" t="s">
        <v>318</v>
      </c>
      <c r="B798" s="55">
        <v>30.0</v>
      </c>
      <c r="C798" s="55" t="s">
        <v>917</v>
      </c>
    </row>
    <row r="799">
      <c r="A799" s="55" t="s">
        <v>320</v>
      </c>
      <c r="B799" s="55">
        <v>30.0</v>
      </c>
      <c r="C799" s="55" t="s">
        <v>918</v>
      </c>
    </row>
    <row r="800" hidden="1">
      <c r="A800" s="55" t="s">
        <v>164</v>
      </c>
      <c r="B800" s="55">
        <v>200.0</v>
      </c>
      <c r="C800" s="55" t="s">
        <v>917</v>
      </c>
    </row>
    <row r="801">
      <c r="A801" s="55" t="s">
        <v>166</v>
      </c>
      <c r="B801" s="55">
        <v>60.0</v>
      </c>
      <c r="C801" s="55" t="s">
        <v>918</v>
      </c>
    </row>
    <row r="802" hidden="1">
      <c r="A802" s="55" t="s">
        <v>167</v>
      </c>
      <c r="B802" s="55">
        <v>80.0</v>
      </c>
      <c r="C802" s="55" t="s">
        <v>917</v>
      </c>
    </row>
    <row r="803" hidden="1">
      <c r="A803" s="55" t="s">
        <v>306</v>
      </c>
      <c r="B803" s="55">
        <v>40.0</v>
      </c>
      <c r="C803" s="55" t="s">
        <v>917</v>
      </c>
    </row>
    <row r="804">
      <c r="A804" s="55" t="s">
        <v>340</v>
      </c>
      <c r="B804" s="55">
        <v>30.0</v>
      </c>
      <c r="C804" s="55" t="s">
        <v>918</v>
      </c>
    </row>
    <row r="805" hidden="1">
      <c r="A805" s="55" t="s">
        <v>162</v>
      </c>
      <c r="B805" s="55">
        <v>30.0</v>
      </c>
      <c r="C805" s="55" t="s">
        <v>917</v>
      </c>
    </row>
    <row r="806">
      <c r="A806" s="55" t="s">
        <v>325</v>
      </c>
      <c r="B806" s="55">
        <v>40.0</v>
      </c>
      <c r="C806" s="55" t="s">
        <v>918</v>
      </c>
    </row>
    <row r="807" hidden="1">
      <c r="A807" s="55" t="s">
        <v>334</v>
      </c>
      <c r="B807" s="55">
        <v>48.0</v>
      </c>
      <c r="C807" s="55" t="s">
        <v>917</v>
      </c>
    </row>
    <row r="808">
      <c r="A808" s="55" t="s">
        <v>370</v>
      </c>
      <c r="B808" s="55">
        <v>30.0</v>
      </c>
      <c r="C808" s="55" t="s">
        <v>918</v>
      </c>
    </row>
    <row r="809">
      <c r="A809" s="55" t="s">
        <v>235</v>
      </c>
      <c r="B809" s="55">
        <v>30.0</v>
      </c>
      <c r="C809" s="55" t="s">
        <v>918</v>
      </c>
    </row>
    <row r="810">
      <c r="A810" s="55" t="s">
        <v>228</v>
      </c>
      <c r="B810" s="55">
        <v>60.0</v>
      </c>
      <c r="C810" s="55" t="s">
        <v>922</v>
      </c>
    </row>
    <row r="811">
      <c r="A811" s="55" t="s">
        <v>241</v>
      </c>
      <c r="B811" s="55">
        <v>144.0</v>
      </c>
      <c r="C811" s="55" t="s">
        <v>918</v>
      </c>
    </row>
    <row r="812" hidden="1">
      <c r="A812" s="55" t="s">
        <v>292</v>
      </c>
      <c r="B812" s="55">
        <v>30.0</v>
      </c>
      <c r="C812" s="55" t="s">
        <v>917</v>
      </c>
    </row>
    <row r="813" hidden="1">
      <c r="A813" s="55" t="s">
        <v>286</v>
      </c>
      <c r="B813" s="55">
        <v>40.0</v>
      </c>
      <c r="C813" s="55" t="s">
        <v>917</v>
      </c>
    </row>
    <row r="814" hidden="1">
      <c r="A814" s="55" t="s">
        <v>294</v>
      </c>
      <c r="B814" s="55">
        <v>20.0</v>
      </c>
      <c r="C814" s="55" t="s">
        <v>917</v>
      </c>
    </row>
    <row r="815" hidden="1">
      <c r="A815" s="55" t="s">
        <v>353</v>
      </c>
      <c r="B815" s="55">
        <v>20.0</v>
      </c>
      <c r="C815" s="55" t="s">
        <v>917</v>
      </c>
    </row>
    <row r="816" hidden="1">
      <c r="A816" s="55" t="s">
        <v>355</v>
      </c>
      <c r="B816" s="55">
        <v>60.0</v>
      </c>
      <c r="C816" s="55" t="s">
        <v>917</v>
      </c>
    </row>
    <row r="817">
      <c r="A817" s="55" t="s">
        <v>251</v>
      </c>
      <c r="B817" s="55">
        <v>10.0</v>
      </c>
      <c r="C817" s="55" t="s">
        <v>922</v>
      </c>
    </row>
    <row r="818">
      <c r="A818" s="27" t="s">
        <v>252</v>
      </c>
      <c r="B818" s="132">
        <v>432.0</v>
      </c>
      <c r="C818" s="27" t="s">
        <v>918</v>
      </c>
    </row>
    <row r="819">
      <c r="A819" s="27" t="s">
        <v>375</v>
      </c>
      <c r="B819" s="132">
        <v>60.0</v>
      </c>
      <c r="C819" s="27" t="s">
        <v>918</v>
      </c>
    </row>
    <row r="820">
      <c r="A820" s="55" t="s">
        <v>372</v>
      </c>
      <c r="B820" s="55">
        <v>60.0</v>
      </c>
      <c r="C820" s="55" t="s">
        <v>918</v>
      </c>
    </row>
    <row r="821">
      <c r="A821" s="55" t="s">
        <v>373</v>
      </c>
      <c r="B821" s="55">
        <v>60.0</v>
      </c>
      <c r="C821" s="55" t="s">
        <v>925</v>
      </c>
    </row>
    <row r="822">
      <c r="A822" s="55" t="s">
        <v>371</v>
      </c>
      <c r="B822" s="55">
        <v>60.0</v>
      </c>
      <c r="C822" s="55" t="s">
        <v>918</v>
      </c>
    </row>
    <row r="823" hidden="1">
      <c r="A823" s="55" t="s">
        <v>201</v>
      </c>
      <c r="B823" s="55">
        <v>40.0</v>
      </c>
      <c r="C823" s="55" t="s">
        <v>917</v>
      </c>
    </row>
    <row r="824" hidden="1">
      <c r="A824" s="55" t="s">
        <v>175</v>
      </c>
      <c r="B824" s="55">
        <v>48.0</v>
      </c>
      <c r="C824" s="55" t="s">
        <v>917</v>
      </c>
    </row>
    <row r="825" hidden="1">
      <c r="A825" s="27" t="s">
        <v>220</v>
      </c>
      <c r="B825" s="132">
        <v>48.0</v>
      </c>
      <c r="C825" s="27" t="s">
        <v>917</v>
      </c>
    </row>
    <row r="826" hidden="1">
      <c r="A826" s="27" t="s">
        <v>354</v>
      </c>
      <c r="B826" s="132">
        <v>30.0</v>
      </c>
      <c r="C826" s="27" t="s">
        <v>917</v>
      </c>
    </row>
    <row r="827" hidden="1">
      <c r="A827" s="55" t="s">
        <v>185</v>
      </c>
      <c r="B827" s="55">
        <v>50.0</v>
      </c>
      <c r="C827" s="55" t="s">
        <v>917</v>
      </c>
    </row>
    <row r="828" hidden="1">
      <c r="A828" s="55" t="s">
        <v>245</v>
      </c>
      <c r="B828" s="55">
        <v>20.0</v>
      </c>
      <c r="C828" s="55" t="s">
        <v>917</v>
      </c>
    </row>
    <row r="829">
      <c r="A829" s="55" t="s">
        <v>223</v>
      </c>
      <c r="B829" s="55">
        <v>30.0</v>
      </c>
      <c r="C829" s="55" t="s">
        <v>918</v>
      </c>
    </row>
    <row r="830">
      <c r="A830" s="55" t="s">
        <v>321</v>
      </c>
      <c r="B830" s="55">
        <v>10.0</v>
      </c>
      <c r="C830" s="55" t="s">
        <v>932</v>
      </c>
    </row>
    <row r="831">
      <c r="A831" s="55" t="s">
        <v>284</v>
      </c>
      <c r="B831" s="55">
        <v>30.0</v>
      </c>
      <c r="C831" s="55" t="s">
        <v>922</v>
      </c>
    </row>
    <row r="832">
      <c r="A832" s="55" t="s">
        <v>221</v>
      </c>
      <c r="B832" s="55">
        <v>30.0</v>
      </c>
      <c r="C832" s="55" t="s">
        <v>922</v>
      </c>
    </row>
    <row r="833" hidden="1">
      <c r="A833" s="55" t="s">
        <v>239</v>
      </c>
      <c r="B833" s="55">
        <v>100.0</v>
      </c>
      <c r="C833" s="55" t="s">
        <v>917</v>
      </c>
    </row>
    <row r="834">
      <c r="A834" s="55" t="s">
        <v>230</v>
      </c>
      <c r="B834" s="55">
        <v>300.0</v>
      </c>
      <c r="C834" s="55" t="s">
        <v>922</v>
      </c>
    </row>
    <row r="835">
      <c r="A835" s="55" t="s">
        <v>231</v>
      </c>
      <c r="B835" s="55">
        <v>20.0</v>
      </c>
      <c r="C835" s="55" t="s">
        <v>918</v>
      </c>
    </row>
    <row r="836" hidden="1">
      <c r="A836" s="55" t="s">
        <v>273</v>
      </c>
      <c r="B836" s="55">
        <v>80.0</v>
      </c>
      <c r="C836" s="55" t="s">
        <v>917</v>
      </c>
    </row>
    <row r="837">
      <c r="A837" s="55" t="s">
        <v>248</v>
      </c>
      <c r="B837" s="55">
        <v>40.0</v>
      </c>
      <c r="C837" s="55" t="s">
        <v>918</v>
      </c>
    </row>
    <row r="838" hidden="1">
      <c r="A838" s="27" t="s">
        <v>247</v>
      </c>
      <c r="B838" s="132">
        <v>30.0</v>
      </c>
      <c r="C838" s="27" t="s">
        <v>917</v>
      </c>
    </row>
    <row r="839" hidden="1">
      <c r="A839" s="55" t="s">
        <v>309</v>
      </c>
      <c r="B839" s="55">
        <v>60.0</v>
      </c>
      <c r="C839" s="55" t="s">
        <v>917</v>
      </c>
    </row>
    <row r="840" hidden="1">
      <c r="A840" s="55" t="s">
        <v>293</v>
      </c>
      <c r="B840" s="55">
        <v>20.0</v>
      </c>
      <c r="C840" s="55" t="s">
        <v>917</v>
      </c>
    </row>
    <row r="841" hidden="1">
      <c r="A841" s="27" t="s">
        <v>176</v>
      </c>
      <c r="B841" s="132">
        <v>30.0</v>
      </c>
      <c r="C841" s="27" t="s">
        <v>917</v>
      </c>
    </row>
    <row r="842">
      <c r="A842" s="55" t="s">
        <v>177</v>
      </c>
      <c r="B842" s="55">
        <v>20.0</v>
      </c>
      <c r="C842" s="55" t="s">
        <v>918</v>
      </c>
    </row>
    <row r="843">
      <c r="A843" s="55" t="s">
        <v>257</v>
      </c>
      <c r="B843" s="55">
        <v>10.0</v>
      </c>
      <c r="C843" s="55" t="s">
        <v>932</v>
      </c>
    </row>
    <row r="844" hidden="1">
      <c r="A844" s="27" t="s">
        <v>117</v>
      </c>
      <c r="B844" s="132">
        <v>20.0</v>
      </c>
      <c r="C844" s="27" t="s">
        <v>917</v>
      </c>
    </row>
    <row r="845" hidden="1">
      <c r="A845" s="55" t="s">
        <v>68</v>
      </c>
      <c r="B845" s="55">
        <v>30.0</v>
      </c>
      <c r="C845" s="55" t="s">
        <v>917</v>
      </c>
    </row>
    <row r="846" hidden="1">
      <c r="A846" s="27" t="s">
        <v>65</v>
      </c>
      <c r="B846" s="132">
        <v>20.0</v>
      </c>
      <c r="C846" s="27" t="s">
        <v>917</v>
      </c>
    </row>
    <row r="847" hidden="1">
      <c r="A847" s="55" t="s">
        <v>64</v>
      </c>
      <c r="B847" s="55">
        <v>40.0</v>
      </c>
      <c r="C847" s="55" t="s">
        <v>917</v>
      </c>
    </row>
    <row r="848" hidden="1">
      <c r="A848" s="55" t="s">
        <v>33</v>
      </c>
      <c r="B848" s="55">
        <v>40.0</v>
      </c>
      <c r="C848" s="55" t="s">
        <v>917</v>
      </c>
    </row>
    <row r="849" hidden="1">
      <c r="A849" s="55" t="s">
        <v>23</v>
      </c>
      <c r="B849" s="55">
        <v>100.0</v>
      </c>
      <c r="C849" s="55" t="s">
        <v>917</v>
      </c>
    </row>
    <row r="850" hidden="1">
      <c r="A850" s="55" t="s">
        <v>98</v>
      </c>
      <c r="B850" s="55">
        <v>20.0</v>
      </c>
      <c r="C850" s="55" t="s">
        <v>917</v>
      </c>
    </row>
    <row r="851" hidden="1">
      <c r="A851" s="55" t="s">
        <v>99</v>
      </c>
      <c r="B851" s="55">
        <v>20.0</v>
      </c>
      <c r="C851" s="55" t="s">
        <v>917</v>
      </c>
    </row>
    <row r="852" hidden="1">
      <c r="A852" s="55" t="s">
        <v>141</v>
      </c>
      <c r="B852" s="55">
        <v>40.0</v>
      </c>
    </row>
    <row r="853" hidden="1">
      <c r="A853" s="27" t="s">
        <v>152</v>
      </c>
      <c r="B853" s="132">
        <v>40.0</v>
      </c>
      <c r="C853" s="314" t="s">
        <v>917</v>
      </c>
    </row>
    <row r="854" hidden="1">
      <c r="A854" s="55" t="s">
        <v>59</v>
      </c>
      <c r="B854" s="55">
        <v>7.0</v>
      </c>
      <c r="C854" s="55" t="s">
        <v>917</v>
      </c>
    </row>
    <row r="855" hidden="1">
      <c r="A855" s="55" t="s">
        <v>153</v>
      </c>
      <c r="B855" s="55">
        <v>160.0</v>
      </c>
      <c r="C855" s="55" t="s">
        <v>917</v>
      </c>
    </row>
    <row r="856" hidden="1">
      <c r="A856" s="55" t="s">
        <v>151</v>
      </c>
      <c r="B856" s="55">
        <v>40.0</v>
      </c>
      <c r="C856" s="55" t="s">
        <v>917</v>
      </c>
    </row>
    <row r="857" hidden="1">
      <c r="A857" s="27" t="s">
        <v>139</v>
      </c>
      <c r="B857" s="132">
        <v>60.0</v>
      </c>
      <c r="C857" s="27"/>
    </row>
    <row r="858" hidden="1">
      <c r="A858" s="55" t="s">
        <v>154</v>
      </c>
      <c r="B858" s="55">
        <v>300.0</v>
      </c>
      <c r="C858" s="55" t="s">
        <v>917</v>
      </c>
    </row>
    <row r="859" hidden="1">
      <c r="A859" s="27" t="s">
        <v>55</v>
      </c>
      <c r="B859" s="132">
        <v>211.0</v>
      </c>
      <c r="C859" s="27" t="s">
        <v>917</v>
      </c>
    </row>
    <row r="860" hidden="1">
      <c r="A860" s="55" t="s">
        <v>90</v>
      </c>
      <c r="B860" s="55">
        <v>33.0</v>
      </c>
      <c r="C860" s="55" t="s">
        <v>917</v>
      </c>
    </row>
    <row r="861" hidden="1">
      <c r="A861" s="55" t="s">
        <v>149</v>
      </c>
      <c r="B861" s="55">
        <v>160.0</v>
      </c>
      <c r="C861" s="55" t="s">
        <v>917</v>
      </c>
    </row>
    <row r="862">
      <c r="A862" s="55" t="s">
        <v>42</v>
      </c>
      <c r="B862" s="55">
        <v>118.0</v>
      </c>
      <c r="C862" s="55" t="s">
        <v>918</v>
      </c>
    </row>
    <row r="863">
      <c r="A863" s="55" t="s">
        <v>144</v>
      </c>
      <c r="B863" s="55">
        <v>80.0</v>
      </c>
      <c r="C863" s="55" t="s">
        <v>930</v>
      </c>
    </row>
    <row r="864" hidden="1">
      <c r="A864" s="55" t="s">
        <v>129</v>
      </c>
      <c r="B864" s="55">
        <v>60.0</v>
      </c>
      <c r="C864" s="55" t="s">
        <v>917</v>
      </c>
    </row>
    <row r="865">
      <c r="A865" s="27" t="s">
        <v>70</v>
      </c>
      <c r="B865" s="132">
        <v>78.0</v>
      </c>
      <c r="C865" s="27" t="s">
        <v>918</v>
      </c>
    </row>
    <row r="866">
      <c r="A866" s="27" t="s">
        <v>134</v>
      </c>
      <c r="B866" s="132">
        <v>450.0</v>
      </c>
      <c r="C866" s="27" t="s">
        <v>939</v>
      </c>
    </row>
    <row r="867">
      <c r="A867" s="55" t="s">
        <v>133</v>
      </c>
      <c r="B867" s="55">
        <v>100.0</v>
      </c>
      <c r="C867" s="55" t="s">
        <v>919</v>
      </c>
    </row>
    <row r="868" hidden="1">
      <c r="A868" s="55" t="s">
        <v>147</v>
      </c>
      <c r="B868" s="55">
        <v>120.0</v>
      </c>
      <c r="C868" s="55" t="s">
        <v>917</v>
      </c>
    </row>
    <row r="869">
      <c r="A869" s="27" t="s">
        <v>131</v>
      </c>
      <c r="B869" s="132">
        <v>288.0</v>
      </c>
      <c r="C869" s="27" t="s">
        <v>918</v>
      </c>
    </row>
    <row r="870" hidden="1">
      <c r="A870" s="27" t="s">
        <v>92</v>
      </c>
      <c r="B870" s="132">
        <v>56.0</v>
      </c>
      <c r="C870" s="27" t="s">
        <v>917</v>
      </c>
    </row>
    <row r="871" hidden="1">
      <c r="A871" s="55" t="s">
        <v>405</v>
      </c>
      <c r="B871" s="55">
        <v>30.0</v>
      </c>
      <c r="C871" s="55" t="s">
        <v>917</v>
      </c>
    </row>
    <row r="872" hidden="1">
      <c r="A872" s="27" t="s">
        <v>15</v>
      </c>
      <c r="B872" s="132">
        <v>104.0</v>
      </c>
      <c r="C872" s="27" t="s">
        <v>917</v>
      </c>
    </row>
    <row r="873" hidden="1">
      <c r="A873" s="27" t="s">
        <v>17</v>
      </c>
      <c r="B873" s="132">
        <v>50.0</v>
      </c>
      <c r="C873" s="27" t="s">
        <v>917</v>
      </c>
    </row>
    <row r="874" hidden="1">
      <c r="A874" s="55" t="s">
        <v>77</v>
      </c>
      <c r="B874" s="55">
        <v>72.0</v>
      </c>
      <c r="C874" s="55" t="s">
        <v>917</v>
      </c>
    </row>
    <row r="875">
      <c r="A875" s="55" t="s">
        <v>61</v>
      </c>
      <c r="B875" s="55">
        <v>50.0</v>
      </c>
      <c r="C875" s="55" t="s">
        <v>918</v>
      </c>
    </row>
    <row r="876">
      <c r="A876" s="55" t="s">
        <v>116</v>
      </c>
      <c r="B876" s="55">
        <v>30.0</v>
      </c>
      <c r="C876" s="55" t="s">
        <v>919</v>
      </c>
    </row>
    <row r="877" hidden="1">
      <c r="A877" s="55" t="s">
        <v>32</v>
      </c>
      <c r="B877" s="55">
        <v>30.0</v>
      </c>
      <c r="C877" s="55" t="s">
        <v>917</v>
      </c>
    </row>
    <row r="878" hidden="1">
      <c r="A878" s="55" t="s">
        <v>52</v>
      </c>
      <c r="B878" s="55">
        <v>15.0</v>
      </c>
      <c r="C878" s="55" t="s">
        <v>917</v>
      </c>
    </row>
    <row r="879" hidden="1">
      <c r="A879" s="55" t="s">
        <v>403</v>
      </c>
      <c r="B879" s="55">
        <v>30.0</v>
      </c>
      <c r="C879" s="55" t="s">
        <v>917</v>
      </c>
    </row>
    <row r="880" hidden="1">
      <c r="A880" s="27" t="s">
        <v>110</v>
      </c>
      <c r="B880" s="132">
        <v>30.0</v>
      </c>
      <c r="C880" s="27" t="s">
        <v>917</v>
      </c>
    </row>
    <row r="881" hidden="1">
      <c r="A881" s="27" t="s">
        <v>102</v>
      </c>
      <c r="B881" s="132">
        <v>164.0</v>
      </c>
      <c r="C881" s="27" t="s">
        <v>917</v>
      </c>
    </row>
    <row r="882" hidden="1">
      <c r="A882" s="27" t="s">
        <v>33</v>
      </c>
      <c r="B882" s="132">
        <v>100.0</v>
      </c>
      <c r="C882" s="27" t="s">
        <v>917</v>
      </c>
    </row>
    <row r="883" hidden="1">
      <c r="A883" s="27" t="s">
        <v>54</v>
      </c>
      <c r="B883" s="132">
        <v>20.0</v>
      </c>
      <c r="C883" s="27" t="s">
        <v>917</v>
      </c>
    </row>
    <row r="884" hidden="1">
      <c r="A884" s="27" t="s">
        <v>82</v>
      </c>
      <c r="B884" s="132">
        <v>40.0</v>
      </c>
      <c r="C884" s="27" t="s">
        <v>917</v>
      </c>
    </row>
    <row r="885" hidden="1">
      <c r="A885" s="55" t="s">
        <v>100</v>
      </c>
      <c r="B885" s="55">
        <v>60.0</v>
      </c>
      <c r="C885" s="55" t="s">
        <v>917</v>
      </c>
    </row>
    <row r="886" hidden="1">
      <c r="A886" s="55" t="s">
        <v>64</v>
      </c>
      <c r="B886" s="55">
        <v>24.0</v>
      </c>
      <c r="C886" s="55" t="s">
        <v>917</v>
      </c>
    </row>
    <row r="887" hidden="1">
      <c r="A887" s="55" t="s">
        <v>68</v>
      </c>
      <c r="B887" s="55">
        <v>150.0</v>
      </c>
      <c r="C887" s="55" t="s">
        <v>917</v>
      </c>
    </row>
    <row r="888" hidden="1">
      <c r="A888" s="55" t="s">
        <v>23</v>
      </c>
      <c r="B888" s="55">
        <v>96.0</v>
      </c>
      <c r="C888" s="55" t="s">
        <v>917</v>
      </c>
    </row>
    <row r="889">
      <c r="A889" s="55" t="s">
        <v>25</v>
      </c>
      <c r="B889" s="55">
        <v>33.0</v>
      </c>
      <c r="C889" s="55" t="s">
        <v>918</v>
      </c>
    </row>
    <row r="890">
      <c r="A890" s="55" t="s">
        <v>53</v>
      </c>
      <c r="B890" s="55">
        <v>30.0</v>
      </c>
      <c r="C890" s="55" t="s">
        <v>938</v>
      </c>
    </row>
    <row r="891" hidden="1">
      <c r="A891" s="55" t="s">
        <v>97</v>
      </c>
      <c r="B891" s="55">
        <v>60.0</v>
      </c>
      <c r="C891" s="55" t="s">
        <v>917</v>
      </c>
    </row>
    <row r="892" hidden="1">
      <c r="A892" s="55" t="s">
        <v>112</v>
      </c>
      <c r="B892" s="55">
        <v>20.0</v>
      </c>
      <c r="C892" s="55" t="s">
        <v>917</v>
      </c>
    </row>
    <row r="893">
      <c r="A893" s="27" t="s">
        <v>74</v>
      </c>
      <c r="B893" s="132">
        <v>120.0</v>
      </c>
      <c r="C893" s="27" t="s">
        <v>929</v>
      </c>
    </row>
    <row r="894" hidden="1">
      <c r="A894" s="55" t="s">
        <v>399</v>
      </c>
      <c r="B894" s="55">
        <v>30.0</v>
      </c>
      <c r="C894" s="55" t="s">
        <v>917</v>
      </c>
    </row>
    <row r="895" hidden="1">
      <c r="A895" s="27" t="s">
        <v>65</v>
      </c>
      <c r="B895" s="132">
        <v>50.0</v>
      </c>
      <c r="C895" s="27" t="s">
        <v>917</v>
      </c>
    </row>
    <row r="896">
      <c r="A896" s="27" t="s">
        <v>115</v>
      </c>
      <c r="B896" s="132">
        <v>430.0</v>
      </c>
      <c r="C896" s="27" t="s">
        <v>918</v>
      </c>
    </row>
    <row r="897">
      <c r="A897" s="27" t="s">
        <v>69</v>
      </c>
      <c r="B897" s="132">
        <v>11.0</v>
      </c>
      <c r="C897" s="27" t="s">
        <v>918</v>
      </c>
    </row>
    <row r="898" hidden="1">
      <c r="A898" s="55" t="s">
        <v>119</v>
      </c>
      <c r="B898" s="55">
        <v>144.0</v>
      </c>
      <c r="C898" s="55" t="s">
        <v>917</v>
      </c>
    </row>
    <row r="899" hidden="1">
      <c r="A899" s="55" t="s">
        <v>84</v>
      </c>
      <c r="B899" s="55">
        <v>20.0</v>
      </c>
      <c r="C899" s="55" t="s">
        <v>917</v>
      </c>
    </row>
    <row r="900" hidden="1">
      <c r="A900" s="55" t="s">
        <v>109</v>
      </c>
      <c r="B900" s="55">
        <v>24.0</v>
      </c>
      <c r="C900" s="55" t="s">
        <v>917</v>
      </c>
    </row>
    <row r="901" hidden="1">
      <c r="A901" s="55" t="s">
        <v>67</v>
      </c>
      <c r="B901" s="55">
        <v>400.0</v>
      </c>
      <c r="C901" s="55" t="s">
        <v>917</v>
      </c>
    </row>
    <row r="902" hidden="1">
      <c r="A902" s="55" t="s">
        <v>86</v>
      </c>
      <c r="B902" s="55">
        <v>120.0</v>
      </c>
      <c r="C902" s="55" t="s">
        <v>917</v>
      </c>
    </row>
    <row r="903" hidden="1">
      <c r="A903" s="55" t="s">
        <v>68</v>
      </c>
      <c r="B903" s="55">
        <v>1160.0</v>
      </c>
      <c r="C903" s="55" t="s">
        <v>917</v>
      </c>
    </row>
    <row r="904" hidden="1">
      <c r="A904" s="27" t="s">
        <v>67</v>
      </c>
      <c r="B904" s="132">
        <v>2320.0</v>
      </c>
      <c r="C904" s="27" t="s">
        <v>917</v>
      </c>
    </row>
    <row r="905">
      <c r="A905" s="55" t="s">
        <v>129</v>
      </c>
      <c r="B905" s="55">
        <v>432.0</v>
      </c>
      <c r="C905" s="55" t="s">
        <v>918</v>
      </c>
    </row>
    <row r="906">
      <c r="A906" s="55" t="s">
        <v>115</v>
      </c>
      <c r="B906" s="55">
        <v>144.0</v>
      </c>
      <c r="C906" s="55" t="s">
        <v>918</v>
      </c>
    </row>
    <row r="907">
      <c r="A907" s="27" t="s">
        <v>59</v>
      </c>
      <c r="B907" s="132">
        <v>200.0</v>
      </c>
      <c r="C907" s="27" t="s">
        <v>918</v>
      </c>
    </row>
    <row r="908" hidden="1">
      <c r="A908" s="55" t="s">
        <v>72</v>
      </c>
      <c r="B908" s="55">
        <v>216.0</v>
      </c>
      <c r="C908" s="55" t="s">
        <v>917</v>
      </c>
    </row>
    <row r="909">
      <c r="A909" s="55" t="s">
        <v>154</v>
      </c>
      <c r="B909" s="55">
        <v>432.0</v>
      </c>
      <c r="C909" s="55" t="s">
        <v>918</v>
      </c>
    </row>
    <row r="910">
      <c r="A910" s="55" t="s">
        <v>42</v>
      </c>
      <c r="B910" s="55">
        <v>960.0</v>
      </c>
      <c r="C910" s="55" t="s">
        <v>918</v>
      </c>
    </row>
    <row r="911">
      <c r="A911" s="55" t="s">
        <v>129</v>
      </c>
      <c r="B911" s="55">
        <v>864.0</v>
      </c>
      <c r="C911" s="55" t="s">
        <v>918</v>
      </c>
    </row>
    <row r="912">
      <c r="A912" s="55" t="s">
        <v>134</v>
      </c>
      <c r="B912" s="55">
        <v>800.0</v>
      </c>
      <c r="C912" s="55" t="s">
        <v>919</v>
      </c>
    </row>
    <row r="913" hidden="1">
      <c r="A913" s="55" t="s">
        <v>405</v>
      </c>
      <c r="B913" s="55">
        <v>200.0</v>
      </c>
      <c r="C913" s="55" t="s">
        <v>917</v>
      </c>
    </row>
    <row r="914" hidden="1">
      <c r="A914" s="27" t="s">
        <v>15</v>
      </c>
      <c r="B914" s="132">
        <v>104.0</v>
      </c>
      <c r="C914" s="27" t="s">
        <v>917</v>
      </c>
    </row>
    <row r="915">
      <c r="A915" s="27" t="s">
        <v>116</v>
      </c>
      <c r="B915" s="132">
        <v>200.0</v>
      </c>
      <c r="C915" s="27" t="s">
        <v>919</v>
      </c>
    </row>
    <row r="916">
      <c r="A916" s="27" t="s">
        <v>102</v>
      </c>
      <c r="B916" s="132">
        <v>256.0</v>
      </c>
      <c r="C916" s="27" t="s">
        <v>918</v>
      </c>
    </row>
    <row r="917" hidden="1">
      <c r="A917" s="27" t="s">
        <v>68</v>
      </c>
      <c r="B917" s="132">
        <v>812.0</v>
      </c>
      <c r="C917" s="27" t="s">
        <v>917</v>
      </c>
    </row>
    <row r="918" hidden="1">
      <c r="A918" s="27" t="s">
        <v>23</v>
      </c>
      <c r="B918" s="132">
        <v>348.0</v>
      </c>
      <c r="C918" s="27" t="s">
        <v>917</v>
      </c>
    </row>
    <row r="919" hidden="1">
      <c r="A919" s="27" t="s">
        <v>109</v>
      </c>
      <c r="B919" s="132">
        <v>48.0</v>
      </c>
      <c r="C919" s="27" t="s">
        <v>917</v>
      </c>
    </row>
    <row r="920" hidden="1">
      <c r="A920" s="27" t="s">
        <v>89</v>
      </c>
      <c r="B920" s="132">
        <v>120.0</v>
      </c>
      <c r="C920" s="27" t="s">
        <v>917</v>
      </c>
    </row>
    <row r="921" hidden="1">
      <c r="A921" s="27" t="s">
        <v>67</v>
      </c>
      <c r="B921" s="132">
        <v>2784.0</v>
      </c>
      <c r="C921" s="27" t="s">
        <v>917</v>
      </c>
    </row>
    <row r="922" hidden="1">
      <c r="A922" s="55" t="s">
        <v>86</v>
      </c>
      <c r="B922" s="55">
        <v>200.0</v>
      </c>
      <c r="C922" s="55" t="s">
        <v>917</v>
      </c>
    </row>
    <row r="923" hidden="1">
      <c r="A923" s="55" t="s">
        <v>51</v>
      </c>
      <c r="B923" s="55">
        <v>82.0</v>
      </c>
      <c r="C923" s="55" t="s">
        <v>917</v>
      </c>
    </row>
    <row r="924" hidden="1">
      <c r="A924" s="27" t="s">
        <v>141</v>
      </c>
      <c r="B924" s="132">
        <v>100.0</v>
      </c>
      <c r="C924" s="27"/>
    </row>
    <row r="925" hidden="1">
      <c r="A925" s="55" t="s">
        <v>152</v>
      </c>
      <c r="B925" s="55">
        <v>40.0</v>
      </c>
      <c r="C925" s="55" t="s">
        <v>917</v>
      </c>
    </row>
    <row r="926" hidden="1">
      <c r="A926" s="55" t="s">
        <v>59</v>
      </c>
      <c r="B926" s="55">
        <v>10.0</v>
      </c>
      <c r="C926" s="55" t="s">
        <v>917</v>
      </c>
    </row>
    <row r="927" hidden="1">
      <c r="A927" s="55" t="s">
        <v>90</v>
      </c>
      <c r="B927" s="55">
        <v>72.0</v>
      </c>
      <c r="C927" s="55" t="s">
        <v>917</v>
      </c>
    </row>
    <row r="928">
      <c r="A928" s="27" t="s">
        <v>42</v>
      </c>
      <c r="B928" s="132">
        <v>120.0</v>
      </c>
      <c r="C928" s="27" t="s">
        <v>918</v>
      </c>
    </row>
    <row r="929">
      <c r="A929" s="55" t="s">
        <v>144</v>
      </c>
      <c r="B929" s="55">
        <v>80.0</v>
      </c>
      <c r="C929" s="55" t="s">
        <v>930</v>
      </c>
    </row>
    <row r="930" hidden="1">
      <c r="A930" s="55" t="s">
        <v>129</v>
      </c>
      <c r="B930" s="55">
        <v>200.0</v>
      </c>
      <c r="C930" s="55" t="s">
        <v>917</v>
      </c>
    </row>
    <row r="931">
      <c r="A931" s="27" t="s">
        <v>70</v>
      </c>
      <c r="B931" s="132">
        <v>200.0</v>
      </c>
      <c r="C931" s="27" t="s">
        <v>918</v>
      </c>
    </row>
    <row r="932">
      <c r="A932" s="55" t="s">
        <v>134</v>
      </c>
      <c r="B932" s="55">
        <v>250.0</v>
      </c>
      <c r="C932" s="55" t="s">
        <v>939</v>
      </c>
    </row>
    <row r="933">
      <c r="A933" s="55" t="s">
        <v>133</v>
      </c>
      <c r="B933" s="55">
        <v>60.0</v>
      </c>
      <c r="C933" s="55" t="s">
        <v>939</v>
      </c>
    </row>
    <row r="934" hidden="1">
      <c r="A934" s="55" t="s">
        <v>57</v>
      </c>
      <c r="B934" s="55">
        <v>12.0</v>
      </c>
      <c r="C934" s="55" t="s">
        <v>917</v>
      </c>
    </row>
    <row r="935" hidden="1">
      <c r="A935" s="55" t="s">
        <v>147</v>
      </c>
      <c r="B935" s="55">
        <v>120.0</v>
      </c>
      <c r="C935" s="55" t="s">
        <v>917</v>
      </c>
    </row>
    <row r="936" hidden="1">
      <c r="A936" s="27" t="s">
        <v>58</v>
      </c>
      <c r="B936" s="132">
        <v>50.0</v>
      </c>
      <c r="C936" s="314" t="s">
        <v>917</v>
      </c>
    </row>
    <row r="937">
      <c r="A937" s="27" t="s">
        <v>131</v>
      </c>
      <c r="B937" s="132">
        <v>288.0</v>
      </c>
      <c r="C937" s="27" t="s">
        <v>918</v>
      </c>
    </row>
    <row r="938" hidden="1">
      <c r="A938" s="27" t="s">
        <v>92</v>
      </c>
      <c r="B938" s="132">
        <v>20.0</v>
      </c>
      <c r="C938" s="27" t="s">
        <v>917</v>
      </c>
    </row>
    <row r="939" hidden="1">
      <c r="A939" s="27" t="s">
        <v>15</v>
      </c>
      <c r="B939" s="132">
        <v>104.0</v>
      </c>
      <c r="C939" s="27" t="s">
        <v>917</v>
      </c>
    </row>
    <row r="940" hidden="1">
      <c r="A940" s="55" t="s">
        <v>77</v>
      </c>
      <c r="B940" s="55">
        <v>50.0</v>
      </c>
      <c r="C940" s="55" t="s">
        <v>917</v>
      </c>
    </row>
    <row r="941">
      <c r="A941" s="55" t="s">
        <v>61</v>
      </c>
      <c r="B941" s="55">
        <v>144.0</v>
      </c>
      <c r="C941" s="55" t="s">
        <v>918</v>
      </c>
    </row>
    <row r="942" hidden="1">
      <c r="A942" s="55" t="s">
        <v>95</v>
      </c>
      <c r="B942" s="55">
        <v>20.0</v>
      </c>
      <c r="C942" s="55" t="s">
        <v>917</v>
      </c>
    </row>
    <row r="943" hidden="1">
      <c r="A943" s="55" t="s">
        <v>102</v>
      </c>
      <c r="B943" s="55">
        <v>120.0</v>
      </c>
      <c r="C943" s="55" t="s">
        <v>917</v>
      </c>
    </row>
    <row r="944" hidden="1">
      <c r="A944" s="55" t="s">
        <v>54</v>
      </c>
      <c r="B944" s="55">
        <v>50.0</v>
      </c>
      <c r="C944" s="55" t="s">
        <v>917</v>
      </c>
    </row>
    <row r="945" hidden="1">
      <c r="A945" s="55" t="s">
        <v>63</v>
      </c>
      <c r="B945" s="55">
        <v>24.0</v>
      </c>
      <c r="C945" s="55" t="s">
        <v>917</v>
      </c>
    </row>
    <row r="946" hidden="1">
      <c r="A946" s="27" t="s">
        <v>68</v>
      </c>
      <c r="B946" s="132">
        <v>80.0</v>
      </c>
      <c r="C946" s="27" t="s">
        <v>917</v>
      </c>
    </row>
    <row r="947" hidden="1">
      <c r="A947" s="27" t="s">
        <v>23</v>
      </c>
      <c r="B947" s="132">
        <v>58.0</v>
      </c>
      <c r="C947" s="27" t="s">
        <v>917</v>
      </c>
    </row>
    <row r="948">
      <c r="A948" s="27" t="s">
        <v>25</v>
      </c>
      <c r="B948" s="132">
        <v>40.0</v>
      </c>
      <c r="C948" s="27" t="s">
        <v>918</v>
      </c>
    </row>
    <row r="949" hidden="1">
      <c r="A949" s="27" t="s">
        <v>399</v>
      </c>
      <c r="B949" s="132">
        <v>20.0</v>
      </c>
      <c r="C949" s="27" t="s">
        <v>917</v>
      </c>
    </row>
    <row r="950">
      <c r="A950" s="55" t="s">
        <v>115</v>
      </c>
      <c r="B950" s="55">
        <v>432.0</v>
      </c>
      <c r="C950" s="55" t="s">
        <v>918</v>
      </c>
    </row>
    <row r="951">
      <c r="A951" s="55" t="s">
        <v>69</v>
      </c>
      <c r="B951" s="55">
        <v>50.0</v>
      </c>
      <c r="C951" s="55" t="s">
        <v>918</v>
      </c>
    </row>
    <row r="952" hidden="1">
      <c r="A952" s="55" t="s">
        <v>67</v>
      </c>
      <c r="B952" s="55">
        <v>200.0</v>
      </c>
      <c r="C952" s="55" t="s">
        <v>917</v>
      </c>
    </row>
    <row r="953" hidden="1">
      <c r="A953" s="55" t="s">
        <v>86</v>
      </c>
      <c r="B953" s="55">
        <v>20.0</v>
      </c>
      <c r="C953" s="55" t="s">
        <v>917</v>
      </c>
    </row>
    <row r="954" hidden="1">
      <c r="A954" s="55" t="s">
        <v>59</v>
      </c>
      <c r="B954" s="55">
        <v>20.0</v>
      </c>
      <c r="C954" s="55" t="s">
        <v>917</v>
      </c>
    </row>
    <row r="955" hidden="1">
      <c r="A955" s="55" t="s">
        <v>72</v>
      </c>
      <c r="B955" s="55">
        <v>60.0</v>
      </c>
    </row>
    <row r="956" hidden="1">
      <c r="A956" s="27" t="s">
        <v>55</v>
      </c>
      <c r="B956" s="132">
        <v>120.0</v>
      </c>
      <c r="C956" s="27" t="s">
        <v>917</v>
      </c>
    </row>
    <row r="957" hidden="1">
      <c r="A957" s="27" t="s">
        <v>90</v>
      </c>
      <c r="B957" s="132">
        <v>24.0</v>
      </c>
      <c r="C957" s="314" t="s">
        <v>917</v>
      </c>
    </row>
    <row r="958">
      <c r="A958" s="27" t="s">
        <v>42</v>
      </c>
      <c r="B958" s="132">
        <v>120.0</v>
      </c>
      <c r="C958" s="27" t="s">
        <v>918</v>
      </c>
    </row>
    <row r="959" hidden="1">
      <c r="A959" s="55" t="s">
        <v>60</v>
      </c>
      <c r="B959" s="55">
        <v>10.0</v>
      </c>
      <c r="C959" s="55" t="s">
        <v>917</v>
      </c>
    </row>
    <row r="960" hidden="1">
      <c r="A960" s="55" t="s">
        <v>129</v>
      </c>
      <c r="B960" s="55">
        <v>30.0</v>
      </c>
      <c r="C960" s="55" t="s">
        <v>917</v>
      </c>
    </row>
    <row r="961">
      <c r="A961" s="27" t="s">
        <v>70</v>
      </c>
      <c r="B961" s="132">
        <v>80.0</v>
      </c>
      <c r="C961" s="27" t="s">
        <v>918</v>
      </c>
    </row>
    <row r="962">
      <c r="A962" s="55" t="s">
        <v>131</v>
      </c>
      <c r="B962" s="55">
        <v>144.0</v>
      </c>
      <c r="C962" s="55" t="s">
        <v>918</v>
      </c>
    </row>
    <row r="963" hidden="1">
      <c r="A963" s="55" t="s">
        <v>92</v>
      </c>
      <c r="B963" s="55">
        <v>60.0</v>
      </c>
      <c r="C963" s="55" t="s">
        <v>917</v>
      </c>
    </row>
    <row r="964" hidden="1">
      <c r="A964" s="55" t="s">
        <v>94</v>
      </c>
      <c r="B964" s="55">
        <v>60.0</v>
      </c>
      <c r="C964" s="55" t="s">
        <v>917</v>
      </c>
    </row>
    <row r="965" hidden="1">
      <c r="A965" s="55" t="s">
        <v>15</v>
      </c>
      <c r="B965" s="55">
        <v>60.0</v>
      </c>
      <c r="C965" s="55" t="s">
        <v>917</v>
      </c>
    </row>
    <row r="966" hidden="1">
      <c r="A966" s="55" t="s">
        <v>17</v>
      </c>
      <c r="B966" s="55">
        <v>50.0</v>
      </c>
      <c r="C966" s="55" t="s">
        <v>917</v>
      </c>
    </row>
    <row r="967" hidden="1">
      <c r="A967" s="27" t="s">
        <v>76</v>
      </c>
      <c r="B967" s="132">
        <v>10.0</v>
      </c>
      <c r="C967" s="27" t="s">
        <v>917</v>
      </c>
    </row>
    <row r="968">
      <c r="A968" s="55" t="s">
        <v>116</v>
      </c>
      <c r="B968" s="55">
        <v>30.0</v>
      </c>
      <c r="C968" s="55" t="s">
        <v>919</v>
      </c>
    </row>
    <row r="969" hidden="1">
      <c r="A969" s="27" t="s">
        <v>95</v>
      </c>
      <c r="B969" s="132">
        <v>20.0</v>
      </c>
      <c r="C969" s="27" t="s">
        <v>917</v>
      </c>
    </row>
    <row r="970" hidden="1">
      <c r="A970" s="55" t="s">
        <v>32</v>
      </c>
      <c r="B970" s="55">
        <v>10.0</v>
      </c>
      <c r="C970" s="55" t="s">
        <v>917</v>
      </c>
    </row>
    <row r="971" hidden="1">
      <c r="A971" s="55" t="s">
        <v>403</v>
      </c>
      <c r="B971" s="55">
        <v>20.0</v>
      </c>
      <c r="C971" s="55" t="s">
        <v>917</v>
      </c>
    </row>
    <row r="972" hidden="1">
      <c r="A972" s="55" t="s">
        <v>44</v>
      </c>
      <c r="B972" s="55">
        <v>20.0</v>
      </c>
      <c r="C972" s="55" t="s">
        <v>917</v>
      </c>
    </row>
    <row r="973" hidden="1">
      <c r="A973" s="55" t="s">
        <v>110</v>
      </c>
      <c r="B973" s="55">
        <v>20.0</v>
      </c>
      <c r="C973" s="55" t="s">
        <v>917</v>
      </c>
    </row>
    <row r="974" hidden="1">
      <c r="A974" s="27" t="s">
        <v>102</v>
      </c>
      <c r="B974" s="132">
        <v>50.0</v>
      </c>
      <c r="C974" s="27" t="s">
        <v>917</v>
      </c>
    </row>
    <row r="975" hidden="1">
      <c r="A975" s="55" t="s">
        <v>33</v>
      </c>
      <c r="B975" s="55">
        <v>80.0</v>
      </c>
      <c r="C975" s="55" t="s">
        <v>917</v>
      </c>
    </row>
    <row r="976" hidden="1">
      <c r="A976" s="55" t="s">
        <v>54</v>
      </c>
      <c r="B976" s="55">
        <v>10.0</v>
      </c>
      <c r="C976" s="55" t="s">
        <v>917</v>
      </c>
    </row>
    <row r="977" hidden="1">
      <c r="A977" s="27" t="s">
        <v>100</v>
      </c>
      <c r="B977" s="132">
        <v>60.0</v>
      </c>
      <c r="C977" s="27" t="s">
        <v>917</v>
      </c>
    </row>
    <row r="978" hidden="1">
      <c r="A978" s="55" t="s">
        <v>64</v>
      </c>
      <c r="B978" s="55">
        <v>12.0</v>
      </c>
      <c r="C978" s="55" t="s">
        <v>917</v>
      </c>
    </row>
    <row r="979" hidden="1">
      <c r="A979" s="55" t="s">
        <v>63</v>
      </c>
      <c r="B979" s="55">
        <v>12.0</v>
      </c>
      <c r="C979" s="55" t="s">
        <v>917</v>
      </c>
    </row>
    <row r="980" hidden="1">
      <c r="A980" s="27" t="s">
        <v>30</v>
      </c>
      <c r="B980" s="132">
        <v>10.0</v>
      </c>
      <c r="C980" s="27" t="s">
        <v>917</v>
      </c>
    </row>
    <row r="981" hidden="1">
      <c r="A981" s="55" t="s">
        <v>68</v>
      </c>
      <c r="B981" s="55">
        <v>80.0</v>
      </c>
      <c r="C981" s="55" t="s">
        <v>917</v>
      </c>
    </row>
    <row r="982" hidden="1">
      <c r="A982" s="27" t="s">
        <v>22</v>
      </c>
      <c r="B982" s="132">
        <v>10.0</v>
      </c>
      <c r="C982" s="27" t="s">
        <v>917</v>
      </c>
    </row>
    <row r="983" hidden="1">
      <c r="A983" s="55" t="s">
        <v>23</v>
      </c>
      <c r="B983" s="55">
        <v>58.0</v>
      </c>
      <c r="C983" s="55" t="s">
        <v>917</v>
      </c>
    </row>
    <row r="984">
      <c r="A984" s="55" t="s">
        <v>53</v>
      </c>
      <c r="B984" s="55">
        <v>10.0</v>
      </c>
      <c r="C984" s="55" t="s">
        <v>938</v>
      </c>
    </row>
    <row r="985">
      <c r="A985" s="27" t="s">
        <v>74</v>
      </c>
      <c r="B985" s="132">
        <v>60.0</v>
      </c>
      <c r="C985" s="27" t="s">
        <v>929</v>
      </c>
    </row>
    <row r="986" hidden="1">
      <c r="A986" s="27" t="s">
        <v>399</v>
      </c>
      <c r="B986" s="132">
        <v>10.0</v>
      </c>
      <c r="C986" s="27" t="s">
        <v>917</v>
      </c>
    </row>
    <row r="987">
      <c r="A987" s="27" t="s">
        <v>115</v>
      </c>
      <c r="B987" s="132">
        <v>80.0</v>
      </c>
      <c r="C987" s="27" t="s">
        <v>918</v>
      </c>
    </row>
    <row r="988">
      <c r="A988" s="27" t="s">
        <v>69</v>
      </c>
      <c r="B988" s="132">
        <v>10.0</v>
      </c>
      <c r="C988" s="27" t="s">
        <v>918</v>
      </c>
    </row>
    <row r="989" hidden="1">
      <c r="A989" s="27" t="s">
        <v>119</v>
      </c>
      <c r="B989" s="132">
        <v>48.0</v>
      </c>
      <c r="C989" s="314" t="s">
        <v>917</v>
      </c>
    </row>
    <row r="990" hidden="1">
      <c r="A990" s="55" t="s">
        <v>67</v>
      </c>
      <c r="B990" s="55">
        <v>160.0</v>
      </c>
      <c r="C990" s="55" t="s">
        <v>917</v>
      </c>
    </row>
    <row r="991" hidden="1">
      <c r="A991" s="55" t="s">
        <v>86</v>
      </c>
      <c r="B991" s="55">
        <v>80.0</v>
      </c>
      <c r="C991" s="55" t="s">
        <v>917</v>
      </c>
    </row>
    <row r="992" hidden="1">
      <c r="A992" s="55" t="s">
        <v>51</v>
      </c>
      <c r="B992" s="55">
        <v>30.0</v>
      </c>
      <c r="C992" s="55" t="s">
        <v>917</v>
      </c>
    </row>
    <row r="993" hidden="1">
      <c r="A993" s="55" t="s">
        <v>153</v>
      </c>
      <c r="B993" s="55">
        <v>120.0</v>
      </c>
      <c r="C993" s="55" t="s">
        <v>917</v>
      </c>
    </row>
    <row r="994" hidden="1">
      <c r="A994" s="55" t="s">
        <v>151</v>
      </c>
      <c r="B994" s="55">
        <v>80.0</v>
      </c>
      <c r="C994" s="55" t="s">
        <v>917</v>
      </c>
    </row>
    <row r="995" hidden="1">
      <c r="A995" s="55" t="s">
        <v>154</v>
      </c>
      <c r="B995" s="55">
        <v>180.0</v>
      </c>
      <c r="C995" s="55" t="s">
        <v>917</v>
      </c>
    </row>
    <row r="996" hidden="1">
      <c r="A996" s="55" t="s">
        <v>149</v>
      </c>
      <c r="B996" s="55">
        <v>120.0</v>
      </c>
      <c r="C996" s="55" t="s">
        <v>917</v>
      </c>
    </row>
    <row r="997">
      <c r="A997" s="55" t="s">
        <v>144</v>
      </c>
      <c r="B997" s="55">
        <v>18.0</v>
      </c>
      <c r="C997" s="55" t="s">
        <v>930</v>
      </c>
    </row>
    <row r="998">
      <c r="A998" s="55" t="s">
        <v>134</v>
      </c>
      <c r="B998" s="55">
        <v>60.0</v>
      </c>
      <c r="C998" s="55" t="s">
        <v>939</v>
      </c>
    </row>
    <row r="999">
      <c r="A999" s="55" t="s">
        <v>133</v>
      </c>
      <c r="B999" s="55">
        <v>100.0</v>
      </c>
      <c r="C999" s="55" t="s">
        <v>939</v>
      </c>
    </row>
    <row r="1000" hidden="1">
      <c r="A1000" s="55" t="s">
        <v>147</v>
      </c>
      <c r="B1000" s="55">
        <v>120.0</v>
      </c>
      <c r="C1000" s="55" t="s">
        <v>917</v>
      </c>
    </row>
    <row r="1001">
      <c r="A1001" s="55" t="s">
        <v>131</v>
      </c>
      <c r="B1001" s="55">
        <v>41.0</v>
      </c>
      <c r="C1001" s="55" t="s">
        <v>918</v>
      </c>
    </row>
    <row r="1002" hidden="1">
      <c r="A1002" s="55" t="s">
        <v>64</v>
      </c>
      <c r="B1002" s="55">
        <v>24.0</v>
      </c>
      <c r="C1002" s="55" t="s">
        <v>917</v>
      </c>
      <c r="E1002" s="55"/>
      <c r="F1002" s="55"/>
      <c r="G1002" s="55"/>
    </row>
    <row r="1003" hidden="1">
      <c r="A1003" s="55" t="s">
        <v>399</v>
      </c>
      <c r="B1003" s="55">
        <v>20.0</v>
      </c>
      <c r="C1003" s="55" t="s">
        <v>917</v>
      </c>
      <c r="E1003" s="55"/>
      <c r="F1003" s="55"/>
      <c r="G1003" s="55"/>
    </row>
    <row r="1004">
      <c r="A1004" s="55" t="s">
        <v>115</v>
      </c>
      <c r="B1004" s="55">
        <v>144.0</v>
      </c>
      <c r="C1004" s="55" t="s">
        <v>918</v>
      </c>
    </row>
    <row r="1005">
      <c r="A1005" s="55" t="s">
        <v>115</v>
      </c>
      <c r="B1005" s="55">
        <v>448.0</v>
      </c>
      <c r="C1005" s="55" t="s">
        <v>918</v>
      </c>
    </row>
    <row r="1006" hidden="1">
      <c r="A1006" s="55" t="s">
        <v>141</v>
      </c>
      <c r="B1006" s="55">
        <v>60.0</v>
      </c>
      <c r="E1006" s="55"/>
      <c r="F1006" s="55"/>
      <c r="G1006" s="55"/>
    </row>
    <row r="1007" hidden="1">
      <c r="A1007" s="55" t="s">
        <v>153</v>
      </c>
      <c r="B1007" s="55">
        <v>300.0</v>
      </c>
      <c r="C1007" s="55" t="s">
        <v>917</v>
      </c>
      <c r="E1007" s="55"/>
      <c r="F1007" s="55"/>
      <c r="G1007" s="55"/>
    </row>
    <row r="1008" hidden="1">
      <c r="A1008" s="55" t="s">
        <v>136</v>
      </c>
      <c r="B1008" s="55">
        <v>40.0</v>
      </c>
      <c r="E1008" s="55"/>
      <c r="F1008" s="55"/>
      <c r="G1008" s="55"/>
    </row>
    <row r="1009" hidden="1">
      <c r="A1009" s="55" t="s">
        <v>139</v>
      </c>
      <c r="B1009" s="55">
        <v>60.0</v>
      </c>
      <c r="E1009" s="55"/>
      <c r="F1009" s="55"/>
      <c r="G1009" s="55"/>
    </row>
    <row r="1010" hidden="1">
      <c r="A1010" s="55" t="s">
        <v>149</v>
      </c>
      <c r="B1010" s="55">
        <v>300.0</v>
      </c>
      <c r="C1010" s="55" t="s">
        <v>917</v>
      </c>
      <c r="E1010" s="55"/>
      <c r="F1010" s="55"/>
      <c r="G1010" s="55"/>
    </row>
    <row r="1011">
      <c r="A1011" s="55" t="s">
        <v>42</v>
      </c>
      <c r="B1011" s="55">
        <v>60.0</v>
      </c>
      <c r="C1011" s="55" t="s">
        <v>918</v>
      </c>
    </row>
    <row r="1012">
      <c r="A1012" s="55" t="s">
        <v>144</v>
      </c>
      <c r="B1012" s="55">
        <v>120.0</v>
      </c>
      <c r="C1012" s="55" t="s">
        <v>930</v>
      </c>
    </row>
    <row r="1013" hidden="1">
      <c r="A1013" s="55" t="s">
        <v>129</v>
      </c>
      <c r="B1013" s="55">
        <v>60.0</v>
      </c>
      <c r="C1013" s="55" t="s">
        <v>917</v>
      </c>
      <c r="E1013" s="55"/>
      <c r="F1013" s="55"/>
      <c r="G1013" s="55"/>
    </row>
    <row r="1014">
      <c r="A1014" s="55" t="s">
        <v>134</v>
      </c>
      <c r="B1014" s="55">
        <v>400.0</v>
      </c>
      <c r="C1014" s="55" t="s">
        <v>939</v>
      </c>
      <c r="E1014" s="55"/>
      <c r="F1014" s="55"/>
      <c r="G1014" s="55"/>
    </row>
    <row r="1015">
      <c r="A1015" s="55" t="s">
        <v>133</v>
      </c>
      <c r="B1015" s="55">
        <v>150.0</v>
      </c>
      <c r="C1015" s="55" t="s">
        <v>939</v>
      </c>
      <c r="E1015" s="55"/>
      <c r="F1015" s="55"/>
      <c r="G1015" s="55"/>
    </row>
    <row r="1016" hidden="1">
      <c r="A1016" s="55" t="s">
        <v>147</v>
      </c>
      <c r="B1016" s="55">
        <v>120.0</v>
      </c>
      <c r="C1016" s="55" t="s">
        <v>917</v>
      </c>
      <c r="E1016" s="55"/>
      <c r="F1016" s="55"/>
      <c r="G1016" s="55"/>
    </row>
    <row r="1017">
      <c r="A1017" s="55" t="s">
        <v>131</v>
      </c>
      <c r="B1017" s="55">
        <v>432.0</v>
      </c>
      <c r="C1017" s="55" t="s">
        <v>918</v>
      </c>
      <c r="E1017" s="55"/>
      <c r="F1017" s="55"/>
      <c r="G1017" s="55"/>
    </row>
    <row r="1018">
      <c r="A1018" s="55" t="s">
        <v>53</v>
      </c>
      <c r="B1018" s="55">
        <v>30.0</v>
      </c>
      <c r="C1018" s="55" t="s">
        <v>938</v>
      </c>
      <c r="E1018" s="55"/>
      <c r="F1018" s="55"/>
      <c r="G1018" s="55"/>
    </row>
    <row r="1019" hidden="1">
      <c r="A1019" s="55" t="s">
        <v>112</v>
      </c>
      <c r="B1019" s="55">
        <v>20.0</v>
      </c>
      <c r="C1019" s="55" t="s">
        <v>917</v>
      </c>
      <c r="E1019" s="55"/>
      <c r="F1019" s="55"/>
      <c r="G1019" s="55"/>
    </row>
    <row r="1020">
      <c r="A1020" s="55" t="s">
        <v>74</v>
      </c>
      <c r="B1020" s="55">
        <v>90.0</v>
      </c>
      <c r="C1020" s="55" t="s">
        <v>929</v>
      </c>
      <c r="E1020" s="55"/>
      <c r="F1020" s="55"/>
      <c r="G1020" s="55"/>
    </row>
    <row r="1021">
      <c r="A1021" s="55" t="s">
        <v>115</v>
      </c>
      <c r="B1021" s="55">
        <v>494.0</v>
      </c>
      <c r="C1021" s="55" t="s">
        <v>918</v>
      </c>
      <c r="E1021" s="55"/>
      <c r="F1021" s="55"/>
      <c r="G1021" s="55"/>
    </row>
    <row r="1022">
      <c r="A1022" s="55" t="s">
        <v>69</v>
      </c>
      <c r="B1022" s="55">
        <v>14.0</v>
      </c>
      <c r="C1022" s="55" t="s">
        <v>918</v>
      </c>
      <c r="E1022" s="55"/>
      <c r="F1022" s="55"/>
      <c r="G1022" s="55"/>
    </row>
    <row r="1023">
      <c r="A1023" s="55" t="s">
        <v>217</v>
      </c>
      <c r="B1023" s="55">
        <v>216.0</v>
      </c>
      <c r="C1023" s="55" t="s">
        <v>918</v>
      </c>
      <c r="E1023" s="55"/>
      <c r="F1023" s="55"/>
      <c r="G1023" s="55"/>
    </row>
    <row r="1024">
      <c r="A1024" s="55" t="s">
        <v>347</v>
      </c>
      <c r="B1024" s="55">
        <v>900.0</v>
      </c>
      <c r="C1024" s="55" t="s">
        <v>918</v>
      </c>
      <c r="E1024" s="55"/>
      <c r="F1024" s="55"/>
      <c r="G1024" s="55"/>
    </row>
    <row r="1025">
      <c r="A1025" s="55" t="s">
        <v>266</v>
      </c>
      <c r="B1025" s="55">
        <v>128.0</v>
      </c>
      <c r="C1025" s="55" t="s">
        <v>918</v>
      </c>
      <c r="E1025" s="55"/>
      <c r="F1025" s="55"/>
      <c r="G1025" s="55"/>
    </row>
    <row r="1026">
      <c r="A1026" s="55" t="s">
        <v>199</v>
      </c>
      <c r="B1026" s="55">
        <v>384.0</v>
      </c>
      <c r="C1026" s="55" t="s">
        <v>931</v>
      </c>
      <c r="E1026" s="55"/>
      <c r="F1026" s="55"/>
      <c r="G1026" s="55"/>
    </row>
    <row r="1027">
      <c r="A1027" s="55" t="s">
        <v>164</v>
      </c>
      <c r="B1027" s="55">
        <v>1280.0</v>
      </c>
      <c r="C1027" s="55" t="s">
        <v>918</v>
      </c>
      <c r="E1027" s="55"/>
      <c r="F1027" s="55"/>
      <c r="G1027" s="55"/>
    </row>
    <row r="1028">
      <c r="A1028" s="55" t="s">
        <v>166</v>
      </c>
      <c r="B1028" s="55">
        <v>200.0</v>
      </c>
      <c r="C1028" s="55" t="s">
        <v>918</v>
      </c>
      <c r="E1028" s="55"/>
      <c r="F1028" s="55"/>
      <c r="G1028" s="55"/>
    </row>
    <row r="1029">
      <c r="A1029" s="55" t="s">
        <v>167</v>
      </c>
      <c r="B1029" s="55">
        <v>1280.0</v>
      </c>
      <c r="C1029" s="55" t="s">
        <v>918</v>
      </c>
      <c r="E1029" s="55"/>
      <c r="F1029" s="55"/>
      <c r="G1029" s="55"/>
    </row>
    <row r="1030">
      <c r="A1030" s="55" t="s">
        <v>162</v>
      </c>
      <c r="B1030" s="55">
        <v>400.0</v>
      </c>
      <c r="C1030" s="55" t="s">
        <v>918</v>
      </c>
      <c r="E1030" s="55"/>
      <c r="F1030" s="55"/>
      <c r="G1030" s="55"/>
    </row>
    <row r="1031">
      <c r="A1031" s="55" t="s">
        <v>325</v>
      </c>
      <c r="B1031" s="55">
        <v>864.0</v>
      </c>
      <c r="C1031" s="55" t="s">
        <v>918</v>
      </c>
      <c r="E1031" s="55"/>
      <c r="F1031" s="55"/>
      <c r="G1031" s="55"/>
    </row>
    <row r="1032">
      <c r="A1032" s="55" t="s">
        <v>351</v>
      </c>
      <c r="B1032" s="55">
        <v>50.0</v>
      </c>
      <c r="C1032" s="55" t="s">
        <v>918</v>
      </c>
      <c r="E1032" s="55"/>
      <c r="F1032" s="55"/>
      <c r="G1032" s="55"/>
    </row>
    <row r="1033">
      <c r="A1033" s="55" t="s">
        <v>375</v>
      </c>
      <c r="B1033" s="55">
        <v>576.0</v>
      </c>
      <c r="C1033" s="55" t="s">
        <v>918</v>
      </c>
      <c r="E1033" s="55"/>
      <c r="F1033" s="55"/>
      <c r="G1033" s="55"/>
    </row>
    <row r="1034">
      <c r="A1034" s="55" t="s">
        <v>373</v>
      </c>
      <c r="B1034" s="55">
        <v>576.0</v>
      </c>
      <c r="C1034" s="55" t="s">
        <v>925</v>
      </c>
      <c r="E1034" s="55"/>
      <c r="F1034" s="55"/>
      <c r="G1034" s="55"/>
    </row>
    <row r="1035">
      <c r="A1035" s="55" t="s">
        <v>369</v>
      </c>
      <c r="B1035" s="55">
        <v>432.0</v>
      </c>
      <c r="C1035" s="55" t="s">
        <v>918</v>
      </c>
      <c r="E1035" s="55"/>
      <c r="F1035" s="55"/>
      <c r="G1035" s="55"/>
    </row>
    <row r="1036">
      <c r="A1036" s="55" t="s">
        <v>175</v>
      </c>
      <c r="B1036" s="55">
        <v>1200.0</v>
      </c>
      <c r="C1036" s="55" t="s">
        <v>918</v>
      </c>
      <c r="E1036" s="55"/>
      <c r="F1036" s="55"/>
      <c r="G1036" s="55"/>
    </row>
    <row r="1037">
      <c r="A1037" s="55" t="s">
        <v>256</v>
      </c>
      <c r="B1037" s="55">
        <v>300.0</v>
      </c>
      <c r="C1037" s="55" t="s">
        <v>918</v>
      </c>
      <c r="E1037" s="55"/>
      <c r="F1037" s="55"/>
      <c r="G1037" s="55"/>
    </row>
    <row r="1038">
      <c r="A1038" s="55" t="s">
        <v>273</v>
      </c>
      <c r="B1038" s="55">
        <v>384.0</v>
      </c>
      <c r="C1038" s="55" t="s">
        <v>918</v>
      </c>
      <c r="E1038" s="55"/>
      <c r="F1038" s="55"/>
      <c r="G1038" s="55"/>
    </row>
    <row r="1039">
      <c r="A1039" s="55" t="s">
        <v>275</v>
      </c>
      <c r="B1039" s="55">
        <v>768.0</v>
      </c>
      <c r="C1039" s="55" t="s">
        <v>918</v>
      </c>
      <c r="E1039" s="55"/>
      <c r="F1039" s="55"/>
      <c r="G1039" s="55"/>
    </row>
    <row r="1040">
      <c r="A1040" s="27" t="s">
        <v>207</v>
      </c>
      <c r="B1040" s="173">
        <v>500.0</v>
      </c>
      <c r="C1040" s="27" t="s">
        <v>918</v>
      </c>
      <c r="E1040" s="55"/>
      <c r="F1040" s="55"/>
      <c r="G1040" s="55"/>
    </row>
    <row r="1041" hidden="1">
      <c r="A1041" s="27" t="s">
        <v>290</v>
      </c>
      <c r="B1041" s="173">
        <v>300.0</v>
      </c>
      <c r="C1041" s="27" t="s">
        <v>917</v>
      </c>
      <c r="E1041" s="55"/>
      <c r="F1041" s="55"/>
      <c r="G1041" s="55"/>
    </row>
    <row r="1042" hidden="1">
      <c r="A1042" s="27" t="s">
        <v>318</v>
      </c>
      <c r="B1042" s="173">
        <v>400.0</v>
      </c>
      <c r="C1042" s="27" t="s">
        <v>917</v>
      </c>
      <c r="E1042" s="55"/>
      <c r="F1042" s="55"/>
      <c r="G1042" s="55"/>
    </row>
    <row r="1043">
      <c r="A1043" s="27" t="s">
        <v>320</v>
      </c>
      <c r="B1043" s="173">
        <v>200.0</v>
      </c>
      <c r="C1043" s="27" t="s">
        <v>918</v>
      </c>
      <c r="E1043" s="55"/>
      <c r="F1043" s="55"/>
      <c r="G1043" s="55"/>
    </row>
    <row r="1044" hidden="1">
      <c r="A1044" s="27" t="s">
        <v>306</v>
      </c>
      <c r="B1044" s="173">
        <v>500.0</v>
      </c>
      <c r="C1044" s="27" t="s">
        <v>917</v>
      </c>
      <c r="E1044" s="55"/>
      <c r="F1044" s="55"/>
      <c r="G1044" s="55"/>
    </row>
    <row r="1045" hidden="1">
      <c r="A1045" s="27" t="s">
        <v>209</v>
      </c>
      <c r="B1045" s="173">
        <v>144.0</v>
      </c>
      <c r="C1045" s="27" t="s">
        <v>917</v>
      </c>
      <c r="E1045" s="55"/>
      <c r="F1045" s="55"/>
      <c r="G1045" s="55"/>
    </row>
    <row r="1046" hidden="1">
      <c r="A1046" s="27" t="s">
        <v>292</v>
      </c>
      <c r="B1046" s="173">
        <v>600.0</v>
      </c>
      <c r="C1046" s="27" t="s">
        <v>917</v>
      </c>
      <c r="E1046" s="55"/>
      <c r="F1046" s="55"/>
      <c r="G1046" s="55"/>
    </row>
    <row r="1047" hidden="1">
      <c r="A1047" s="27" t="s">
        <v>286</v>
      </c>
      <c r="B1047" s="173">
        <v>400.0</v>
      </c>
      <c r="C1047" s="27" t="s">
        <v>917</v>
      </c>
      <c r="E1047" s="55"/>
      <c r="F1047" s="55"/>
      <c r="G1047" s="55"/>
    </row>
    <row r="1048" hidden="1">
      <c r="A1048" s="27" t="s">
        <v>291</v>
      </c>
      <c r="B1048" s="173">
        <v>300.0</v>
      </c>
      <c r="C1048" s="27" t="s">
        <v>917</v>
      </c>
      <c r="E1048" s="55"/>
      <c r="F1048" s="55"/>
      <c r="G1048" s="55"/>
    </row>
    <row r="1049">
      <c r="A1049" s="27" t="s">
        <v>284</v>
      </c>
      <c r="B1049" s="173">
        <v>600.0</v>
      </c>
      <c r="C1049" s="27" t="s">
        <v>944</v>
      </c>
      <c r="E1049" s="55"/>
      <c r="F1049" s="55"/>
      <c r="G1049" s="55"/>
    </row>
    <row r="1050">
      <c r="A1050" s="27" t="s">
        <v>313</v>
      </c>
      <c r="B1050" s="173">
        <v>60.0</v>
      </c>
      <c r="C1050" s="27" t="s">
        <v>944</v>
      </c>
      <c r="E1050" s="55"/>
      <c r="F1050" s="55"/>
      <c r="G1050" s="55"/>
    </row>
    <row r="1051" hidden="1">
      <c r="A1051" s="27" t="s">
        <v>239</v>
      </c>
      <c r="B1051" s="173">
        <v>1400.0</v>
      </c>
      <c r="C1051" s="27" t="s">
        <v>917</v>
      </c>
      <c r="E1051" s="55"/>
      <c r="F1051" s="55"/>
      <c r="G1051" s="55"/>
    </row>
    <row r="1052">
      <c r="A1052" s="27" t="s">
        <v>261</v>
      </c>
      <c r="B1052" s="173">
        <v>200.0</v>
      </c>
      <c r="C1052" s="27" t="s">
        <v>944</v>
      </c>
      <c r="E1052" s="55"/>
      <c r="F1052" s="55"/>
      <c r="G1052" s="55"/>
    </row>
    <row r="1053">
      <c r="A1053" s="27" t="s">
        <v>231</v>
      </c>
      <c r="B1053" s="173">
        <v>200.0</v>
      </c>
      <c r="C1053" s="27" t="s">
        <v>918</v>
      </c>
      <c r="E1053" s="55"/>
      <c r="F1053" s="55"/>
      <c r="G1053" s="55"/>
    </row>
    <row r="1054" hidden="1">
      <c r="A1054" s="55" t="s">
        <v>205</v>
      </c>
      <c r="B1054" s="55">
        <v>150.0</v>
      </c>
      <c r="C1054" s="55" t="s">
        <v>917</v>
      </c>
      <c r="E1054" s="55"/>
      <c r="F1054" s="55"/>
      <c r="G1054" s="55"/>
    </row>
    <row r="1055" hidden="1">
      <c r="A1055" s="55" t="s">
        <v>170</v>
      </c>
      <c r="B1055" s="55">
        <v>23.0</v>
      </c>
      <c r="C1055" s="55" t="s">
        <v>917</v>
      </c>
      <c r="E1055" s="55"/>
      <c r="F1055" s="55"/>
      <c r="G1055" s="55"/>
    </row>
    <row r="1056">
      <c r="A1056" s="55" t="s">
        <v>173</v>
      </c>
      <c r="B1056" s="55">
        <v>8.0</v>
      </c>
      <c r="C1056" s="55" t="s">
        <v>918</v>
      </c>
      <c r="E1056" s="55"/>
      <c r="F1056" s="55"/>
      <c r="G1056" s="55"/>
    </row>
    <row r="1057" hidden="1">
      <c r="A1057" s="55" t="s">
        <v>329</v>
      </c>
      <c r="B1057" s="55">
        <v>23.0</v>
      </c>
      <c r="C1057" s="55" t="s">
        <v>917</v>
      </c>
      <c r="E1057" s="55"/>
      <c r="F1057" s="55"/>
      <c r="G1057" s="55"/>
    </row>
    <row r="1058">
      <c r="A1058" s="55" t="s">
        <v>240</v>
      </c>
      <c r="B1058" s="55">
        <v>48.0</v>
      </c>
      <c r="C1058" s="55" t="s">
        <v>922</v>
      </c>
      <c r="E1058" s="55"/>
      <c r="F1058" s="55"/>
      <c r="G1058" s="55"/>
    </row>
    <row r="1059" hidden="1">
      <c r="A1059" s="55" t="s">
        <v>347</v>
      </c>
      <c r="B1059" s="55">
        <v>12.0</v>
      </c>
      <c r="C1059" s="55" t="s">
        <v>917</v>
      </c>
      <c r="E1059" s="55"/>
      <c r="F1059" s="55"/>
      <c r="G1059" s="55"/>
    </row>
    <row r="1060" hidden="1">
      <c r="A1060" s="55" t="s">
        <v>263</v>
      </c>
      <c r="B1060" s="55">
        <v>6.0</v>
      </c>
      <c r="C1060" s="55" t="s">
        <v>917</v>
      </c>
      <c r="E1060" s="55"/>
      <c r="F1060" s="55"/>
      <c r="G1060" s="55"/>
    </row>
    <row r="1061" hidden="1">
      <c r="A1061" s="55" t="s">
        <v>275</v>
      </c>
      <c r="B1061" s="55">
        <v>20.0</v>
      </c>
      <c r="C1061" s="55" t="s">
        <v>917</v>
      </c>
      <c r="E1061" s="55"/>
      <c r="F1061" s="55"/>
      <c r="G1061" s="55"/>
    </row>
    <row r="1062" hidden="1">
      <c r="A1062" s="55" t="s">
        <v>290</v>
      </c>
      <c r="B1062" s="55">
        <v>13.0</v>
      </c>
      <c r="C1062" s="55" t="s">
        <v>917</v>
      </c>
      <c r="E1062" s="55"/>
      <c r="F1062" s="55"/>
      <c r="G1062" s="55"/>
    </row>
    <row r="1063" hidden="1">
      <c r="A1063" s="55" t="s">
        <v>315</v>
      </c>
      <c r="B1063" s="55">
        <v>4.0</v>
      </c>
      <c r="C1063" s="55" t="s">
        <v>917</v>
      </c>
      <c r="E1063" s="55"/>
      <c r="F1063" s="55"/>
      <c r="G1063" s="55"/>
    </row>
    <row r="1064" hidden="1">
      <c r="A1064" s="55" t="s">
        <v>344</v>
      </c>
      <c r="B1064" s="55">
        <v>24.0</v>
      </c>
      <c r="C1064" s="55" t="s">
        <v>917</v>
      </c>
      <c r="E1064" s="55"/>
      <c r="F1064" s="55"/>
      <c r="G1064" s="55"/>
    </row>
    <row r="1065">
      <c r="A1065" s="55" t="s">
        <v>226</v>
      </c>
      <c r="B1065" s="55">
        <v>13.0</v>
      </c>
      <c r="C1065" s="55" t="s">
        <v>922</v>
      </c>
      <c r="E1065" s="55"/>
      <c r="F1065" s="55"/>
      <c r="G1065" s="55"/>
    </row>
    <row r="1066" hidden="1">
      <c r="A1066" s="55" t="s">
        <v>203</v>
      </c>
      <c r="B1066" s="55">
        <v>4.0</v>
      </c>
      <c r="C1066" s="55" t="s">
        <v>917</v>
      </c>
      <c r="E1066" s="55"/>
      <c r="F1066" s="55"/>
      <c r="G1066" s="55"/>
    </row>
    <row r="1067" hidden="1">
      <c r="A1067" s="55" t="s">
        <v>200</v>
      </c>
      <c r="B1067" s="55">
        <v>10.0</v>
      </c>
      <c r="C1067" s="55" t="s">
        <v>917</v>
      </c>
      <c r="E1067" s="55"/>
      <c r="F1067" s="55"/>
      <c r="G1067" s="55"/>
    </row>
    <row r="1068" hidden="1">
      <c r="A1068" s="55" t="s">
        <v>318</v>
      </c>
      <c r="B1068" s="55">
        <v>32.0</v>
      </c>
      <c r="C1068" s="55" t="s">
        <v>917</v>
      </c>
      <c r="E1068" s="55"/>
      <c r="F1068" s="55"/>
      <c r="G1068" s="55"/>
    </row>
    <row r="1069">
      <c r="A1069" s="55" t="s">
        <v>320</v>
      </c>
      <c r="B1069" s="55">
        <v>22.0</v>
      </c>
      <c r="C1069" s="55" t="s">
        <v>918</v>
      </c>
      <c r="E1069" s="55"/>
      <c r="F1069" s="55"/>
      <c r="G1069" s="55"/>
    </row>
    <row r="1070" hidden="1">
      <c r="A1070" s="55" t="s">
        <v>164</v>
      </c>
      <c r="B1070" s="55">
        <v>142.0</v>
      </c>
      <c r="C1070" s="55" t="s">
        <v>917</v>
      </c>
      <c r="E1070" s="55"/>
      <c r="F1070" s="55"/>
      <c r="G1070" s="55"/>
    </row>
    <row r="1071">
      <c r="A1071" s="55" t="s">
        <v>166</v>
      </c>
      <c r="B1071" s="55">
        <v>20.0</v>
      </c>
      <c r="C1071" s="55" t="s">
        <v>918</v>
      </c>
      <c r="E1071" s="55"/>
      <c r="F1071" s="55"/>
      <c r="G1071" s="55"/>
    </row>
    <row r="1072" hidden="1">
      <c r="A1072" s="55" t="s">
        <v>167</v>
      </c>
      <c r="B1072" s="55">
        <v>41.0</v>
      </c>
      <c r="C1072" s="55" t="s">
        <v>917</v>
      </c>
      <c r="E1072" s="55"/>
      <c r="F1072" s="55"/>
      <c r="G1072" s="55"/>
    </row>
    <row r="1073" hidden="1">
      <c r="A1073" s="55" t="s">
        <v>306</v>
      </c>
      <c r="B1073" s="55">
        <v>18.0</v>
      </c>
      <c r="C1073" s="55" t="s">
        <v>917</v>
      </c>
      <c r="E1073" s="55"/>
      <c r="F1073" s="55"/>
      <c r="G1073" s="55"/>
    </row>
    <row r="1074" hidden="1">
      <c r="A1074" s="55" t="s">
        <v>366</v>
      </c>
      <c r="B1074" s="55">
        <v>10.0</v>
      </c>
      <c r="C1074" s="55" t="s">
        <v>917</v>
      </c>
      <c r="E1074" s="55"/>
      <c r="F1074" s="55"/>
      <c r="G1074" s="55"/>
    </row>
    <row r="1075" hidden="1">
      <c r="A1075" s="55" t="s">
        <v>162</v>
      </c>
      <c r="B1075" s="55">
        <v>8.0</v>
      </c>
      <c r="C1075" s="55" t="s">
        <v>917</v>
      </c>
      <c r="E1075" s="55"/>
      <c r="F1075" s="55"/>
      <c r="G1075" s="55"/>
    </row>
    <row r="1076">
      <c r="A1076" s="55" t="s">
        <v>325</v>
      </c>
      <c r="B1076" s="55">
        <v>17.0</v>
      </c>
      <c r="C1076" s="55" t="s">
        <v>918</v>
      </c>
      <c r="E1076" s="55"/>
      <c r="F1076" s="55"/>
      <c r="G1076" s="55"/>
    </row>
    <row r="1077" hidden="1">
      <c r="A1077" s="55" t="s">
        <v>334</v>
      </c>
      <c r="B1077" s="55">
        <v>14.0</v>
      </c>
      <c r="C1077" s="55" t="s">
        <v>917</v>
      </c>
      <c r="E1077" s="55"/>
      <c r="F1077" s="55"/>
      <c r="G1077" s="55"/>
    </row>
    <row r="1078" hidden="1">
      <c r="A1078" s="55" t="s">
        <v>159</v>
      </c>
      <c r="B1078" s="55">
        <v>13.0</v>
      </c>
      <c r="C1078" s="55" t="s">
        <v>917</v>
      </c>
      <c r="E1078" s="55"/>
      <c r="F1078" s="55"/>
      <c r="G1078" s="55"/>
    </row>
    <row r="1079" hidden="1">
      <c r="A1079" s="55" t="s">
        <v>335</v>
      </c>
      <c r="B1079" s="55">
        <v>20.0</v>
      </c>
      <c r="C1079" s="55" t="s">
        <v>917</v>
      </c>
      <c r="E1079" s="55"/>
      <c r="F1079" s="55"/>
      <c r="G1079" s="55"/>
    </row>
    <row r="1080">
      <c r="A1080" s="55" t="s">
        <v>370</v>
      </c>
      <c r="B1080" s="55">
        <v>16.0</v>
      </c>
      <c r="C1080" s="55" t="s">
        <v>918</v>
      </c>
      <c r="E1080" s="55"/>
      <c r="F1080" s="55"/>
      <c r="G1080" s="55"/>
    </row>
    <row r="1081">
      <c r="A1081" s="55" t="s">
        <v>228</v>
      </c>
      <c r="B1081" s="55">
        <v>48.0</v>
      </c>
      <c r="C1081" s="55" t="s">
        <v>922</v>
      </c>
      <c r="E1081" s="55"/>
      <c r="F1081" s="55"/>
      <c r="G1081" s="55"/>
    </row>
    <row r="1082">
      <c r="A1082" s="55" t="s">
        <v>241</v>
      </c>
      <c r="B1082" s="55">
        <v>24.0</v>
      </c>
      <c r="C1082" s="55" t="s">
        <v>918</v>
      </c>
      <c r="E1082" s="55"/>
      <c r="F1082" s="55"/>
      <c r="G1082" s="55"/>
    </row>
    <row r="1083" hidden="1">
      <c r="A1083" s="55" t="s">
        <v>292</v>
      </c>
      <c r="B1083" s="55">
        <v>27.0</v>
      </c>
      <c r="C1083" s="55" t="s">
        <v>917</v>
      </c>
      <c r="E1083" s="55"/>
      <c r="F1083" s="55"/>
      <c r="G1083" s="55"/>
    </row>
    <row r="1084" hidden="1">
      <c r="A1084" s="55" t="s">
        <v>286</v>
      </c>
      <c r="B1084" s="55">
        <v>55.0</v>
      </c>
      <c r="C1084" s="55" t="s">
        <v>917</v>
      </c>
      <c r="E1084" s="55"/>
      <c r="F1084" s="55"/>
      <c r="G1084" s="55"/>
    </row>
    <row r="1085" hidden="1">
      <c r="A1085" s="55" t="s">
        <v>291</v>
      </c>
      <c r="B1085" s="55">
        <v>11.0</v>
      </c>
      <c r="C1085" s="55" t="s">
        <v>917</v>
      </c>
      <c r="E1085" s="55"/>
      <c r="F1085" s="55"/>
      <c r="G1085" s="55"/>
    </row>
    <row r="1086">
      <c r="A1086" s="55" t="s">
        <v>252</v>
      </c>
      <c r="B1086" s="55">
        <v>69.0</v>
      </c>
      <c r="C1086" s="55" t="s">
        <v>918</v>
      </c>
      <c r="E1086" s="55"/>
      <c r="F1086" s="55"/>
      <c r="G1086" s="55"/>
    </row>
    <row r="1087">
      <c r="A1087" s="55" t="s">
        <v>372</v>
      </c>
      <c r="B1087" s="55">
        <v>35.0</v>
      </c>
      <c r="C1087" s="55" t="s">
        <v>918</v>
      </c>
      <c r="E1087" s="55"/>
      <c r="F1087" s="55"/>
      <c r="G1087" s="55"/>
    </row>
    <row r="1088">
      <c r="A1088" s="55" t="s">
        <v>373</v>
      </c>
      <c r="B1088" s="55">
        <v>95.0</v>
      </c>
      <c r="C1088" s="55" t="s">
        <v>925</v>
      </c>
      <c r="E1088" s="55"/>
      <c r="F1088" s="55"/>
      <c r="G1088" s="55"/>
    </row>
    <row r="1089">
      <c r="A1089" s="55" t="s">
        <v>371</v>
      </c>
      <c r="B1089" s="55">
        <v>71.0</v>
      </c>
      <c r="C1089" s="55" t="s">
        <v>918</v>
      </c>
      <c r="E1089" s="55"/>
      <c r="F1089" s="55"/>
      <c r="G1089" s="55"/>
    </row>
    <row r="1090">
      <c r="A1090" s="55" t="s">
        <v>369</v>
      </c>
      <c r="B1090" s="55">
        <v>60.0</v>
      </c>
      <c r="C1090" s="55" t="s">
        <v>918</v>
      </c>
      <c r="E1090" s="55"/>
      <c r="F1090" s="55"/>
      <c r="G1090" s="55"/>
    </row>
    <row r="1091" hidden="1">
      <c r="A1091" s="55" t="s">
        <v>201</v>
      </c>
      <c r="B1091" s="55">
        <v>12.0</v>
      </c>
      <c r="C1091" s="55" t="s">
        <v>917</v>
      </c>
      <c r="E1091" s="55"/>
      <c r="F1091" s="55"/>
      <c r="G1091" s="55"/>
    </row>
    <row r="1092" hidden="1">
      <c r="A1092" s="55" t="s">
        <v>175</v>
      </c>
      <c r="B1092" s="55">
        <v>51.0</v>
      </c>
      <c r="C1092" s="55" t="s">
        <v>917</v>
      </c>
      <c r="E1092" s="55"/>
      <c r="F1092" s="55"/>
      <c r="G1092" s="55"/>
    </row>
    <row r="1093" hidden="1">
      <c r="A1093" s="55" t="s">
        <v>220</v>
      </c>
      <c r="B1093" s="55">
        <v>18.0</v>
      </c>
      <c r="C1093" s="55" t="s">
        <v>917</v>
      </c>
      <c r="E1093" s="55"/>
      <c r="F1093" s="55"/>
      <c r="G1093" s="55"/>
    </row>
    <row r="1094" hidden="1">
      <c r="A1094" s="55" t="s">
        <v>352</v>
      </c>
      <c r="B1094" s="55">
        <v>10.0</v>
      </c>
      <c r="C1094" s="55" t="s">
        <v>917</v>
      </c>
      <c r="E1094" s="55"/>
      <c r="F1094" s="55"/>
      <c r="G1094" s="55"/>
    </row>
    <row r="1095" hidden="1">
      <c r="A1095" s="55" t="s">
        <v>354</v>
      </c>
      <c r="B1095" s="55">
        <v>34.0</v>
      </c>
      <c r="C1095" s="55" t="s">
        <v>917</v>
      </c>
      <c r="E1095" s="55"/>
      <c r="F1095" s="55"/>
      <c r="G1095" s="55"/>
    </row>
    <row r="1096" hidden="1">
      <c r="A1096" s="55" t="s">
        <v>259</v>
      </c>
      <c r="B1096" s="55">
        <v>60.0</v>
      </c>
      <c r="C1096" s="55" t="s">
        <v>917</v>
      </c>
      <c r="E1096" s="55"/>
      <c r="F1096" s="55"/>
      <c r="G1096" s="55"/>
    </row>
    <row r="1097" hidden="1">
      <c r="A1097" s="55" t="s">
        <v>185</v>
      </c>
      <c r="B1097" s="55">
        <v>40.0</v>
      </c>
      <c r="C1097" s="55" t="s">
        <v>917</v>
      </c>
      <c r="E1097" s="55"/>
      <c r="F1097" s="55"/>
      <c r="G1097" s="55"/>
    </row>
    <row r="1098">
      <c r="A1098" s="55" t="s">
        <v>223</v>
      </c>
      <c r="B1098" s="55">
        <v>25.0</v>
      </c>
      <c r="C1098" s="55" t="s">
        <v>918</v>
      </c>
      <c r="E1098" s="55"/>
      <c r="F1098" s="55"/>
      <c r="G1098" s="55"/>
    </row>
    <row r="1099">
      <c r="A1099" s="55" t="s">
        <v>189</v>
      </c>
      <c r="B1099" s="55">
        <v>4.0</v>
      </c>
      <c r="C1099" s="55" t="s">
        <v>918</v>
      </c>
      <c r="E1099" s="55"/>
      <c r="F1099" s="55"/>
      <c r="G1099" s="55"/>
    </row>
    <row r="1100" hidden="1">
      <c r="A1100" s="55" t="s">
        <v>359</v>
      </c>
      <c r="B1100" s="55">
        <v>14.0</v>
      </c>
      <c r="C1100" s="55" t="s">
        <v>917</v>
      </c>
      <c r="E1100" s="55"/>
      <c r="F1100" s="55"/>
      <c r="G1100" s="55"/>
    </row>
    <row r="1101">
      <c r="A1101" s="55" t="s">
        <v>284</v>
      </c>
      <c r="B1101" s="55">
        <v>9.0</v>
      </c>
      <c r="C1101" s="55" t="s">
        <v>922</v>
      </c>
      <c r="E1101" s="55"/>
      <c r="F1101" s="55"/>
      <c r="G1101" s="55"/>
    </row>
    <row r="1102">
      <c r="A1102" s="55" t="s">
        <v>221</v>
      </c>
      <c r="B1102" s="55">
        <v>8.0</v>
      </c>
      <c r="C1102" s="55" t="s">
        <v>922</v>
      </c>
      <c r="E1102" s="55"/>
      <c r="F1102" s="55"/>
      <c r="G1102" s="55"/>
    </row>
    <row r="1103" hidden="1">
      <c r="A1103" s="55" t="s">
        <v>239</v>
      </c>
      <c r="B1103" s="55">
        <v>83.0</v>
      </c>
      <c r="C1103" s="55" t="s">
        <v>917</v>
      </c>
      <c r="E1103" s="55"/>
      <c r="F1103" s="55"/>
      <c r="G1103" s="55"/>
    </row>
    <row r="1104">
      <c r="A1104" s="55" t="s">
        <v>261</v>
      </c>
      <c r="B1104" s="55">
        <v>12.0</v>
      </c>
      <c r="C1104" s="55" t="s">
        <v>922</v>
      </c>
      <c r="E1104" s="55"/>
      <c r="F1104" s="55"/>
      <c r="G1104" s="55"/>
    </row>
    <row r="1105">
      <c r="A1105" s="55" t="s">
        <v>230</v>
      </c>
      <c r="B1105" s="55">
        <v>139.0</v>
      </c>
      <c r="C1105" s="55" t="s">
        <v>922</v>
      </c>
      <c r="E1105" s="55"/>
      <c r="F1105" s="55"/>
      <c r="G1105" s="55"/>
    </row>
    <row r="1106">
      <c r="A1106" s="55" t="s">
        <v>231</v>
      </c>
      <c r="B1106" s="55">
        <v>16.0</v>
      </c>
      <c r="C1106" s="55" t="s">
        <v>918</v>
      </c>
      <c r="E1106" s="55"/>
      <c r="F1106" s="55"/>
      <c r="G1106" s="55"/>
    </row>
    <row r="1107" hidden="1">
      <c r="A1107" s="55" t="s">
        <v>273</v>
      </c>
      <c r="B1107" s="55">
        <v>25.0</v>
      </c>
      <c r="C1107" s="55" t="s">
        <v>917</v>
      </c>
      <c r="E1107" s="55"/>
      <c r="F1107" s="55"/>
      <c r="G1107" s="55"/>
    </row>
    <row r="1108" hidden="1">
      <c r="A1108" s="55" t="s">
        <v>309</v>
      </c>
      <c r="B1108" s="55">
        <v>70.0</v>
      </c>
      <c r="C1108" s="55" t="s">
        <v>917</v>
      </c>
      <c r="E1108" s="55"/>
      <c r="F1108" s="55"/>
      <c r="G1108" s="55"/>
    </row>
    <row r="1109" hidden="1">
      <c r="A1109" s="55" t="s">
        <v>376</v>
      </c>
      <c r="B1109" s="55">
        <v>40.0</v>
      </c>
      <c r="C1109" s="55" t="s">
        <v>917</v>
      </c>
      <c r="E1109" s="55"/>
      <c r="F1109" s="55"/>
      <c r="G1109" s="55"/>
    </row>
    <row r="1110" hidden="1">
      <c r="A1110" s="55" t="s">
        <v>205</v>
      </c>
      <c r="B1110" s="55">
        <v>150.0</v>
      </c>
      <c r="C1110" s="55" t="s">
        <v>917</v>
      </c>
      <c r="E1110" s="55"/>
      <c r="F1110" s="55"/>
      <c r="G1110" s="55"/>
    </row>
    <row r="1111" hidden="1">
      <c r="A1111" s="55" t="s">
        <v>170</v>
      </c>
      <c r="B1111" s="55">
        <v>52.0</v>
      </c>
      <c r="C1111" s="55" t="s">
        <v>917</v>
      </c>
      <c r="E1111" s="55"/>
      <c r="F1111" s="55"/>
      <c r="G1111" s="55"/>
    </row>
    <row r="1112">
      <c r="A1112" s="55" t="s">
        <v>173</v>
      </c>
      <c r="B1112" s="55">
        <v>19.0</v>
      </c>
      <c r="C1112" s="55" t="s">
        <v>918</v>
      </c>
      <c r="E1112" s="55"/>
      <c r="F1112" s="55"/>
      <c r="G1112" s="55"/>
    </row>
    <row r="1113" hidden="1">
      <c r="A1113" s="55" t="s">
        <v>219</v>
      </c>
      <c r="B1113" s="55">
        <v>20.0</v>
      </c>
      <c r="C1113" s="55" t="s">
        <v>917</v>
      </c>
      <c r="E1113" s="55"/>
      <c r="F1113" s="55"/>
      <c r="G1113" s="55"/>
    </row>
    <row r="1114" hidden="1">
      <c r="A1114" s="55" t="s">
        <v>192</v>
      </c>
      <c r="B1114" s="55">
        <v>20.0</v>
      </c>
      <c r="C1114" s="55" t="s">
        <v>917</v>
      </c>
      <c r="E1114" s="55"/>
      <c r="F1114" s="55"/>
      <c r="G1114" s="55"/>
    </row>
    <row r="1115" hidden="1">
      <c r="A1115" s="55" t="s">
        <v>329</v>
      </c>
      <c r="B1115" s="55">
        <v>72.0</v>
      </c>
      <c r="C1115" s="55" t="s">
        <v>917</v>
      </c>
      <c r="E1115" s="55"/>
      <c r="F1115" s="55"/>
      <c r="G1115" s="55"/>
    </row>
    <row r="1116">
      <c r="A1116" s="55" t="s">
        <v>240</v>
      </c>
      <c r="B1116" s="55">
        <v>50.0</v>
      </c>
      <c r="C1116" s="55" t="s">
        <v>922</v>
      </c>
      <c r="E1116" s="55"/>
      <c r="F1116" s="55"/>
      <c r="G1116" s="55"/>
    </row>
    <row r="1117" hidden="1">
      <c r="A1117" s="55" t="s">
        <v>347</v>
      </c>
      <c r="B1117" s="55">
        <v>28.0</v>
      </c>
      <c r="C1117" s="55" t="s">
        <v>917</v>
      </c>
      <c r="E1117" s="55"/>
      <c r="F1117" s="55"/>
      <c r="G1117" s="55"/>
    </row>
    <row r="1118" hidden="1">
      <c r="A1118" s="55" t="s">
        <v>266</v>
      </c>
      <c r="B1118" s="55">
        <v>7.0</v>
      </c>
      <c r="C1118" s="55" t="s">
        <v>917</v>
      </c>
      <c r="E1118" s="55"/>
      <c r="F1118" s="55"/>
      <c r="G1118" s="55"/>
    </row>
    <row r="1119" hidden="1">
      <c r="A1119" s="55" t="s">
        <v>275</v>
      </c>
      <c r="B1119" s="55">
        <v>20.0</v>
      </c>
      <c r="C1119" s="55" t="s">
        <v>917</v>
      </c>
      <c r="E1119" s="55"/>
      <c r="F1119" s="55"/>
      <c r="G1119" s="55"/>
    </row>
    <row r="1120" hidden="1">
      <c r="A1120" s="55" t="s">
        <v>290</v>
      </c>
      <c r="B1120" s="55">
        <v>30.0</v>
      </c>
      <c r="C1120" s="55" t="s">
        <v>917</v>
      </c>
      <c r="E1120" s="55"/>
      <c r="F1120" s="55"/>
      <c r="G1120" s="55"/>
    </row>
    <row r="1121">
      <c r="A1121" s="55" t="s">
        <v>199</v>
      </c>
      <c r="B1121" s="55">
        <v>40.0</v>
      </c>
      <c r="C1121" s="55" t="s">
        <v>931</v>
      </c>
      <c r="E1121" s="55"/>
      <c r="F1121" s="55"/>
      <c r="G1121" s="55"/>
    </row>
    <row r="1122" hidden="1">
      <c r="A1122" s="55" t="s">
        <v>315</v>
      </c>
      <c r="B1122" s="55">
        <v>30.0</v>
      </c>
      <c r="C1122" s="55" t="s">
        <v>917</v>
      </c>
      <c r="E1122" s="55"/>
      <c r="F1122" s="55"/>
      <c r="G1122" s="55"/>
    </row>
    <row r="1123" hidden="1">
      <c r="A1123" s="55" t="s">
        <v>344</v>
      </c>
      <c r="B1123" s="55">
        <v>54.0</v>
      </c>
      <c r="C1123" s="55" t="s">
        <v>917</v>
      </c>
      <c r="E1123" s="55"/>
      <c r="F1123" s="55"/>
      <c r="G1123" s="55"/>
    </row>
    <row r="1124" hidden="1">
      <c r="A1124" s="55" t="s">
        <v>374</v>
      </c>
      <c r="B1124" s="55">
        <v>60.0</v>
      </c>
      <c r="C1124" s="55" t="s">
        <v>917</v>
      </c>
      <c r="E1124" s="55"/>
      <c r="F1124" s="55"/>
      <c r="G1124" s="55"/>
    </row>
    <row r="1125">
      <c r="A1125" s="55" t="s">
        <v>226</v>
      </c>
      <c r="B1125" s="55">
        <v>24.0</v>
      </c>
      <c r="C1125" s="55" t="s">
        <v>922</v>
      </c>
      <c r="E1125" s="55"/>
      <c r="F1125" s="55"/>
      <c r="G1125" s="55"/>
    </row>
    <row r="1126" hidden="1">
      <c r="A1126" s="55" t="s">
        <v>203</v>
      </c>
      <c r="B1126" s="55">
        <v>80.0</v>
      </c>
      <c r="C1126" s="55" t="s">
        <v>917</v>
      </c>
      <c r="E1126" s="55"/>
      <c r="F1126" s="55"/>
      <c r="G1126" s="55"/>
    </row>
    <row r="1127" hidden="1">
      <c r="A1127" s="55" t="s">
        <v>200</v>
      </c>
      <c r="B1127" s="55">
        <v>40.0</v>
      </c>
      <c r="C1127" s="55" t="s">
        <v>917</v>
      </c>
      <c r="E1127" s="55"/>
      <c r="F1127" s="55"/>
      <c r="G1127" s="55"/>
    </row>
    <row r="1128" hidden="1">
      <c r="A1128" s="55" t="s">
        <v>318</v>
      </c>
      <c r="B1128" s="55">
        <v>120.0</v>
      </c>
      <c r="C1128" s="55" t="s">
        <v>917</v>
      </c>
      <c r="E1128" s="55"/>
      <c r="F1128" s="55"/>
      <c r="G1128" s="55"/>
    </row>
    <row r="1129">
      <c r="A1129" s="55" t="s">
        <v>320</v>
      </c>
      <c r="B1129" s="55">
        <v>100.0</v>
      </c>
      <c r="C1129" s="55" t="s">
        <v>918</v>
      </c>
      <c r="E1129" s="55"/>
      <c r="F1129" s="55"/>
      <c r="G1129" s="55"/>
    </row>
    <row r="1130" hidden="1">
      <c r="A1130" s="55" t="s">
        <v>164</v>
      </c>
      <c r="B1130" s="55">
        <v>321.0</v>
      </c>
      <c r="C1130" s="55" t="s">
        <v>917</v>
      </c>
      <c r="E1130" s="55"/>
      <c r="F1130" s="55"/>
      <c r="G1130" s="55"/>
    </row>
    <row r="1131">
      <c r="A1131" s="55" t="s">
        <v>166</v>
      </c>
      <c r="B1131" s="55">
        <v>47.0</v>
      </c>
      <c r="C1131" s="55" t="s">
        <v>918</v>
      </c>
      <c r="E1131" s="55"/>
      <c r="F1131" s="55"/>
      <c r="G1131" s="55"/>
    </row>
    <row r="1132" hidden="1">
      <c r="A1132" s="55" t="s">
        <v>167</v>
      </c>
      <c r="B1132" s="55">
        <v>94.0</v>
      </c>
      <c r="C1132" s="55" t="s">
        <v>917</v>
      </c>
      <c r="E1132" s="55"/>
      <c r="F1132" s="55"/>
      <c r="G1132" s="55"/>
    </row>
    <row r="1133" hidden="1">
      <c r="A1133" s="55" t="s">
        <v>306</v>
      </c>
      <c r="B1133" s="55">
        <v>80.0</v>
      </c>
      <c r="C1133" s="55" t="s">
        <v>917</v>
      </c>
      <c r="E1133" s="55"/>
      <c r="F1133" s="55"/>
      <c r="G1133" s="55"/>
    </row>
    <row r="1134">
      <c r="A1134" s="55" t="s">
        <v>283</v>
      </c>
      <c r="B1134" s="55">
        <v>60.0</v>
      </c>
      <c r="C1134" s="55" t="s">
        <v>933</v>
      </c>
      <c r="E1134" s="55"/>
      <c r="F1134" s="55"/>
      <c r="G1134" s="55"/>
    </row>
    <row r="1135" hidden="1">
      <c r="A1135" s="55" t="s">
        <v>366</v>
      </c>
      <c r="B1135" s="55">
        <v>20.0</v>
      </c>
      <c r="C1135" s="55" t="s">
        <v>917</v>
      </c>
      <c r="E1135" s="55"/>
      <c r="F1135" s="55"/>
      <c r="G1135" s="55"/>
    </row>
    <row r="1136" hidden="1">
      <c r="A1136" s="55" t="s">
        <v>162</v>
      </c>
      <c r="B1136" s="55">
        <v>19.0</v>
      </c>
      <c r="C1136" s="55" t="s">
        <v>917</v>
      </c>
      <c r="E1136" s="55"/>
      <c r="F1136" s="55"/>
      <c r="G1136" s="55"/>
    </row>
    <row r="1137">
      <c r="A1137" s="55" t="s">
        <v>325</v>
      </c>
      <c r="B1137" s="55">
        <v>38.0</v>
      </c>
      <c r="C1137" s="55" t="s">
        <v>918</v>
      </c>
      <c r="E1137" s="55"/>
      <c r="F1137" s="55"/>
      <c r="G1137" s="55"/>
    </row>
    <row r="1138" hidden="1">
      <c r="A1138" s="55" t="s">
        <v>334</v>
      </c>
      <c r="B1138" s="55">
        <v>32.0</v>
      </c>
      <c r="C1138" s="55" t="s">
        <v>917</v>
      </c>
      <c r="E1138" s="55"/>
      <c r="F1138" s="55"/>
      <c r="G1138" s="55"/>
    </row>
    <row r="1139" hidden="1">
      <c r="A1139" s="55" t="s">
        <v>159</v>
      </c>
      <c r="B1139" s="55">
        <v>29.0</v>
      </c>
      <c r="C1139" s="55" t="s">
        <v>917</v>
      </c>
      <c r="E1139" s="55"/>
      <c r="F1139" s="55"/>
      <c r="G1139" s="55"/>
    </row>
    <row r="1140" hidden="1">
      <c r="A1140" s="55" t="s">
        <v>335</v>
      </c>
      <c r="B1140" s="55">
        <v>45.0</v>
      </c>
      <c r="C1140" s="55" t="s">
        <v>917</v>
      </c>
      <c r="E1140" s="55"/>
      <c r="F1140" s="55"/>
      <c r="G1140" s="55"/>
    </row>
    <row r="1141">
      <c r="A1141" s="55" t="s">
        <v>370</v>
      </c>
      <c r="B1141" s="55">
        <v>36.0</v>
      </c>
      <c r="C1141" s="55" t="s">
        <v>918</v>
      </c>
      <c r="E1141" s="55"/>
      <c r="F1141" s="55"/>
      <c r="G1141" s="55"/>
    </row>
    <row r="1142">
      <c r="A1142" s="55" t="s">
        <v>228</v>
      </c>
      <c r="B1142" s="55">
        <v>70.0</v>
      </c>
      <c r="C1142" s="55" t="s">
        <v>922</v>
      </c>
      <c r="E1142" s="55"/>
      <c r="F1142" s="55"/>
      <c r="G1142" s="55"/>
    </row>
    <row r="1143">
      <c r="A1143" s="55" t="s">
        <v>241</v>
      </c>
      <c r="B1143" s="55">
        <v>13.0</v>
      </c>
      <c r="C1143" s="55" t="s">
        <v>918</v>
      </c>
      <c r="E1143" s="55"/>
      <c r="F1143" s="55"/>
      <c r="G1143" s="55"/>
    </row>
    <row r="1144" hidden="1">
      <c r="A1144" s="55" t="s">
        <v>292</v>
      </c>
      <c r="B1144" s="55">
        <v>80.0</v>
      </c>
      <c r="C1144" s="55" t="s">
        <v>917</v>
      </c>
      <c r="E1144" s="55"/>
      <c r="F1144" s="55"/>
      <c r="G1144" s="55"/>
    </row>
    <row r="1145" hidden="1">
      <c r="A1145" s="55" t="s">
        <v>286</v>
      </c>
      <c r="B1145" s="55">
        <v>90.0</v>
      </c>
      <c r="C1145" s="55" t="s">
        <v>917</v>
      </c>
      <c r="E1145" s="55"/>
      <c r="F1145" s="55"/>
      <c r="G1145" s="55"/>
    </row>
    <row r="1146" hidden="1">
      <c r="A1146" s="55" t="s">
        <v>291</v>
      </c>
      <c r="B1146" s="55">
        <v>60.0</v>
      </c>
      <c r="C1146" s="55" t="s">
        <v>917</v>
      </c>
      <c r="E1146" s="55"/>
      <c r="F1146" s="55"/>
      <c r="G1146" s="55"/>
    </row>
    <row r="1147" hidden="1">
      <c r="A1147" s="55" t="s">
        <v>351</v>
      </c>
      <c r="B1147" s="55">
        <v>9.0</v>
      </c>
      <c r="C1147" s="55" t="s">
        <v>917</v>
      </c>
      <c r="E1147" s="55"/>
      <c r="F1147" s="55"/>
      <c r="G1147" s="55"/>
    </row>
    <row r="1148">
      <c r="A1148" s="55" t="s">
        <v>252</v>
      </c>
      <c r="B1148" s="55">
        <v>156.0</v>
      </c>
      <c r="C1148" s="55" t="s">
        <v>918</v>
      </c>
      <c r="E1148" s="55"/>
      <c r="F1148" s="55"/>
      <c r="G1148" s="55"/>
    </row>
    <row r="1149">
      <c r="A1149" s="55" t="s">
        <v>372</v>
      </c>
      <c r="B1149" s="55">
        <v>79.0</v>
      </c>
      <c r="C1149" s="55" t="s">
        <v>918</v>
      </c>
      <c r="E1149" s="55"/>
      <c r="F1149" s="55"/>
      <c r="G1149" s="55"/>
    </row>
    <row r="1150">
      <c r="A1150" s="55" t="s">
        <v>373</v>
      </c>
      <c r="B1150" s="55">
        <v>144.0</v>
      </c>
      <c r="C1150" s="55" t="s">
        <v>925</v>
      </c>
      <c r="E1150" s="55"/>
      <c r="F1150" s="55"/>
      <c r="G1150" s="55"/>
    </row>
    <row r="1151">
      <c r="A1151" s="55" t="s">
        <v>371</v>
      </c>
      <c r="B1151" s="55">
        <v>144.0</v>
      </c>
      <c r="C1151" s="55" t="s">
        <v>918</v>
      </c>
      <c r="E1151" s="55"/>
      <c r="F1151" s="55"/>
      <c r="G1151" s="55"/>
    </row>
    <row r="1152">
      <c r="A1152" s="55" t="s">
        <v>369</v>
      </c>
      <c r="B1152" s="55">
        <v>60.0</v>
      </c>
      <c r="C1152" s="55" t="s">
        <v>918</v>
      </c>
      <c r="E1152" s="55"/>
      <c r="F1152" s="55"/>
      <c r="G1152" s="55"/>
    </row>
    <row r="1153" hidden="1">
      <c r="A1153" s="55" t="s">
        <v>201</v>
      </c>
      <c r="B1153" s="55">
        <v>20.0</v>
      </c>
      <c r="C1153" s="55" t="s">
        <v>917</v>
      </c>
      <c r="E1153" s="55"/>
      <c r="F1153" s="55"/>
      <c r="G1153" s="55"/>
    </row>
    <row r="1154" hidden="1">
      <c r="A1154" s="55" t="s">
        <v>175</v>
      </c>
      <c r="B1154" s="55">
        <v>96.0</v>
      </c>
      <c r="C1154" s="55" t="s">
        <v>917</v>
      </c>
      <c r="E1154" s="55"/>
      <c r="F1154" s="55"/>
      <c r="G1154" s="55"/>
    </row>
    <row r="1155" hidden="1">
      <c r="A1155" s="55" t="s">
        <v>220</v>
      </c>
      <c r="B1155" s="55">
        <v>41.0</v>
      </c>
      <c r="C1155" s="55" t="s">
        <v>917</v>
      </c>
      <c r="E1155" s="55"/>
      <c r="F1155" s="55"/>
      <c r="G1155" s="55"/>
    </row>
    <row r="1156" hidden="1">
      <c r="A1156" s="55" t="s">
        <v>352</v>
      </c>
      <c r="B1156" s="55">
        <v>7.0</v>
      </c>
      <c r="C1156" s="55" t="s">
        <v>917</v>
      </c>
      <c r="E1156" s="55"/>
      <c r="F1156" s="55"/>
      <c r="G1156" s="55"/>
    </row>
    <row r="1157" hidden="1">
      <c r="A1157" s="55" t="s">
        <v>187</v>
      </c>
      <c r="B1157" s="55">
        <v>10.0</v>
      </c>
      <c r="C1157" s="55" t="s">
        <v>917</v>
      </c>
      <c r="E1157" s="55"/>
      <c r="F1157" s="55"/>
      <c r="G1157" s="55"/>
    </row>
    <row r="1158" hidden="1">
      <c r="A1158" s="55" t="s">
        <v>354</v>
      </c>
      <c r="B1158" s="55">
        <v>60.0</v>
      </c>
      <c r="C1158" s="55" t="s">
        <v>917</v>
      </c>
      <c r="E1158" s="55"/>
      <c r="F1158" s="55"/>
      <c r="G1158" s="55"/>
    </row>
    <row r="1159" hidden="1">
      <c r="A1159" s="55" t="s">
        <v>259</v>
      </c>
      <c r="B1159" s="55">
        <v>60.0</v>
      </c>
      <c r="C1159" s="55" t="s">
        <v>917</v>
      </c>
      <c r="E1159" s="55"/>
      <c r="F1159" s="55"/>
      <c r="G1159" s="55"/>
    </row>
    <row r="1160" hidden="1">
      <c r="A1160" s="55" t="s">
        <v>185</v>
      </c>
      <c r="B1160" s="55">
        <v>90.0</v>
      </c>
      <c r="C1160" s="55" t="s">
        <v>917</v>
      </c>
      <c r="E1160" s="55"/>
      <c r="F1160" s="55"/>
      <c r="G1160" s="55"/>
    </row>
    <row r="1161">
      <c r="A1161" s="55" t="s">
        <v>223</v>
      </c>
      <c r="B1161" s="55">
        <v>58.0</v>
      </c>
      <c r="C1161" s="55" t="s">
        <v>918</v>
      </c>
      <c r="E1161" s="55"/>
      <c r="F1161" s="55"/>
      <c r="G1161" s="55"/>
    </row>
    <row r="1162">
      <c r="A1162" s="55" t="s">
        <v>189</v>
      </c>
      <c r="B1162" s="55">
        <v>9.0</v>
      </c>
      <c r="C1162" s="55" t="s">
        <v>918</v>
      </c>
      <c r="E1162" s="55"/>
      <c r="F1162" s="55"/>
      <c r="G1162" s="55"/>
    </row>
    <row r="1163">
      <c r="A1163" s="55" t="s">
        <v>321</v>
      </c>
      <c r="B1163" s="55">
        <v>10.0</v>
      </c>
      <c r="C1163" s="55" t="s">
        <v>932</v>
      </c>
      <c r="E1163" s="55"/>
      <c r="F1163" s="55"/>
      <c r="G1163" s="55"/>
    </row>
    <row r="1164" hidden="1">
      <c r="A1164" s="55" t="s">
        <v>359</v>
      </c>
      <c r="B1164" s="55">
        <v>30.0</v>
      </c>
      <c r="C1164" s="55" t="s">
        <v>917</v>
      </c>
      <c r="E1164" s="55"/>
      <c r="F1164" s="55"/>
      <c r="G1164" s="55"/>
    </row>
    <row r="1165">
      <c r="A1165" s="55" t="s">
        <v>284</v>
      </c>
      <c r="B1165" s="55">
        <v>30.0</v>
      </c>
      <c r="C1165" s="55" t="s">
        <v>922</v>
      </c>
      <c r="E1165" s="55"/>
      <c r="F1165" s="55"/>
      <c r="G1165" s="55"/>
    </row>
    <row r="1166">
      <c r="A1166" s="55" t="s">
        <v>221</v>
      </c>
      <c r="B1166" s="55">
        <v>20.0</v>
      </c>
      <c r="C1166" s="55" t="s">
        <v>922</v>
      </c>
      <c r="E1166" s="55"/>
      <c r="F1166" s="55"/>
      <c r="G1166" s="55"/>
    </row>
    <row r="1167" hidden="1">
      <c r="A1167" s="55" t="s">
        <v>239</v>
      </c>
      <c r="B1167" s="55">
        <v>200.0</v>
      </c>
      <c r="C1167" s="55" t="s">
        <v>917</v>
      </c>
      <c r="E1167" s="55"/>
      <c r="F1167" s="55"/>
      <c r="G1167" s="55"/>
    </row>
    <row r="1168">
      <c r="A1168" s="55" t="s">
        <v>302</v>
      </c>
      <c r="B1168" s="55">
        <v>40.0</v>
      </c>
      <c r="C1168" s="55" t="s">
        <v>922</v>
      </c>
      <c r="E1168" s="55"/>
      <c r="F1168" s="55"/>
      <c r="G1168" s="55"/>
    </row>
    <row r="1169">
      <c r="A1169" s="55" t="s">
        <v>261</v>
      </c>
      <c r="B1169" s="55">
        <v>100.0</v>
      </c>
      <c r="C1169" s="55" t="s">
        <v>922</v>
      </c>
      <c r="E1169" s="55"/>
      <c r="F1169" s="55"/>
      <c r="G1169" s="55"/>
    </row>
    <row r="1170">
      <c r="A1170" s="55" t="s">
        <v>230</v>
      </c>
      <c r="B1170" s="55">
        <v>300.0</v>
      </c>
      <c r="C1170" s="55" t="s">
        <v>922</v>
      </c>
      <c r="E1170" s="55"/>
      <c r="F1170" s="55"/>
      <c r="G1170" s="55"/>
    </row>
    <row r="1171">
      <c r="A1171" s="55" t="s">
        <v>231</v>
      </c>
      <c r="B1171" s="55">
        <v>60.0</v>
      </c>
      <c r="C1171" s="55" t="s">
        <v>918</v>
      </c>
      <c r="E1171" s="55"/>
      <c r="F1171" s="55"/>
      <c r="G1171" s="55"/>
    </row>
    <row r="1172" hidden="1">
      <c r="A1172" s="55" t="s">
        <v>273</v>
      </c>
      <c r="B1172" s="55">
        <v>57.0</v>
      </c>
      <c r="C1172" s="55" t="s">
        <v>917</v>
      </c>
      <c r="E1172" s="55"/>
      <c r="F1172" s="55"/>
      <c r="G1172" s="55"/>
    </row>
    <row r="1173" hidden="1">
      <c r="A1173" s="55" t="s">
        <v>247</v>
      </c>
      <c r="B1173" s="55">
        <v>4.0</v>
      </c>
      <c r="C1173" s="55" t="s">
        <v>917</v>
      </c>
      <c r="E1173" s="55"/>
      <c r="F1173" s="55"/>
      <c r="G1173" s="55"/>
    </row>
    <row r="1174">
      <c r="A1174" s="55" t="s">
        <v>216</v>
      </c>
      <c r="B1174" s="55">
        <v>7.0</v>
      </c>
      <c r="C1174" s="55" t="s">
        <v>918</v>
      </c>
      <c r="E1174" s="55"/>
      <c r="F1174" s="55"/>
      <c r="G1174" s="55"/>
    </row>
    <row r="1175">
      <c r="A1175" s="55" t="s">
        <v>250</v>
      </c>
      <c r="B1175" s="55">
        <v>20.0</v>
      </c>
      <c r="C1175" s="55" t="s">
        <v>932</v>
      </c>
      <c r="E1175" s="55"/>
      <c r="F1175" s="55"/>
      <c r="G1175" s="55"/>
    </row>
    <row r="1176" hidden="1">
      <c r="A1176" s="55" t="s">
        <v>309</v>
      </c>
      <c r="B1176" s="55">
        <v>80.0</v>
      </c>
      <c r="C1176" s="55" t="s">
        <v>917</v>
      </c>
      <c r="E1176" s="55"/>
      <c r="F1176" s="55"/>
      <c r="G1176" s="55"/>
    </row>
    <row r="1177">
      <c r="A1177" s="55" t="s">
        <v>212</v>
      </c>
      <c r="B1177" s="55">
        <v>9.0</v>
      </c>
      <c r="C1177" s="55" t="s">
        <v>918</v>
      </c>
      <c r="E1177" s="55"/>
      <c r="F1177" s="55"/>
      <c r="G1177" s="55"/>
    </row>
    <row r="1178">
      <c r="A1178" s="55" t="s">
        <v>257</v>
      </c>
      <c r="B1178" s="55">
        <v>20.0</v>
      </c>
      <c r="C1178" s="55" t="s">
        <v>932</v>
      </c>
      <c r="E1178" s="55"/>
      <c r="F1178" s="55"/>
      <c r="G1178" s="55"/>
    </row>
    <row r="1179" hidden="1">
      <c r="A1179" s="55" t="s">
        <v>236</v>
      </c>
      <c r="B1179" s="55">
        <v>54.0</v>
      </c>
      <c r="C1179" s="55" t="s">
        <v>934</v>
      </c>
      <c r="E1179" s="55"/>
      <c r="F1179" s="55"/>
      <c r="G1179" s="55"/>
    </row>
    <row r="1180" hidden="1">
      <c r="A1180" s="55" t="s">
        <v>205</v>
      </c>
      <c r="B1180" s="55">
        <v>120.0</v>
      </c>
      <c r="C1180" s="55" t="s">
        <v>926</v>
      </c>
      <c r="E1180" s="55"/>
      <c r="F1180" s="55"/>
      <c r="G1180" s="55"/>
    </row>
    <row r="1181">
      <c r="A1181" s="55" t="s">
        <v>55</v>
      </c>
      <c r="B1181" s="55">
        <v>300.0</v>
      </c>
      <c r="C1181" s="55" t="s">
        <v>918</v>
      </c>
      <c r="E1181" s="55"/>
      <c r="F1181" s="55"/>
      <c r="G1181" s="55"/>
    </row>
    <row r="1182">
      <c r="A1182" s="55" t="s">
        <v>42</v>
      </c>
      <c r="B1182" s="55">
        <v>240.0</v>
      </c>
      <c r="C1182" s="55" t="s">
        <v>918</v>
      </c>
      <c r="E1182" s="55"/>
      <c r="F1182" s="55"/>
      <c r="G1182" s="55"/>
    </row>
    <row r="1183">
      <c r="A1183" s="55" t="s">
        <v>70</v>
      </c>
      <c r="B1183" s="55">
        <v>600.0</v>
      </c>
      <c r="C1183" s="55" t="s">
        <v>918</v>
      </c>
      <c r="E1183" s="55"/>
      <c r="F1183" s="55"/>
      <c r="G1183" s="55"/>
    </row>
    <row r="1184">
      <c r="A1184" s="55" t="s">
        <v>131</v>
      </c>
      <c r="B1184" s="55">
        <v>1728.0</v>
      </c>
      <c r="C1184" s="55" t="s">
        <v>918</v>
      </c>
      <c r="E1184" s="55"/>
      <c r="F1184" s="55"/>
      <c r="G1184" s="55"/>
    </row>
    <row r="1185">
      <c r="A1185" s="55" t="s">
        <v>116</v>
      </c>
      <c r="B1185" s="55">
        <v>300.0</v>
      </c>
      <c r="C1185" s="55" t="s">
        <v>919</v>
      </c>
      <c r="E1185" s="55"/>
      <c r="F1185" s="55"/>
      <c r="G1185" s="55"/>
    </row>
    <row r="1186" hidden="1">
      <c r="A1186" s="55" t="s">
        <v>23</v>
      </c>
      <c r="B1186" s="55">
        <v>960.0</v>
      </c>
      <c r="C1186" s="55" t="s">
        <v>917</v>
      </c>
      <c r="E1186" s="55"/>
      <c r="F1186" s="55"/>
      <c r="G1186" s="55"/>
    </row>
    <row r="1187" hidden="1">
      <c r="A1187" s="55" t="s">
        <v>318</v>
      </c>
      <c r="B1187" s="55">
        <v>300.0</v>
      </c>
      <c r="C1187" s="55" t="s">
        <v>917</v>
      </c>
      <c r="E1187" s="55"/>
      <c r="F1187" s="55"/>
      <c r="G1187" s="55"/>
    </row>
    <row r="1188" hidden="1">
      <c r="A1188" s="55" t="s">
        <v>292</v>
      </c>
      <c r="B1188" s="55">
        <v>400.0</v>
      </c>
      <c r="C1188" s="55" t="s">
        <v>917</v>
      </c>
      <c r="E1188" s="55"/>
      <c r="F1188" s="55"/>
      <c r="G1188" s="55"/>
    </row>
    <row r="1189" hidden="1">
      <c r="A1189" s="55" t="s">
        <v>291</v>
      </c>
      <c r="B1189" s="55">
        <v>200.0</v>
      </c>
      <c r="C1189" s="55" t="s">
        <v>917</v>
      </c>
      <c r="E1189" s="55"/>
      <c r="F1189" s="55"/>
      <c r="G1189" s="55"/>
    </row>
    <row r="1190">
      <c r="A1190" s="55" t="s">
        <v>252</v>
      </c>
      <c r="B1190" s="55">
        <v>576.0</v>
      </c>
      <c r="C1190" s="55" t="s">
        <v>918</v>
      </c>
      <c r="E1190" s="55"/>
      <c r="F1190" s="55"/>
      <c r="G1190" s="55"/>
    </row>
    <row r="1191">
      <c r="A1191" s="55" t="s">
        <v>375</v>
      </c>
      <c r="B1191" s="55">
        <v>288.0</v>
      </c>
      <c r="C1191" s="55" t="s">
        <v>918</v>
      </c>
      <c r="E1191" s="55"/>
      <c r="F1191" s="55"/>
      <c r="G1191" s="55"/>
    </row>
    <row r="1192">
      <c r="A1192" s="55" t="s">
        <v>372</v>
      </c>
      <c r="B1192" s="55">
        <v>288.0</v>
      </c>
      <c r="C1192" s="55" t="s">
        <v>918</v>
      </c>
      <c r="E1192" s="55"/>
      <c r="F1192" s="55"/>
      <c r="G1192" s="55"/>
    </row>
    <row r="1193">
      <c r="A1193" s="55" t="s">
        <v>371</v>
      </c>
      <c r="B1193" s="55">
        <v>288.0</v>
      </c>
      <c r="C1193" s="55" t="s">
        <v>918</v>
      </c>
      <c r="E1193" s="55"/>
      <c r="F1193" s="55"/>
      <c r="G1193" s="55"/>
    </row>
    <row r="1194">
      <c r="A1194" s="55" t="s">
        <v>369</v>
      </c>
      <c r="B1194" s="55">
        <v>288.0</v>
      </c>
      <c r="C1194" s="55" t="s">
        <v>918</v>
      </c>
      <c r="E1194" s="55"/>
      <c r="F1194" s="55"/>
      <c r="G1194" s="55"/>
    </row>
    <row r="1195">
      <c r="A1195" s="55" t="s">
        <v>194</v>
      </c>
      <c r="B1195" s="55">
        <v>200.0</v>
      </c>
      <c r="C1195" s="55" t="s">
        <v>944</v>
      </c>
      <c r="E1195" s="55"/>
      <c r="F1195" s="55"/>
      <c r="G1195" s="55"/>
    </row>
    <row r="1196">
      <c r="A1196" s="55" t="s">
        <v>175</v>
      </c>
      <c r="B1196" s="55">
        <v>400.0</v>
      </c>
      <c r="C1196" s="55" t="s">
        <v>918</v>
      </c>
      <c r="E1196" s="55"/>
      <c r="F1196" s="55"/>
      <c r="G1196" s="55"/>
    </row>
    <row r="1197">
      <c r="A1197" s="55" t="s">
        <v>284</v>
      </c>
      <c r="B1197" s="55">
        <v>300.0</v>
      </c>
      <c r="C1197" s="55" t="s">
        <v>944</v>
      </c>
      <c r="E1197" s="55"/>
      <c r="F1197" s="55"/>
      <c r="G1197" s="55"/>
    </row>
    <row r="1198" hidden="1">
      <c r="A1198" s="55" t="s">
        <v>239</v>
      </c>
      <c r="B1198" s="55">
        <v>300.0</v>
      </c>
      <c r="C1198" s="55" t="s">
        <v>917</v>
      </c>
      <c r="E1198" s="55"/>
      <c r="F1198" s="55"/>
      <c r="G1198" s="55"/>
    </row>
    <row r="1199">
      <c r="A1199" s="55" t="s">
        <v>231</v>
      </c>
      <c r="B1199" s="55">
        <v>100.0</v>
      </c>
      <c r="C1199" s="55" t="s">
        <v>918</v>
      </c>
      <c r="E1199" s="55"/>
      <c r="F1199" s="55"/>
      <c r="G1199" s="55"/>
    </row>
    <row r="1200" hidden="1">
      <c r="A1200" s="55" t="s">
        <v>414</v>
      </c>
      <c r="B1200" s="55">
        <v>576.0</v>
      </c>
      <c r="C1200" s="55" t="s">
        <v>917</v>
      </c>
      <c r="E1200" s="55"/>
      <c r="F1200" s="55"/>
      <c r="G1200" s="55"/>
    </row>
    <row r="1201" hidden="1">
      <c r="A1201" s="55" t="s">
        <v>393</v>
      </c>
      <c r="B1201" s="55">
        <v>72.0</v>
      </c>
      <c r="C1201" s="55" t="s">
        <v>917</v>
      </c>
      <c r="E1201" s="55"/>
      <c r="F1201" s="55"/>
      <c r="G1201" s="55"/>
    </row>
    <row r="1202" hidden="1">
      <c r="A1202" s="55" t="s">
        <v>945</v>
      </c>
      <c r="B1202" s="55">
        <v>42.0</v>
      </c>
      <c r="C1202" s="55" t="s">
        <v>917</v>
      </c>
      <c r="E1202" s="55"/>
      <c r="F1202" s="55"/>
      <c r="G1202" s="55"/>
    </row>
    <row r="1203" hidden="1">
      <c r="A1203" s="55" t="s">
        <v>397</v>
      </c>
      <c r="B1203" s="55">
        <v>40.0</v>
      </c>
      <c r="C1203" s="55" t="s">
        <v>917</v>
      </c>
      <c r="E1203" s="55"/>
      <c r="F1203" s="55"/>
      <c r="G1203" s="55"/>
    </row>
    <row r="1204" hidden="1">
      <c r="A1204" s="55" t="s">
        <v>86</v>
      </c>
      <c r="B1204" s="55">
        <v>40.0</v>
      </c>
      <c r="C1204" s="55" t="s">
        <v>917</v>
      </c>
      <c r="E1204" s="55"/>
      <c r="F1204" s="55"/>
      <c r="G1204" s="55"/>
    </row>
    <row r="1205" hidden="1">
      <c r="A1205" s="55" t="s">
        <v>97</v>
      </c>
      <c r="B1205" s="55">
        <v>200.0</v>
      </c>
      <c r="C1205" s="55" t="s">
        <v>946</v>
      </c>
      <c r="E1205" s="55"/>
      <c r="F1205" s="55"/>
      <c r="G1205" s="55"/>
    </row>
    <row r="1206" hidden="1">
      <c r="A1206" s="55" t="s">
        <v>89</v>
      </c>
      <c r="B1206" s="55">
        <v>40.0</v>
      </c>
      <c r="C1206" s="55" t="s">
        <v>917</v>
      </c>
      <c r="E1206" s="55"/>
      <c r="F1206" s="55"/>
      <c r="G1206" s="55"/>
    </row>
    <row r="1207" hidden="1">
      <c r="A1207" s="55" t="s">
        <v>344</v>
      </c>
      <c r="B1207" s="55">
        <v>50.0</v>
      </c>
      <c r="C1207" s="55" t="s">
        <v>917</v>
      </c>
      <c r="E1207" s="55"/>
      <c r="F1207" s="55"/>
      <c r="G1207" s="55"/>
    </row>
    <row r="1208" hidden="1">
      <c r="A1208" s="55" t="s">
        <v>346</v>
      </c>
      <c r="B1208" s="55">
        <v>50.0</v>
      </c>
      <c r="C1208" s="55" t="s">
        <v>917</v>
      </c>
      <c r="E1208" s="55"/>
      <c r="F1208" s="55"/>
      <c r="G1208" s="55"/>
    </row>
    <row r="1209" hidden="1">
      <c r="A1209" s="55" t="s">
        <v>337</v>
      </c>
      <c r="B1209" s="55">
        <v>20.0</v>
      </c>
      <c r="C1209" s="55" t="s">
        <v>917</v>
      </c>
      <c r="E1209" s="55"/>
      <c r="F1209" s="55"/>
      <c r="G1209" s="55"/>
    </row>
    <row r="1210" hidden="1">
      <c r="A1210" s="55" t="s">
        <v>302</v>
      </c>
      <c r="B1210" s="55">
        <v>40.0</v>
      </c>
      <c r="C1210" s="55" t="s">
        <v>917</v>
      </c>
      <c r="E1210" s="55"/>
      <c r="F1210" s="55"/>
      <c r="G1210" s="55"/>
    </row>
    <row r="1211" hidden="1">
      <c r="A1211" s="55" t="s">
        <v>176</v>
      </c>
      <c r="B1211" s="55">
        <v>40.0</v>
      </c>
      <c r="C1211" s="55" t="s">
        <v>917</v>
      </c>
      <c r="E1211" s="55"/>
      <c r="F1211" s="55"/>
      <c r="G1211" s="55"/>
    </row>
    <row r="1212" hidden="1">
      <c r="A1212" s="55" t="s">
        <v>239</v>
      </c>
      <c r="B1212" s="55">
        <v>50.0</v>
      </c>
      <c r="C1212" s="55" t="s">
        <v>917</v>
      </c>
      <c r="E1212" s="55"/>
      <c r="F1212" s="55"/>
      <c r="G1212" s="55"/>
    </row>
    <row r="1213" hidden="1">
      <c r="A1213" s="55" t="s">
        <v>162</v>
      </c>
      <c r="B1213" s="55">
        <v>50.0</v>
      </c>
      <c r="C1213" s="55" t="s">
        <v>917</v>
      </c>
      <c r="E1213" s="55"/>
      <c r="F1213" s="55"/>
      <c r="G1213" s="55"/>
    </row>
    <row r="1214" hidden="1">
      <c r="A1214" s="55" t="s">
        <v>275</v>
      </c>
      <c r="B1214" s="55">
        <v>30.0</v>
      </c>
      <c r="C1214" s="55" t="s">
        <v>917</v>
      </c>
      <c r="E1214" s="55"/>
      <c r="F1214" s="55"/>
      <c r="G1214" s="55"/>
    </row>
    <row r="1215" hidden="1">
      <c r="A1215" s="55" t="s">
        <v>292</v>
      </c>
      <c r="B1215" s="55">
        <v>50.0</v>
      </c>
      <c r="C1215" s="55" t="s">
        <v>917</v>
      </c>
      <c r="E1215" s="55"/>
      <c r="F1215" s="55"/>
      <c r="G1215" s="55"/>
    </row>
    <row r="1216" hidden="1">
      <c r="A1216" s="55" t="s">
        <v>208</v>
      </c>
      <c r="B1216" s="55">
        <v>20.0</v>
      </c>
      <c r="C1216" s="55" t="s">
        <v>917</v>
      </c>
      <c r="E1216" s="55"/>
      <c r="F1216" s="55"/>
      <c r="G1216" s="55"/>
    </row>
    <row r="1217" hidden="1">
      <c r="A1217" s="55" t="s">
        <v>230</v>
      </c>
      <c r="B1217" s="55">
        <v>50.0</v>
      </c>
      <c r="C1217" s="55" t="s">
        <v>928</v>
      </c>
      <c r="E1217" s="55"/>
      <c r="F1217" s="55"/>
      <c r="G1217" s="55"/>
    </row>
    <row r="1218" hidden="1">
      <c r="A1218" s="55" t="s">
        <v>205</v>
      </c>
      <c r="B1218" s="55">
        <v>50.0</v>
      </c>
      <c r="C1218" s="55" t="s">
        <v>917</v>
      </c>
      <c r="E1218" s="55"/>
      <c r="F1218" s="55"/>
      <c r="G1218" s="55"/>
    </row>
    <row r="1219" hidden="1">
      <c r="A1219" s="55" t="s">
        <v>202</v>
      </c>
      <c r="B1219" s="55">
        <v>30.0</v>
      </c>
      <c r="C1219" s="55" t="s">
        <v>917</v>
      </c>
      <c r="E1219" s="55"/>
      <c r="F1219" s="55"/>
      <c r="G1219" s="55"/>
    </row>
    <row r="1220" hidden="1">
      <c r="A1220" s="55" t="s">
        <v>261</v>
      </c>
      <c r="B1220" s="55">
        <v>30.0</v>
      </c>
      <c r="C1220" s="55" t="s">
        <v>928</v>
      </c>
      <c r="E1220" s="55"/>
      <c r="F1220" s="55"/>
      <c r="G1220" s="55"/>
    </row>
    <row r="1221" hidden="1">
      <c r="A1221" s="55" t="s">
        <v>252</v>
      </c>
      <c r="B1221" s="55">
        <v>100.0</v>
      </c>
      <c r="C1221" s="55" t="s">
        <v>917</v>
      </c>
      <c r="E1221" s="55"/>
      <c r="F1221" s="55"/>
      <c r="G1221" s="55"/>
    </row>
    <row r="1222" hidden="1">
      <c r="A1222" s="55" t="s">
        <v>947</v>
      </c>
      <c r="B1222" s="55">
        <v>20.0</v>
      </c>
      <c r="C1222" s="55" t="s">
        <v>917</v>
      </c>
      <c r="E1222" s="55"/>
      <c r="F1222" s="55"/>
      <c r="G1222" s="55"/>
    </row>
    <row r="1223" hidden="1">
      <c r="A1223" s="55" t="s">
        <v>290</v>
      </c>
      <c r="B1223" s="55">
        <v>20.0</v>
      </c>
      <c r="C1223" s="55" t="s">
        <v>917</v>
      </c>
      <c r="E1223" s="55"/>
      <c r="F1223" s="55"/>
      <c r="G1223" s="55"/>
    </row>
    <row r="1224" hidden="1">
      <c r="A1224" s="55" t="s">
        <v>317</v>
      </c>
      <c r="B1224" s="55">
        <v>20.0</v>
      </c>
      <c r="C1224" s="55" t="s">
        <v>917</v>
      </c>
      <c r="E1224" s="55"/>
      <c r="F1224" s="55"/>
      <c r="G1224" s="55"/>
    </row>
    <row r="1225" hidden="1">
      <c r="A1225" s="55" t="s">
        <v>245</v>
      </c>
      <c r="B1225" s="55">
        <v>30.0</v>
      </c>
      <c r="C1225" s="55" t="s">
        <v>917</v>
      </c>
      <c r="E1225" s="55"/>
      <c r="F1225" s="55"/>
      <c r="G1225" s="55"/>
    </row>
    <row r="1226" hidden="1">
      <c r="A1226" s="55" t="s">
        <v>286</v>
      </c>
      <c r="B1226" s="55">
        <v>50.0</v>
      </c>
      <c r="C1226" s="55" t="s">
        <v>917</v>
      </c>
      <c r="E1226" s="55"/>
      <c r="F1226" s="55"/>
      <c r="G1226" s="55"/>
    </row>
    <row r="1227" hidden="1">
      <c r="A1227" s="55" t="s">
        <v>306</v>
      </c>
      <c r="B1227" s="55">
        <v>20.0</v>
      </c>
      <c r="C1227" s="55" t="s">
        <v>917</v>
      </c>
      <c r="E1227" s="55"/>
      <c r="F1227" s="55"/>
      <c r="G1227" s="55"/>
    </row>
    <row r="1228" hidden="1">
      <c r="A1228" s="55" t="s">
        <v>278</v>
      </c>
      <c r="B1228" s="55">
        <v>30.0</v>
      </c>
      <c r="C1228" s="55" t="s">
        <v>917</v>
      </c>
      <c r="E1228" s="55"/>
      <c r="F1228" s="55"/>
      <c r="G1228" s="55"/>
    </row>
    <row r="1229" hidden="1">
      <c r="A1229" s="55" t="s">
        <v>194</v>
      </c>
      <c r="B1229" s="55">
        <v>20.0</v>
      </c>
      <c r="C1229" s="55" t="s">
        <v>917</v>
      </c>
      <c r="E1229" s="55"/>
      <c r="F1229" s="55"/>
      <c r="G1229" s="55"/>
    </row>
    <row r="1230" hidden="1">
      <c r="A1230" s="27" t="s">
        <v>153</v>
      </c>
      <c r="B1230" s="132">
        <v>200.0</v>
      </c>
      <c r="C1230" s="27" t="s">
        <v>917</v>
      </c>
      <c r="E1230" s="55"/>
      <c r="F1230" s="55"/>
      <c r="G1230" s="55"/>
    </row>
    <row r="1231" hidden="1">
      <c r="A1231" s="27" t="s">
        <v>72</v>
      </c>
      <c r="B1231" s="132">
        <v>198.0</v>
      </c>
      <c r="C1231" s="315"/>
      <c r="E1231" s="55"/>
      <c r="F1231" s="55"/>
      <c r="G1231" s="55"/>
    </row>
    <row r="1232" hidden="1">
      <c r="A1232" s="27" t="s">
        <v>151</v>
      </c>
      <c r="B1232" s="132">
        <v>160.0</v>
      </c>
      <c r="C1232" s="27" t="s">
        <v>917</v>
      </c>
      <c r="E1232" s="55"/>
      <c r="F1232" s="55"/>
      <c r="G1232" s="55"/>
    </row>
    <row r="1233" hidden="1">
      <c r="A1233" s="27" t="s">
        <v>154</v>
      </c>
      <c r="B1233" s="132">
        <v>240.0</v>
      </c>
      <c r="C1233" s="27" t="s">
        <v>917</v>
      </c>
      <c r="E1233" s="55"/>
      <c r="F1233" s="55"/>
      <c r="G1233" s="55"/>
    </row>
    <row r="1234" hidden="1">
      <c r="A1234" s="27" t="s">
        <v>149</v>
      </c>
      <c r="B1234" s="132">
        <v>120.0</v>
      </c>
      <c r="C1234" s="27" t="s">
        <v>917</v>
      </c>
      <c r="E1234" s="55"/>
      <c r="F1234" s="55"/>
      <c r="G1234" s="55"/>
    </row>
    <row r="1235">
      <c r="A1235" s="27" t="s">
        <v>42</v>
      </c>
      <c r="B1235" s="132">
        <v>16.0</v>
      </c>
      <c r="C1235" s="27" t="s">
        <v>918</v>
      </c>
      <c r="E1235" s="55"/>
      <c r="F1235" s="55"/>
      <c r="G1235" s="55"/>
    </row>
    <row r="1236">
      <c r="A1236" s="27" t="s">
        <v>144</v>
      </c>
      <c r="B1236" s="132">
        <v>9.0</v>
      </c>
      <c r="C1236" s="314" t="s">
        <v>930</v>
      </c>
      <c r="E1236" s="55"/>
      <c r="F1236" s="55"/>
      <c r="G1236" s="55"/>
    </row>
    <row r="1237">
      <c r="A1237" s="27" t="s">
        <v>134</v>
      </c>
      <c r="B1237" s="132">
        <v>225.0</v>
      </c>
      <c r="C1237" s="314" t="s">
        <v>939</v>
      </c>
      <c r="E1237" s="55"/>
      <c r="F1237" s="55"/>
      <c r="G1237" s="55"/>
    </row>
    <row r="1238">
      <c r="A1238" s="27" t="s">
        <v>133</v>
      </c>
      <c r="B1238" s="132">
        <v>80.0</v>
      </c>
      <c r="C1238" s="314" t="s">
        <v>939</v>
      </c>
      <c r="E1238" s="55"/>
      <c r="F1238" s="55"/>
      <c r="G1238" s="55"/>
    </row>
    <row r="1239" hidden="1">
      <c r="A1239" s="27" t="s">
        <v>94</v>
      </c>
      <c r="B1239" s="132">
        <v>28.0</v>
      </c>
      <c r="C1239" s="27" t="s">
        <v>917</v>
      </c>
      <c r="E1239" s="55"/>
      <c r="F1239" s="55"/>
      <c r="G1239" s="55"/>
    </row>
    <row r="1240" hidden="1">
      <c r="A1240" s="27" t="s">
        <v>102</v>
      </c>
      <c r="B1240" s="132">
        <v>150.0</v>
      </c>
      <c r="C1240" s="27" t="s">
        <v>917</v>
      </c>
      <c r="E1240" s="55"/>
      <c r="F1240" s="55"/>
      <c r="G1240" s="55"/>
    </row>
    <row r="1241" hidden="1">
      <c r="A1241" s="27" t="s">
        <v>33</v>
      </c>
      <c r="B1241" s="132">
        <v>52.0</v>
      </c>
      <c r="C1241" s="27" t="s">
        <v>917</v>
      </c>
      <c r="E1241" s="55"/>
      <c r="F1241" s="55"/>
      <c r="G1241" s="55"/>
    </row>
    <row r="1242" hidden="1">
      <c r="A1242" s="27" t="s">
        <v>68</v>
      </c>
      <c r="B1242" s="132">
        <v>45.0</v>
      </c>
      <c r="C1242" s="27" t="s">
        <v>917</v>
      </c>
      <c r="E1242" s="55"/>
      <c r="F1242" s="55"/>
      <c r="G1242" s="55"/>
    </row>
    <row r="1243" hidden="1">
      <c r="A1243" s="27" t="s">
        <v>23</v>
      </c>
      <c r="B1243" s="132">
        <v>8.0</v>
      </c>
      <c r="C1243" s="27" t="s">
        <v>917</v>
      </c>
      <c r="E1243" s="55"/>
      <c r="F1243" s="55"/>
      <c r="G1243" s="55"/>
    </row>
    <row r="1244">
      <c r="A1244" s="27" t="s">
        <v>53</v>
      </c>
      <c r="B1244" s="132">
        <v>5.0</v>
      </c>
      <c r="C1244" s="314" t="s">
        <v>938</v>
      </c>
      <c r="E1244" s="55"/>
      <c r="F1244" s="55"/>
      <c r="G1244" s="55"/>
    </row>
    <row r="1245" hidden="1">
      <c r="A1245" s="27" t="s">
        <v>112</v>
      </c>
      <c r="B1245" s="132">
        <v>12.0</v>
      </c>
      <c r="C1245" s="27" t="s">
        <v>917</v>
      </c>
      <c r="E1245" s="55"/>
      <c r="F1245" s="55"/>
      <c r="G1245" s="55"/>
    </row>
    <row r="1246">
      <c r="A1246" s="27" t="s">
        <v>115</v>
      </c>
      <c r="B1246" s="132">
        <v>288.0</v>
      </c>
      <c r="C1246" s="27" t="s">
        <v>918</v>
      </c>
      <c r="E1246" s="55"/>
      <c r="F1246" s="55"/>
      <c r="G1246" s="55"/>
    </row>
    <row r="1247" hidden="1">
      <c r="A1247" s="27" t="s">
        <v>67</v>
      </c>
      <c r="B1247" s="132">
        <v>42.0</v>
      </c>
      <c r="C1247" s="27" t="s">
        <v>917</v>
      </c>
      <c r="E1247" s="55"/>
      <c r="F1247" s="55"/>
      <c r="G1247" s="55"/>
    </row>
    <row r="1248">
      <c r="A1248" s="55" t="s">
        <v>262</v>
      </c>
      <c r="B1248" s="55">
        <v>25.0</v>
      </c>
      <c r="C1248" s="55" t="s">
        <v>922</v>
      </c>
      <c r="E1248" s="55"/>
      <c r="F1248" s="55"/>
      <c r="G1248" s="55"/>
    </row>
    <row r="1249" hidden="1">
      <c r="A1249" s="55" t="s">
        <v>205</v>
      </c>
      <c r="B1249" s="55">
        <v>100.0</v>
      </c>
      <c r="C1249" s="55" t="s">
        <v>917</v>
      </c>
      <c r="E1249" s="55"/>
      <c r="F1249" s="55"/>
      <c r="G1249" s="55"/>
    </row>
    <row r="1250">
      <c r="A1250" s="55" t="s">
        <v>207</v>
      </c>
      <c r="B1250" s="55">
        <v>100.0</v>
      </c>
      <c r="C1250" s="55" t="s">
        <v>918</v>
      </c>
      <c r="E1250" s="55"/>
      <c r="F1250" s="55"/>
      <c r="G1250" s="55"/>
    </row>
    <row r="1251" hidden="1">
      <c r="A1251" s="55" t="s">
        <v>170</v>
      </c>
      <c r="B1251" s="55">
        <v>140.0</v>
      </c>
      <c r="C1251" s="55" t="s">
        <v>917</v>
      </c>
      <c r="E1251" s="55"/>
      <c r="F1251" s="55"/>
      <c r="G1251" s="55"/>
    </row>
    <row r="1252">
      <c r="A1252" s="55" t="s">
        <v>173</v>
      </c>
      <c r="B1252" s="55">
        <v>30.0</v>
      </c>
      <c r="C1252" s="55" t="s">
        <v>918</v>
      </c>
      <c r="E1252" s="55"/>
      <c r="F1252" s="55"/>
      <c r="G1252" s="55"/>
    </row>
    <row r="1253" hidden="1">
      <c r="A1253" s="55" t="s">
        <v>168</v>
      </c>
      <c r="B1253" s="55">
        <v>60.0</v>
      </c>
      <c r="C1253" s="55" t="s">
        <v>917</v>
      </c>
      <c r="E1253" s="55"/>
      <c r="F1253" s="55"/>
      <c r="G1253" s="55"/>
    </row>
    <row r="1254" hidden="1">
      <c r="A1254" s="55" t="s">
        <v>329</v>
      </c>
      <c r="B1254" s="55">
        <v>17.0</v>
      </c>
      <c r="C1254" s="55" t="s">
        <v>917</v>
      </c>
      <c r="E1254" s="55"/>
      <c r="F1254" s="55"/>
      <c r="G1254" s="55"/>
    </row>
    <row r="1255" hidden="1">
      <c r="A1255" s="55" t="s">
        <v>347</v>
      </c>
      <c r="B1255" s="55">
        <v>90.0</v>
      </c>
      <c r="C1255" s="55" t="s">
        <v>917</v>
      </c>
      <c r="E1255" s="55"/>
      <c r="F1255" s="55"/>
      <c r="G1255" s="55"/>
    </row>
    <row r="1256">
      <c r="A1256" s="55" t="s">
        <v>174</v>
      </c>
      <c r="B1256" s="55">
        <v>20.0</v>
      </c>
      <c r="C1256" s="55" t="s">
        <v>918</v>
      </c>
      <c r="E1256" s="55"/>
      <c r="F1256" s="55"/>
      <c r="G1256" s="55"/>
    </row>
    <row r="1257" hidden="1">
      <c r="A1257" s="55" t="s">
        <v>275</v>
      </c>
      <c r="B1257" s="55">
        <v>60.0</v>
      </c>
      <c r="C1257" s="55" t="s">
        <v>917</v>
      </c>
      <c r="E1257" s="55"/>
      <c r="F1257" s="55"/>
      <c r="G1257" s="55"/>
    </row>
    <row r="1258" hidden="1">
      <c r="A1258" s="55" t="s">
        <v>290</v>
      </c>
      <c r="B1258" s="55">
        <v>35.0</v>
      </c>
      <c r="C1258" s="55" t="s">
        <v>917</v>
      </c>
      <c r="E1258" s="55"/>
      <c r="F1258" s="55"/>
      <c r="G1258" s="55"/>
    </row>
    <row r="1259" hidden="1">
      <c r="A1259" s="55" t="s">
        <v>344</v>
      </c>
      <c r="B1259" s="55">
        <v>100.0</v>
      </c>
      <c r="C1259" s="55" t="s">
        <v>917</v>
      </c>
      <c r="E1259" s="55"/>
      <c r="F1259" s="55"/>
      <c r="G1259" s="55"/>
    </row>
    <row r="1260" hidden="1">
      <c r="A1260" s="55" t="s">
        <v>374</v>
      </c>
      <c r="B1260" s="55">
        <v>60.0</v>
      </c>
      <c r="C1260" s="55" t="s">
        <v>917</v>
      </c>
      <c r="E1260" s="55"/>
      <c r="F1260" s="55"/>
      <c r="G1260" s="55"/>
    </row>
    <row r="1261">
      <c r="A1261" s="55" t="s">
        <v>242</v>
      </c>
      <c r="B1261" s="55">
        <v>20.0</v>
      </c>
      <c r="C1261" s="55" t="s">
        <v>918</v>
      </c>
      <c r="E1261" s="55"/>
      <c r="F1261" s="55"/>
      <c r="G1261" s="55"/>
    </row>
    <row r="1262">
      <c r="A1262" s="55" t="s">
        <v>226</v>
      </c>
      <c r="B1262" s="55">
        <v>60.0</v>
      </c>
      <c r="C1262" s="55" t="s">
        <v>922</v>
      </c>
      <c r="E1262" s="55"/>
      <c r="F1262" s="55"/>
      <c r="G1262" s="55"/>
    </row>
    <row r="1263" hidden="1">
      <c r="A1263" s="55" t="s">
        <v>203</v>
      </c>
      <c r="B1263" s="55">
        <v>40.0</v>
      </c>
      <c r="C1263" s="55" t="s">
        <v>917</v>
      </c>
      <c r="E1263" s="55"/>
      <c r="F1263" s="55"/>
      <c r="G1263" s="55"/>
    </row>
    <row r="1264" hidden="1">
      <c r="A1264" s="55" t="s">
        <v>200</v>
      </c>
      <c r="B1264" s="55">
        <v>12.0</v>
      </c>
      <c r="C1264" s="55" t="s">
        <v>917</v>
      </c>
      <c r="E1264" s="55"/>
      <c r="F1264" s="55"/>
      <c r="G1264" s="55"/>
    </row>
    <row r="1265" hidden="1">
      <c r="A1265" s="55" t="s">
        <v>236</v>
      </c>
      <c r="B1265" s="55">
        <v>104.0</v>
      </c>
      <c r="C1265" s="55" t="s">
        <v>917</v>
      </c>
      <c r="E1265" s="55"/>
      <c r="F1265" s="55"/>
      <c r="G1265" s="55"/>
    </row>
    <row r="1266" hidden="1">
      <c r="A1266" s="55" t="s">
        <v>339</v>
      </c>
      <c r="B1266" s="55">
        <v>37.0</v>
      </c>
      <c r="C1266" s="55" t="s">
        <v>917</v>
      </c>
      <c r="E1266" s="55"/>
      <c r="F1266" s="55"/>
      <c r="G1266" s="55"/>
    </row>
    <row r="1267" hidden="1">
      <c r="A1267" s="55" t="s">
        <v>318</v>
      </c>
      <c r="B1267" s="55">
        <v>27.0</v>
      </c>
      <c r="C1267" s="55" t="s">
        <v>917</v>
      </c>
      <c r="E1267" s="55"/>
      <c r="F1267" s="55"/>
      <c r="G1267" s="55"/>
    </row>
    <row r="1268">
      <c r="A1268" s="55" t="s">
        <v>320</v>
      </c>
      <c r="B1268" s="55">
        <v>15.0</v>
      </c>
      <c r="C1268" s="55" t="s">
        <v>918</v>
      </c>
      <c r="E1268" s="55"/>
      <c r="F1268" s="55"/>
      <c r="G1268" s="55"/>
    </row>
    <row r="1269" hidden="1">
      <c r="A1269" s="55" t="s">
        <v>164</v>
      </c>
      <c r="B1269" s="55">
        <v>260.0</v>
      </c>
      <c r="C1269" s="55" t="s">
        <v>917</v>
      </c>
      <c r="E1269" s="55"/>
      <c r="F1269" s="55"/>
      <c r="G1269" s="55"/>
    </row>
    <row r="1270">
      <c r="A1270" s="55" t="s">
        <v>166</v>
      </c>
      <c r="B1270" s="55">
        <v>80.0</v>
      </c>
      <c r="C1270" s="55" t="s">
        <v>918</v>
      </c>
      <c r="E1270" s="55"/>
      <c r="F1270" s="55"/>
      <c r="G1270" s="55"/>
    </row>
    <row r="1271" hidden="1">
      <c r="A1271" s="55" t="s">
        <v>167</v>
      </c>
      <c r="B1271" s="55">
        <v>60.0</v>
      </c>
      <c r="C1271" s="55" t="s">
        <v>917</v>
      </c>
      <c r="E1271" s="55"/>
      <c r="F1271" s="55"/>
      <c r="G1271" s="55"/>
    </row>
    <row r="1272" hidden="1">
      <c r="A1272" s="55" t="s">
        <v>306</v>
      </c>
      <c r="B1272" s="55">
        <v>20.0</v>
      </c>
      <c r="C1272" s="55" t="s">
        <v>917</v>
      </c>
      <c r="E1272" s="55"/>
      <c r="F1272" s="55"/>
      <c r="G1272" s="55"/>
    </row>
    <row r="1273">
      <c r="A1273" s="55" t="s">
        <v>307</v>
      </c>
      <c r="B1273" s="55">
        <v>4.0</v>
      </c>
      <c r="C1273" s="55" t="s">
        <v>918</v>
      </c>
      <c r="E1273" s="55"/>
      <c r="F1273" s="55"/>
      <c r="G1273" s="55"/>
    </row>
    <row r="1274">
      <c r="A1274" s="55" t="s">
        <v>283</v>
      </c>
      <c r="B1274" s="55">
        <v>120.0</v>
      </c>
      <c r="C1274" s="55" t="s">
        <v>933</v>
      </c>
      <c r="E1274" s="55"/>
      <c r="F1274" s="55"/>
      <c r="G1274" s="55"/>
    </row>
    <row r="1275" hidden="1">
      <c r="A1275" s="55" t="s">
        <v>366</v>
      </c>
      <c r="B1275" s="55">
        <v>20.0</v>
      </c>
      <c r="C1275" s="55" t="s">
        <v>917</v>
      </c>
      <c r="E1275" s="55"/>
      <c r="F1275" s="55"/>
      <c r="G1275" s="55"/>
    </row>
    <row r="1276">
      <c r="A1276" s="55" t="s">
        <v>325</v>
      </c>
      <c r="B1276" s="55">
        <v>144.0</v>
      </c>
      <c r="C1276" s="55" t="s">
        <v>918</v>
      </c>
      <c r="E1276" s="55"/>
      <c r="F1276" s="55"/>
      <c r="G1276" s="55"/>
    </row>
    <row r="1277" hidden="1">
      <c r="A1277" s="55" t="s">
        <v>334</v>
      </c>
      <c r="B1277" s="55">
        <v>72.0</v>
      </c>
      <c r="C1277" s="55" t="s">
        <v>917</v>
      </c>
      <c r="E1277" s="55"/>
      <c r="F1277" s="55"/>
      <c r="G1277" s="55"/>
    </row>
    <row r="1278" hidden="1">
      <c r="A1278" s="55" t="s">
        <v>335</v>
      </c>
      <c r="B1278" s="55">
        <v>72.0</v>
      </c>
      <c r="C1278" s="55" t="s">
        <v>917</v>
      </c>
      <c r="E1278" s="55"/>
      <c r="F1278" s="55"/>
      <c r="G1278" s="55"/>
    </row>
    <row r="1279">
      <c r="A1279" s="55" t="s">
        <v>235</v>
      </c>
      <c r="B1279" s="55">
        <v>9.0</v>
      </c>
      <c r="C1279" s="55" t="s">
        <v>918</v>
      </c>
      <c r="E1279" s="55"/>
      <c r="F1279" s="55"/>
      <c r="G1279" s="55"/>
    </row>
    <row r="1280">
      <c r="A1280" s="55" t="s">
        <v>264</v>
      </c>
      <c r="B1280" s="55">
        <v>20.0</v>
      </c>
      <c r="C1280" s="55" t="s">
        <v>918</v>
      </c>
      <c r="E1280" s="55"/>
      <c r="F1280" s="55"/>
      <c r="G1280" s="55"/>
    </row>
    <row r="1281" hidden="1">
      <c r="A1281" s="55" t="s">
        <v>292</v>
      </c>
      <c r="B1281" s="55">
        <v>19.0</v>
      </c>
      <c r="C1281" s="55" t="s">
        <v>917</v>
      </c>
      <c r="E1281" s="55"/>
      <c r="F1281" s="55"/>
      <c r="G1281" s="55"/>
    </row>
    <row r="1282" hidden="1">
      <c r="A1282" s="55" t="s">
        <v>286</v>
      </c>
      <c r="B1282" s="55">
        <v>41.0</v>
      </c>
      <c r="C1282" s="55" t="s">
        <v>917</v>
      </c>
      <c r="E1282" s="55"/>
      <c r="F1282" s="55"/>
      <c r="G1282" s="55"/>
    </row>
    <row r="1283" hidden="1">
      <c r="A1283" s="55" t="s">
        <v>294</v>
      </c>
      <c r="B1283" s="55">
        <v>40.0</v>
      </c>
      <c r="C1283" s="55" t="s">
        <v>917</v>
      </c>
      <c r="E1283" s="55"/>
      <c r="F1283" s="55"/>
      <c r="G1283" s="55"/>
    </row>
    <row r="1284" hidden="1">
      <c r="A1284" s="55" t="s">
        <v>291</v>
      </c>
      <c r="B1284" s="55">
        <v>7.0</v>
      </c>
      <c r="C1284" s="55" t="s">
        <v>917</v>
      </c>
      <c r="E1284" s="55"/>
      <c r="F1284" s="55"/>
      <c r="G1284" s="55"/>
    </row>
    <row r="1285" hidden="1">
      <c r="A1285" s="55" t="s">
        <v>278</v>
      </c>
      <c r="B1285" s="55">
        <v>10.0</v>
      </c>
      <c r="C1285" s="55" t="s">
        <v>917</v>
      </c>
      <c r="E1285" s="55"/>
      <c r="F1285" s="55"/>
      <c r="G1285" s="55"/>
    </row>
    <row r="1286" hidden="1">
      <c r="A1286" s="55" t="s">
        <v>353</v>
      </c>
      <c r="B1286" s="55">
        <v>20.0</v>
      </c>
      <c r="C1286" s="55" t="s">
        <v>917</v>
      </c>
      <c r="E1286" s="55"/>
      <c r="F1286" s="55"/>
      <c r="G1286" s="55"/>
    </row>
    <row r="1287" hidden="1">
      <c r="A1287" s="55" t="s">
        <v>355</v>
      </c>
      <c r="B1287" s="55">
        <v>20.0</v>
      </c>
      <c r="C1287" s="55" t="s">
        <v>917</v>
      </c>
      <c r="E1287" s="55"/>
      <c r="F1287" s="55"/>
      <c r="G1287" s="55"/>
    </row>
    <row r="1288">
      <c r="A1288" s="55" t="s">
        <v>252</v>
      </c>
      <c r="B1288" s="55">
        <v>144.0</v>
      </c>
      <c r="C1288" s="55" t="s">
        <v>918</v>
      </c>
      <c r="E1288" s="55"/>
      <c r="F1288" s="55"/>
      <c r="G1288" s="55"/>
    </row>
    <row r="1289">
      <c r="A1289" s="55" t="s">
        <v>375</v>
      </c>
      <c r="B1289" s="55">
        <v>50.0</v>
      </c>
      <c r="C1289" s="55" t="s">
        <v>918</v>
      </c>
      <c r="E1289" s="55"/>
      <c r="F1289" s="55"/>
      <c r="G1289" s="55"/>
    </row>
    <row r="1290">
      <c r="A1290" s="55" t="s">
        <v>373</v>
      </c>
      <c r="B1290" s="55">
        <v>144.0</v>
      </c>
      <c r="C1290" s="55" t="s">
        <v>925</v>
      </c>
      <c r="E1290" s="55"/>
      <c r="F1290" s="55"/>
      <c r="G1290" s="55"/>
    </row>
    <row r="1291">
      <c r="A1291" s="55" t="s">
        <v>371</v>
      </c>
      <c r="B1291" s="55">
        <v>144.0</v>
      </c>
      <c r="C1291" s="55" t="s">
        <v>918</v>
      </c>
      <c r="E1291" s="55"/>
      <c r="F1291" s="55"/>
      <c r="G1291" s="55"/>
    </row>
    <row r="1292">
      <c r="A1292" s="55" t="s">
        <v>369</v>
      </c>
      <c r="B1292" s="55">
        <v>60.0</v>
      </c>
      <c r="C1292" s="55" t="s">
        <v>918</v>
      </c>
      <c r="E1292" s="55"/>
      <c r="F1292" s="55"/>
      <c r="G1292" s="55"/>
    </row>
    <row r="1293" hidden="1">
      <c r="A1293" s="55" t="s">
        <v>201</v>
      </c>
      <c r="B1293" s="55">
        <v>7.0</v>
      </c>
      <c r="C1293" s="55" t="s">
        <v>917</v>
      </c>
      <c r="E1293" s="55"/>
      <c r="F1293" s="55"/>
      <c r="G1293" s="55"/>
    </row>
    <row r="1294" hidden="1">
      <c r="A1294" s="55" t="s">
        <v>175</v>
      </c>
      <c r="B1294" s="55">
        <v>120.0</v>
      </c>
      <c r="C1294" s="55" t="s">
        <v>917</v>
      </c>
      <c r="E1294" s="55"/>
      <c r="F1294" s="55"/>
      <c r="G1294" s="55"/>
    </row>
    <row r="1295" hidden="1">
      <c r="A1295" s="55" t="s">
        <v>220</v>
      </c>
      <c r="B1295" s="55">
        <v>120.0</v>
      </c>
      <c r="C1295" s="55" t="s">
        <v>917</v>
      </c>
      <c r="E1295" s="55"/>
      <c r="F1295" s="55"/>
      <c r="G1295" s="55"/>
    </row>
    <row r="1296" hidden="1">
      <c r="A1296" s="55" t="s">
        <v>352</v>
      </c>
      <c r="B1296" s="55">
        <v>50.0</v>
      </c>
      <c r="C1296" s="55" t="s">
        <v>917</v>
      </c>
      <c r="E1296" s="55"/>
      <c r="F1296" s="55"/>
      <c r="G1296" s="55"/>
    </row>
    <row r="1297" hidden="1">
      <c r="A1297" s="55" t="s">
        <v>187</v>
      </c>
      <c r="B1297" s="55">
        <v>4.0</v>
      </c>
      <c r="C1297" s="55" t="s">
        <v>917</v>
      </c>
      <c r="E1297" s="55"/>
      <c r="F1297" s="55"/>
      <c r="G1297" s="55"/>
    </row>
    <row r="1298" hidden="1">
      <c r="A1298" s="55" t="s">
        <v>337</v>
      </c>
      <c r="B1298" s="55">
        <v>30.0</v>
      </c>
      <c r="C1298" s="55" t="s">
        <v>917</v>
      </c>
      <c r="E1298" s="55"/>
      <c r="F1298" s="55"/>
      <c r="G1298" s="55"/>
    </row>
    <row r="1299" hidden="1">
      <c r="A1299" s="55" t="s">
        <v>354</v>
      </c>
      <c r="B1299" s="55">
        <v>40.0</v>
      </c>
      <c r="C1299" s="55" t="s">
        <v>917</v>
      </c>
      <c r="E1299" s="55"/>
      <c r="F1299" s="55"/>
      <c r="G1299" s="55"/>
    </row>
    <row r="1300" hidden="1">
      <c r="A1300" s="55" t="s">
        <v>185</v>
      </c>
      <c r="B1300" s="55">
        <v>180.0</v>
      </c>
      <c r="C1300" s="55" t="s">
        <v>917</v>
      </c>
      <c r="E1300" s="55"/>
      <c r="F1300" s="55"/>
      <c r="G1300" s="55"/>
    </row>
    <row r="1301">
      <c r="A1301" s="55" t="s">
        <v>223</v>
      </c>
      <c r="B1301" s="55">
        <v>100.0</v>
      </c>
      <c r="C1301" s="55" t="s">
        <v>918</v>
      </c>
      <c r="E1301" s="55"/>
      <c r="F1301" s="55"/>
      <c r="G1301" s="55"/>
    </row>
    <row r="1302">
      <c r="A1302" s="55" t="s">
        <v>284</v>
      </c>
      <c r="B1302" s="55">
        <v>5.0</v>
      </c>
      <c r="C1302" s="55" t="s">
        <v>922</v>
      </c>
      <c r="E1302" s="55"/>
      <c r="F1302" s="55"/>
      <c r="G1302" s="55"/>
    </row>
    <row r="1303">
      <c r="A1303" s="55" t="s">
        <v>221</v>
      </c>
      <c r="B1303" s="55">
        <v>30.0</v>
      </c>
      <c r="C1303" s="55" t="s">
        <v>922</v>
      </c>
      <c r="E1303" s="55"/>
      <c r="F1303" s="55"/>
      <c r="G1303" s="55"/>
    </row>
    <row r="1304" hidden="1">
      <c r="A1304" s="55" t="s">
        <v>239</v>
      </c>
      <c r="B1304" s="55">
        <v>69.0</v>
      </c>
      <c r="C1304" s="55" t="s">
        <v>917</v>
      </c>
      <c r="E1304" s="55"/>
      <c r="F1304" s="55"/>
      <c r="G1304" s="55"/>
    </row>
    <row r="1305">
      <c r="A1305" s="55" t="s">
        <v>261</v>
      </c>
      <c r="B1305" s="55">
        <v>14.0</v>
      </c>
      <c r="C1305" s="55" t="s">
        <v>922</v>
      </c>
      <c r="E1305" s="55"/>
      <c r="F1305" s="55"/>
      <c r="G1305" s="55"/>
    </row>
    <row r="1306" hidden="1">
      <c r="A1306" s="55" t="s">
        <v>273</v>
      </c>
      <c r="B1306" s="55">
        <v>80.0</v>
      </c>
      <c r="C1306" s="55" t="s">
        <v>917</v>
      </c>
      <c r="E1306" s="55"/>
      <c r="F1306" s="55"/>
      <c r="G1306" s="55"/>
    </row>
    <row r="1307">
      <c r="A1307" s="55" t="s">
        <v>216</v>
      </c>
      <c r="B1307" s="55">
        <v>30.0</v>
      </c>
      <c r="C1307" s="55" t="s">
        <v>918</v>
      </c>
      <c r="E1307" s="55"/>
      <c r="F1307" s="55"/>
      <c r="G1307" s="55"/>
    </row>
    <row r="1308">
      <c r="A1308" s="55" t="s">
        <v>250</v>
      </c>
      <c r="B1308" s="55">
        <v>10.0</v>
      </c>
      <c r="C1308" s="55" t="s">
        <v>932</v>
      </c>
      <c r="E1308" s="55"/>
      <c r="F1308" s="55"/>
      <c r="G1308" s="55"/>
    </row>
    <row r="1309">
      <c r="A1309" s="55" t="s">
        <v>331</v>
      </c>
      <c r="B1309" s="55">
        <v>20.0</v>
      </c>
      <c r="C1309" s="55" t="s">
        <v>932</v>
      </c>
      <c r="E1309" s="55"/>
      <c r="F1309" s="55"/>
      <c r="G1309" s="55"/>
    </row>
    <row r="1310" hidden="1">
      <c r="A1310" s="55" t="s">
        <v>309</v>
      </c>
      <c r="B1310" s="55">
        <v>120.0</v>
      </c>
      <c r="C1310" s="55" t="s">
        <v>917</v>
      </c>
      <c r="E1310" s="55"/>
      <c r="F1310" s="55"/>
      <c r="G1310" s="55"/>
    </row>
    <row r="1311">
      <c r="A1311" s="55" t="s">
        <v>212</v>
      </c>
      <c r="B1311" s="55">
        <v>30.0</v>
      </c>
      <c r="C1311" s="55" t="s">
        <v>918</v>
      </c>
      <c r="E1311" s="55"/>
      <c r="F1311" s="55"/>
      <c r="G1311" s="55"/>
    </row>
    <row r="1312" hidden="1">
      <c r="A1312" s="55" t="s">
        <v>293</v>
      </c>
      <c r="B1312" s="55">
        <v>20.0</v>
      </c>
      <c r="C1312" s="55" t="s">
        <v>917</v>
      </c>
      <c r="E1312" s="55"/>
      <c r="F1312" s="55"/>
      <c r="G1312" s="55"/>
    </row>
    <row r="1313">
      <c r="A1313" s="55" t="s">
        <v>257</v>
      </c>
      <c r="B1313" s="55">
        <v>20.0</v>
      </c>
      <c r="C1313" s="55" t="s">
        <v>932</v>
      </c>
      <c r="E1313" s="55"/>
      <c r="F1313" s="55"/>
      <c r="G1313" s="55"/>
    </row>
    <row r="1314">
      <c r="A1314" s="55" t="s">
        <v>262</v>
      </c>
      <c r="B1314" s="55">
        <v>40.0</v>
      </c>
      <c r="C1314" s="55" t="s">
        <v>922</v>
      </c>
      <c r="E1314" s="55"/>
      <c r="F1314" s="55"/>
      <c r="G1314" s="55"/>
    </row>
    <row r="1315" hidden="1">
      <c r="A1315" s="55" t="s">
        <v>376</v>
      </c>
      <c r="B1315" s="55">
        <v>40.0</v>
      </c>
      <c r="C1315" s="55" t="s">
        <v>917</v>
      </c>
      <c r="E1315" s="55"/>
      <c r="F1315" s="55"/>
      <c r="G1315" s="55"/>
    </row>
    <row r="1316" hidden="1">
      <c r="A1316" s="55" t="s">
        <v>170</v>
      </c>
      <c r="B1316" s="55">
        <v>103.0</v>
      </c>
      <c r="C1316" s="55" t="s">
        <v>917</v>
      </c>
      <c r="E1316" s="55"/>
      <c r="F1316" s="55"/>
      <c r="G1316" s="55"/>
    </row>
    <row r="1317">
      <c r="A1317" s="55" t="s">
        <v>173</v>
      </c>
      <c r="B1317" s="55">
        <v>25.0</v>
      </c>
      <c r="C1317" s="55" t="s">
        <v>918</v>
      </c>
      <c r="E1317" s="55"/>
      <c r="F1317" s="55"/>
      <c r="G1317" s="55"/>
    </row>
    <row r="1318" hidden="1">
      <c r="A1318" s="55" t="s">
        <v>168</v>
      </c>
      <c r="B1318" s="55">
        <v>16.0</v>
      </c>
      <c r="C1318" s="55" t="s">
        <v>917</v>
      </c>
      <c r="E1318" s="55"/>
      <c r="F1318" s="55"/>
      <c r="G1318" s="55"/>
    </row>
    <row r="1319">
      <c r="A1319" s="55" t="s">
        <v>240</v>
      </c>
      <c r="B1319" s="55">
        <v>21.0</v>
      </c>
      <c r="C1319" s="55" t="s">
        <v>922</v>
      </c>
      <c r="E1319" s="55"/>
      <c r="F1319" s="55"/>
      <c r="G1319" s="55"/>
    </row>
    <row r="1320" hidden="1">
      <c r="A1320" s="55" t="s">
        <v>347</v>
      </c>
      <c r="B1320" s="55">
        <v>25.0</v>
      </c>
      <c r="C1320" s="55" t="s">
        <v>917</v>
      </c>
      <c r="E1320" s="55"/>
      <c r="F1320" s="55"/>
      <c r="G1320" s="55"/>
    </row>
    <row r="1321" hidden="1">
      <c r="A1321" s="55" t="s">
        <v>266</v>
      </c>
      <c r="B1321" s="55">
        <v>18.0</v>
      </c>
      <c r="C1321" s="55" t="s">
        <v>917</v>
      </c>
      <c r="E1321" s="55"/>
      <c r="F1321" s="55"/>
      <c r="G1321" s="55"/>
    </row>
    <row r="1322" hidden="1">
      <c r="A1322" s="55" t="s">
        <v>275</v>
      </c>
      <c r="B1322" s="55">
        <v>54.0</v>
      </c>
      <c r="C1322" s="55" t="s">
        <v>917</v>
      </c>
      <c r="E1322" s="55"/>
      <c r="F1322" s="55"/>
      <c r="G1322" s="55"/>
    </row>
    <row r="1323" hidden="1">
      <c r="A1323" s="55" t="s">
        <v>290</v>
      </c>
      <c r="B1323" s="55">
        <v>16.0</v>
      </c>
      <c r="C1323" s="55" t="s">
        <v>917</v>
      </c>
      <c r="E1323" s="55"/>
      <c r="F1323" s="55"/>
      <c r="G1323" s="55"/>
    </row>
    <row r="1324" hidden="1">
      <c r="A1324" s="55" t="s">
        <v>315</v>
      </c>
      <c r="B1324" s="55">
        <v>11.0</v>
      </c>
      <c r="C1324" s="55" t="s">
        <v>917</v>
      </c>
      <c r="E1324" s="55"/>
      <c r="F1324" s="55"/>
      <c r="G1324" s="55"/>
    </row>
    <row r="1325" hidden="1">
      <c r="A1325" s="55" t="s">
        <v>326</v>
      </c>
      <c r="B1325" s="55">
        <v>9.0</v>
      </c>
      <c r="C1325" s="55" t="s">
        <v>917</v>
      </c>
      <c r="E1325" s="55"/>
      <c r="F1325" s="55"/>
      <c r="G1325" s="55"/>
    </row>
    <row r="1326" hidden="1">
      <c r="A1326" s="55" t="s">
        <v>344</v>
      </c>
      <c r="B1326" s="55">
        <v>82.0</v>
      </c>
      <c r="C1326" s="55" t="s">
        <v>917</v>
      </c>
      <c r="E1326" s="55"/>
      <c r="F1326" s="55"/>
      <c r="G1326" s="55"/>
    </row>
    <row r="1327" hidden="1">
      <c r="A1327" s="55" t="s">
        <v>374</v>
      </c>
      <c r="B1327" s="55">
        <v>90.0</v>
      </c>
      <c r="C1327" s="55" t="s">
        <v>917</v>
      </c>
      <c r="E1327" s="55"/>
      <c r="F1327" s="55"/>
      <c r="G1327" s="55"/>
    </row>
    <row r="1328">
      <c r="A1328" s="55" t="s">
        <v>242</v>
      </c>
      <c r="B1328" s="55">
        <v>4.0</v>
      </c>
      <c r="C1328" s="55" t="s">
        <v>918</v>
      </c>
      <c r="E1328" s="55"/>
      <c r="F1328" s="55"/>
      <c r="G1328" s="55"/>
    </row>
    <row r="1329" hidden="1">
      <c r="A1329" s="55" t="s">
        <v>208</v>
      </c>
      <c r="B1329" s="55">
        <v>1.0</v>
      </c>
      <c r="C1329" s="55" t="s">
        <v>917</v>
      </c>
      <c r="E1329" s="55"/>
      <c r="F1329" s="55"/>
      <c r="G1329" s="55"/>
    </row>
    <row r="1330" hidden="1">
      <c r="A1330" s="55" t="s">
        <v>203</v>
      </c>
      <c r="B1330" s="55">
        <v>18.0</v>
      </c>
      <c r="C1330" s="55" t="s">
        <v>917</v>
      </c>
      <c r="E1330" s="55"/>
      <c r="F1330" s="55"/>
      <c r="G1330" s="55"/>
    </row>
    <row r="1331" hidden="1">
      <c r="A1331" s="55" t="s">
        <v>318</v>
      </c>
      <c r="B1331" s="55">
        <v>68.0</v>
      </c>
      <c r="C1331" s="55" t="s">
        <v>917</v>
      </c>
      <c r="E1331" s="55"/>
      <c r="F1331" s="55"/>
      <c r="G1331" s="55"/>
    </row>
    <row r="1332">
      <c r="A1332" s="55" t="s">
        <v>320</v>
      </c>
      <c r="B1332" s="55">
        <v>29.0</v>
      </c>
      <c r="C1332" s="55" t="s">
        <v>918</v>
      </c>
      <c r="E1332" s="55"/>
      <c r="F1332" s="55"/>
      <c r="G1332" s="55"/>
    </row>
    <row r="1333" hidden="1">
      <c r="A1333" s="55" t="s">
        <v>164</v>
      </c>
      <c r="B1333" s="55">
        <v>250.0</v>
      </c>
      <c r="C1333" s="55" t="s">
        <v>917</v>
      </c>
      <c r="E1333" s="55"/>
      <c r="F1333" s="55"/>
      <c r="G1333" s="55"/>
    </row>
    <row r="1334">
      <c r="A1334" s="55" t="s">
        <v>166</v>
      </c>
      <c r="B1334" s="55">
        <v>80.0</v>
      </c>
      <c r="C1334" s="55" t="s">
        <v>918</v>
      </c>
      <c r="E1334" s="55"/>
      <c r="F1334" s="55"/>
      <c r="G1334" s="55"/>
    </row>
    <row r="1335" hidden="1">
      <c r="A1335" s="55" t="s">
        <v>167</v>
      </c>
      <c r="B1335" s="55">
        <v>100.0</v>
      </c>
      <c r="C1335" s="55" t="s">
        <v>917</v>
      </c>
      <c r="E1335" s="55"/>
      <c r="F1335" s="55"/>
      <c r="G1335" s="55"/>
    </row>
    <row r="1336" hidden="1">
      <c r="A1336" s="55" t="s">
        <v>306</v>
      </c>
      <c r="B1336" s="55">
        <v>22.0</v>
      </c>
      <c r="C1336" s="55" t="s">
        <v>917</v>
      </c>
      <c r="E1336" s="55"/>
      <c r="F1336" s="55"/>
      <c r="G1336" s="55"/>
    </row>
    <row r="1337" hidden="1">
      <c r="A1337" s="55" t="s">
        <v>366</v>
      </c>
      <c r="B1337" s="55">
        <v>30.0</v>
      </c>
      <c r="C1337" s="55" t="s">
        <v>917</v>
      </c>
      <c r="E1337" s="55"/>
      <c r="F1337" s="55"/>
      <c r="G1337" s="55"/>
    </row>
    <row r="1338" hidden="1">
      <c r="A1338" s="55" t="s">
        <v>162</v>
      </c>
      <c r="B1338" s="55">
        <v>60.0</v>
      </c>
      <c r="C1338" s="55" t="s">
        <v>917</v>
      </c>
      <c r="E1338" s="55"/>
      <c r="F1338" s="55"/>
      <c r="G1338" s="55"/>
    </row>
    <row r="1339">
      <c r="A1339" s="55" t="s">
        <v>325</v>
      </c>
      <c r="B1339" s="55">
        <v>66.0</v>
      </c>
      <c r="C1339" s="55" t="s">
        <v>918</v>
      </c>
      <c r="E1339" s="55"/>
      <c r="F1339" s="55"/>
      <c r="G1339" s="55"/>
    </row>
    <row r="1340" hidden="1">
      <c r="A1340" s="55" t="s">
        <v>334</v>
      </c>
      <c r="B1340" s="55">
        <v>54.0</v>
      </c>
      <c r="C1340" s="55" t="s">
        <v>917</v>
      </c>
      <c r="E1340" s="55"/>
      <c r="F1340" s="55"/>
      <c r="G1340" s="55"/>
    </row>
    <row r="1341" hidden="1">
      <c r="A1341" s="55" t="s">
        <v>335</v>
      </c>
      <c r="B1341" s="55">
        <v>39.0</v>
      </c>
      <c r="C1341" s="55" t="s">
        <v>917</v>
      </c>
      <c r="E1341" s="55"/>
      <c r="F1341" s="55"/>
      <c r="G1341" s="55"/>
    </row>
    <row r="1342">
      <c r="A1342" s="55" t="s">
        <v>370</v>
      </c>
      <c r="B1342" s="55">
        <v>30.0</v>
      </c>
      <c r="C1342" s="55" t="s">
        <v>918</v>
      </c>
      <c r="E1342" s="55"/>
      <c r="F1342" s="55"/>
      <c r="G1342" s="55"/>
    </row>
    <row r="1343">
      <c r="A1343" s="55" t="s">
        <v>264</v>
      </c>
      <c r="B1343" s="55">
        <v>17.0</v>
      </c>
      <c r="C1343" s="55" t="s">
        <v>918</v>
      </c>
      <c r="E1343" s="55"/>
      <c r="F1343" s="55"/>
      <c r="G1343" s="55"/>
    </row>
    <row r="1344">
      <c r="A1344" s="55" t="s">
        <v>241</v>
      </c>
      <c r="B1344" s="55">
        <v>120.0</v>
      </c>
      <c r="C1344" s="55" t="s">
        <v>918</v>
      </c>
      <c r="E1344" s="55"/>
      <c r="F1344" s="55"/>
      <c r="G1344" s="55"/>
    </row>
    <row r="1345" hidden="1">
      <c r="A1345" s="55" t="s">
        <v>292</v>
      </c>
      <c r="B1345" s="55">
        <v>45.0</v>
      </c>
      <c r="C1345" s="55" t="s">
        <v>917</v>
      </c>
      <c r="E1345" s="55"/>
      <c r="F1345" s="55"/>
      <c r="G1345" s="55"/>
    </row>
    <row r="1346" hidden="1">
      <c r="A1346" s="55" t="s">
        <v>286</v>
      </c>
      <c r="B1346" s="55">
        <v>60.0</v>
      </c>
      <c r="C1346" s="55" t="s">
        <v>917</v>
      </c>
      <c r="E1346" s="55"/>
      <c r="F1346" s="55"/>
      <c r="G1346" s="55"/>
    </row>
    <row r="1347" hidden="1">
      <c r="A1347" s="55" t="s">
        <v>294</v>
      </c>
      <c r="B1347" s="55">
        <v>21.0</v>
      </c>
      <c r="C1347" s="55" t="s">
        <v>917</v>
      </c>
      <c r="E1347" s="55"/>
      <c r="F1347" s="55"/>
      <c r="G1347" s="55"/>
    </row>
    <row r="1348" hidden="1">
      <c r="A1348" s="55" t="s">
        <v>291</v>
      </c>
      <c r="B1348" s="55">
        <v>17.0</v>
      </c>
      <c r="C1348" s="55" t="s">
        <v>917</v>
      </c>
      <c r="E1348" s="55"/>
      <c r="F1348" s="55"/>
      <c r="G1348" s="55"/>
    </row>
    <row r="1349" hidden="1">
      <c r="A1349" s="55" t="s">
        <v>351</v>
      </c>
      <c r="B1349" s="55">
        <v>17.0</v>
      </c>
      <c r="C1349" s="55" t="s">
        <v>917</v>
      </c>
      <c r="E1349" s="55"/>
      <c r="F1349" s="55"/>
      <c r="G1349" s="55"/>
    </row>
    <row r="1350" hidden="1">
      <c r="A1350" s="55" t="s">
        <v>353</v>
      </c>
      <c r="B1350" s="55">
        <v>7.0</v>
      </c>
      <c r="C1350" s="55" t="s">
        <v>917</v>
      </c>
      <c r="E1350" s="55"/>
      <c r="F1350" s="55"/>
      <c r="G1350" s="55"/>
    </row>
    <row r="1351" hidden="1">
      <c r="A1351" s="55" t="s">
        <v>355</v>
      </c>
      <c r="B1351" s="55">
        <v>17.0</v>
      </c>
      <c r="C1351" s="55" t="s">
        <v>917</v>
      </c>
      <c r="E1351" s="55"/>
      <c r="F1351" s="55"/>
      <c r="G1351" s="55"/>
    </row>
    <row r="1352">
      <c r="A1352" s="55" t="s">
        <v>251</v>
      </c>
      <c r="B1352" s="55">
        <v>5.0</v>
      </c>
      <c r="C1352" s="55" t="s">
        <v>922</v>
      </c>
      <c r="E1352" s="55"/>
      <c r="F1352" s="55"/>
      <c r="G1352" s="55"/>
    </row>
    <row r="1353">
      <c r="A1353" s="55" t="s">
        <v>252</v>
      </c>
      <c r="B1353" s="55">
        <v>312.0</v>
      </c>
      <c r="C1353" s="55" t="s">
        <v>918</v>
      </c>
      <c r="E1353" s="55"/>
      <c r="F1353" s="55"/>
      <c r="G1353" s="55"/>
    </row>
    <row r="1354">
      <c r="A1354" s="55" t="s">
        <v>372</v>
      </c>
      <c r="B1354" s="55">
        <v>144.0</v>
      </c>
      <c r="C1354" s="55" t="s">
        <v>918</v>
      </c>
      <c r="E1354" s="55"/>
      <c r="F1354" s="55"/>
      <c r="G1354" s="55"/>
    </row>
    <row r="1355">
      <c r="A1355" s="55" t="s">
        <v>373</v>
      </c>
      <c r="B1355" s="55">
        <v>144.0</v>
      </c>
      <c r="C1355" s="55" t="s">
        <v>925</v>
      </c>
      <c r="E1355" s="55"/>
      <c r="F1355" s="55"/>
      <c r="G1355" s="55"/>
    </row>
    <row r="1356">
      <c r="A1356" s="55" t="s">
        <v>371</v>
      </c>
      <c r="B1356" s="55">
        <v>144.0</v>
      </c>
      <c r="C1356" s="55" t="s">
        <v>918</v>
      </c>
      <c r="E1356" s="55"/>
      <c r="F1356" s="55"/>
      <c r="G1356" s="55"/>
    </row>
    <row r="1357">
      <c r="A1357" s="55" t="s">
        <v>369</v>
      </c>
      <c r="B1357" s="55">
        <v>60.0</v>
      </c>
      <c r="C1357" s="55" t="s">
        <v>918</v>
      </c>
      <c r="E1357" s="55"/>
      <c r="F1357" s="55"/>
      <c r="G1357" s="55"/>
    </row>
    <row r="1358" hidden="1">
      <c r="A1358" s="55" t="s">
        <v>201</v>
      </c>
      <c r="B1358" s="55">
        <v>20.0</v>
      </c>
      <c r="C1358" s="55" t="s">
        <v>917</v>
      </c>
      <c r="E1358" s="55"/>
      <c r="F1358" s="55"/>
      <c r="G1358" s="55"/>
    </row>
    <row r="1359" hidden="1">
      <c r="A1359" s="55" t="s">
        <v>175</v>
      </c>
      <c r="B1359" s="55">
        <v>117.0</v>
      </c>
      <c r="C1359" s="55" t="s">
        <v>917</v>
      </c>
      <c r="E1359" s="55"/>
      <c r="F1359" s="55"/>
      <c r="G1359" s="55"/>
    </row>
    <row r="1360" hidden="1">
      <c r="A1360" s="55" t="s">
        <v>220</v>
      </c>
      <c r="B1360" s="55">
        <v>51.0</v>
      </c>
      <c r="C1360" s="55" t="s">
        <v>917</v>
      </c>
      <c r="E1360" s="55"/>
      <c r="F1360" s="55"/>
      <c r="G1360" s="55"/>
    </row>
    <row r="1361" hidden="1">
      <c r="A1361" s="55" t="s">
        <v>352</v>
      </c>
      <c r="B1361" s="55">
        <v>15.0</v>
      </c>
      <c r="C1361" s="55" t="s">
        <v>917</v>
      </c>
      <c r="E1361" s="55"/>
      <c r="F1361" s="55"/>
      <c r="G1361" s="55"/>
    </row>
    <row r="1362">
      <c r="A1362" s="55" t="s">
        <v>356</v>
      </c>
      <c r="B1362" s="55">
        <v>16.0</v>
      </c>
      <c r="C1362" s="55" t="s">
        <v>918</v>
      </c>
      <c r="E1362" s="55"/>
      <c r="F1362" s="55"/>
      <c r="G1362" s="55"/>
    </row>
    <row r="1363" hidden="1">
      <c r="A1363" s="55" t="s">
        <v>187</v>
      </c>
      <c r="B1363" s="55">
        <v>12.0</v>
      </c>
      <c r="C1363" s="55" t="s">
        <v>917</v>
      </c>
      <c r="E1363" s="55"/>
      <c r="F1363" s="55"/>
      <c r="G1363" s="55"/>
    </row>
    <row r="1364" hidden="1">
      <c r="A1364" s="55" t="s">
        <v>354</v>
      </c>
      <c r="B1364" s="55">
        <v>58.0</v>
      </c>
      <c r="C1364" s="55" t="s">
        <v>917</v>
      </c>
      <c r="E1364" s="55"/>
      <c r="F1364" s="55"/>
      <c r="G1364" s="55"/>
    </row>
    <row r="1365" hidden="1">
      <c r="A1365" s="55" t="s">
        <v>259</v>
      </c>
      <c r="B1365" s="55">
        <v>6.0</v>
      </c>
      <c r="C1365" s="55" t="s">
        <v>917</v>
      </c>
      <c r="E1365" s="55"/>
      <c r="F1365" s="55"/>
      <c r="G1365" s="55"/>
    </row>
    <row r="1366" hidden="1">
      <c r="A1366" s="55" t="s">
        <v>185</v>
      </c>
      <c r="B1366" s="55">
        <v>173.0</v>
      </c>
      <c r="C1366" s="55" t="s">
        <v>917</v>
      </c>
      <c r="E1366" s="55"/>
      <c r="F1366" s="55"/>
      <c r="G1366" s="55"/>
    </row>
    <row r="1367">
      <c r="A1367" s="55" t="s">
        <v>223</v>
      </c>
      <c r="B1367" s="55">
        <v>80.0</v>
      </c>
      <c r="C1367" s="55" t="s">
        <v>918</v>
      </c>
      <c r="E1367" s="55"/>
      <c r="F1367" s="55"/>
      <c r="G1367" s="55"/>
    </row>
    <row r="1368" hidden="1">
      <c r="A1368" s="55" t="s">
        <v>178</v>
      </c>
      <c r="B1368" s="55">
        <v>6.0</v>
      </c>
      <c r="C1368" s="55" t="s">
        <v>917</v>
      </c>
      <c r="E1368" s="55"/>
      <c r="F1368" s="55"/>
      <c r="G1368" s="55"/>
    </row>
    <row r="1369">
      <c r="A1369" s="55" t="s">
        <v>189</v>
      </c>
      <c r="B1369" s="55">
        <v>8.0</v>
      </c>
      <c r="C1369" s="55" t="s">
        <v>918</v>
      </c>
      <c r="E1369" s="55"/>
      <c r="F1369" s="55"/>
      <c r="G1369" s="55"/>
    </row>
    <row r="1370">
      <c r="A1370" s="55" t="s">
        <v>321</v>
      </c>
      <c r="B1370" s="55">
        <v>12.0</v>
      </c>
      <c r="C1370" s="55" t="s">
        <v>932</v>
      </c>
      <c r="E1370" s="55"/>
      <c r="F1370" s="55"/>
      <c r="G1370" s="55"/>
    </row>
    <row r="1371">
      <c r="A1371" s="55" t="s">
        <v>350</v>
      </c>
      <c r="B1371" s="55">
        <v>31.0</v>
      </c>
      <c r="C1371" s="55" t="s">
        <v>918</v>
      </c>
      <c r="E1371" s="55"/>
      <c r="F1371" s="55"/>
      <c r="G1371" s="55"/>
    </row>
    <row r="1372" hidden="1">
      <c r="A1372" s="55" t="s">
        <v>239</v>
      </c>
      <c r="B1372" s="55">
        <v>137.0</v>
      </c>
      <c r="C1372" s="55" t="s">
        <v>917</v>
      </c>
      <c r="E1372" s="55"/>
      <c r="F1372" s="55"/>
      <c r="G1372" s="55"/>
    </row>
    <row r="1373" hidden="1">
      <c r="A1373" s="55" t="s">
        <v>273</v>
      </c>
      <c r="B1373" s="55">
        <v>85.0</v>
      </c>
      <c r="C1373" s="55" t="s">
        <v>917</v>
      </c>
      <c r="E1373" s="55"/>
      <c r="F1373" s="55"/>
      <c r="G1373" s="55"/>
    </row>
    <row r="1374">
      <c r="A1374" s="55" t="s">
        <v>250</v>
      </c>
      <c r="B1374" s="55">
        <v>20.0</v>
      </c>
      <c r="C1374" s="55" t="s">
        <v>932</v>
      </c>
      <c r="E1374" s="55"/>
      <c r="F1374" s="55"/>
      <c r="G1374" s="55"/>
    </row>
    <row r="1375" hidden="1">
      <c r="A1375" s="55" t="s">
        <v>309</v>
      </c>
      <c r="B1375" s="55">
        <v>68.0</v>
      </c>
      <c r="C1375" s="55" t="s">
        <v>917</v>
      </c>
      <c r="E1375" s="55"/>
      <c r="F1375" s="55"/>
      <c r="G1375" s="55"/>
    </row>
    <row r="1376">
      <c r="A1376" s="55" t="s">
        <v>212</v>
      </c>
      <c r="B1376" s="55">
        <v>8.0</v>
      </c>
      <c r="C1376" s="55" t="s">
        <v>918</v>
      </c>
      <c r="E1376" s="55"/>
      <c r="F1376" s="55"/>
      <c r="G1376" s="55"/>
    </row>
    <row r="1377" hidden="1">
      <c r="A1377" s="55" t="s">
        <v>293</v>
      </c>
      <c r="B1377" s="55">
        <v>10.0</v>
      </c>
      <c r="C1377" s="55" t="s">
        <v>917</v>
      </c>
      <c r="E1377" s="55"/>
      <c r="F1377" s="55"/>
      <c r="G1377" s="55"/>
    </row>
    <row r="1378">
      <c r="A1378" s="55" t="s">
        <v>257</v>
      </c>
      <c r="B1378" s="55">
        <v>17.0</v>
      </c>
      <c r="C1378" s="55" t="s">
        <v>932</v>
      </c>
      <c r="E1378" s="55"/>
      <c r="F1378" s="55"/>
      <c r="G1378" s="55"/>
    </row>
    <row r="1379">
      <c r="A1379" s="55" t="s">
        <v>199</v>
      </c>
      <c r="B1379" s="55">
        <v>40.0</v>
      </c>
      <c r="C1379" s="55" t="s">
        <v>931</v>
      </c>
      <c r="E1379" s="55"/>
      <c r="F1379" s="55"/>
      <c r="G1379" s="55"/>
    </row>
    <row r="1380" hidden="1">
      <c r="A1380" s="55" t="s">
        <v>220</v>
      </c>
      <c r="B1380" s="55">
        <v>32.0</v>
      </c>
      <c r="C1380" s="55" t="s">
        <v>917</v>
      </c>
      <c r="E1380" s="55"/>
      <c r="F1380" s="55"/>
      <c r="G1380" s="55"/>
    </row>
    <row r="1381" hidden="1">
      <c r="A1381" s="55" t="s">
        <v>175</v>
      </c>
      <c r="B1381" s="55">
        <v>59.0</v>
      </c>
      <c r="C1381" s="55" t="s">
        <v>917</v>
      </c>
      <c r="E1381" s="55"/>
      <c r="F1381" s="55"/>
      <c r="G1381" s="55"/>
    </row>
    <row r="1382" hidden="1">
      <c r="A1382" s="55" t="s">
        <v>306</v>
      </c>
      <c r="B1382" s="55">
        <v>60.0</v>
      </c>
      <c r="C1382" s="55" t="s">
        <v>917</v>
      </c>
      <c r="E1382" s="55"/>
      <c r="F1382" s="55"/>
      <c r="G1382" s="55"/>
    </row>
    <row r="1383">
      <c r="A1383" s="55" t="s">
        <v>307</v>
      </c>
      <c r="B1383" s="55">
        <v>4.0</v>
      </c>
      <c r="C1383" s="55" t="s">
        <v>918</v>
      </c>
      <c r="E1383" s="55"/>
      <c r="F1383" s="55"/>
      <c r="G1383" s="55"/>
    </row>
    <row r="1384" hidden="1">
      <c r="A1384" s="55" t="s">
        <v>291</v>
      </c>
      <c r="B1384" s="55">
        <v>9.0</v>
      </c>
      <c r="C1384" s="55" t="s">
        <v>917</v>
      </c>
      <c r="E1384" s="55"/>
      <c r="F1384" s="55"/>
      <c r="G1384" s="55"/>
    </row>
    <row r="1385">
      <c r="A1385" s="55" t="s">
        <v>230</v>
      </c>
      <c r="B1385" s="55">
        <v>56.0</v>
      </c>
      <c r="C1385" s="55" t="s">
        <v>922</v>
      </c>
      <c r="E1385" s="55"/>
      <c r="F1385" s="55"/>
      <c r="G1385" s="55"/>
    </row>
    <row r="1386">
      <c r="A1386" s="55" t="s">
        <v>262</v>
      </c>
      <c r="B1386" s="55">
        <v>17.0</v>
      </c>
      <c r="C1386" s="55" t="s">
        <v>922</v>
      </c>
      <c r="E1386" s="55"/>
      <c r="F1386" s="55"/>
      <c r="G1386" s="55"/>
    </row>
    <row r="1387" hidden="1">
      <c r="A1387" s="55" t="s">
        <v>290</v>
      </c>
      <c r="B1387" s="55">
        <v>9.0</v>
      </c>
      <c r="C1387" s="55" t="s">
        <v>917</v>
      </c>
      <c r="E1387" s="55"/>
      <c r="F1387" s="55"/>
      <c r="G1387" s="55"/>
    </row>
    <row r="1388">
      <c r="A1388" s="55" t="s">
        <v>369</v>
      </c>
      <c r="B1388" s="55">
        <v>40.0</v>
      </c>
      <c r="C1388" s="55" t="s">
        <v>918</v>
      </c>
      <c r="E1388" s="55"/>
      <c r="F1388" s="55"/>
      <c r="G1388" s="55"/>
    </row>
    <row r="1389" hidden="1">
      <c r="A1389" s="55" t="s">
        <v>178</v>
      </c>
      <c r="B1389" s="55">
        <v>20.0</v>
      </c>
      <c r="C1389" s="55" t="s">
        <v>917</v>
      </c>
      <c r="E1389" s="55"/>
      <c r="F1389" s="55"/>
      <c r="G1389" s="55"/>
    </row>
    <row r="1390" hidden="1">
      <c r="A1390" s="55" t="s">
        <v>293</v>
      </c>
      <c r="B1390" s="55">
        <v>11.0</v>
      </c>
      <c r="C1390" s="55" t="s">
        <v>917</v>
      </c>
      <c r="E1390" s="55"/>
      <c r="F1390" s="55"/>
      <c r="G1390" s="55"/>
    </row>
    <row r="1391">
      <c r="A1391" s="55" t="s">
        <v>223</v>
      </c>
      <c r="B1391" s="55">
        <v>56.0</v>
      </c>
      <c r="C1391" s="55" t="s">
        <v>918</v>
      </c>
      <c r="E1391" s="55"/>
      <c r="F1391" s="55"/>
      <c r="G1391" s="55"/>
    </row>
    <row r="1392">
      <c r="A1392" s="55" t="s">
        <v>320</v>
      </c>
      <c r="B1392" s="55">
        <v>7.0</v>
      </c>
      <c r="C1392" s="55" t="s">
        <v>918</v>
      </c>
      <c r="E1392" s="55"/>
      <c r="F1392" s="55"/>
      <c r="G1392" s="55"/>
    </row>
    <row r="1393" hidden="1">
      <c r="A1393" s="55" t="s">
        <v>318</v>
      </c>
      <c r="B1393" s="55">
        <v>14.0</v>
      </c>
      <c r="C1393" s="55" t="s">
        <v>917</v>
      </c>
      <c r="E1393" s="55"/>
      <c r="F1393" s="55"/>
      <c r="G1393" s="55"/>
    </row>
    <row r="1394" hidden="1">
      <c r="A1394" s="55" t="s">
        <v>278</v>
      </c>
      <c r="B1394" s="55">
        <v>10.0</v>
      </c>
      <c r="C1394" s="55" t="s">
        <v>917</v>
      </c>
      <c r="E1394" s="55"/>
      <c r="F1394" s="55"/>
      <c r="G1394" s="55"/>
    </row>
    <row r="1395" hidden="1">
      <c r="A1395" s="55" t="s">
        <v>354</v>
      </c>
      <c r="B1395" s="55">
        <v>38.0</v>
      </c>
      <c r="C1395" s="55" t="s">
        <v>917</v>
      </c>
      <c r="E1395" s="55"/>
      <c r="F1395" s="55"/>
      <c r="G1395" s="55"/>
    </row>
    <row r="1396">
      <c r="A1396" s="55" t="s">
        <v>241</v>
      </c>
      <c r="B1396" s="55">
        <v>76.0</v>
      </c>
      <c r="C1396" s="55" t="s">
        <v>918</v>
      </c>
      <c r="E1396" s="55"/>
      <c r="F1396" s="55"/>
      <c r="G1396" s="55"/>
    </row>
    <row r="1397">
      <c r="A1397" s="55" t="s">
        <v>264</v>
      </c>
      <c r="B1397" s="55">
        <v>7.0</v>
      </c>
      <c r="C1397" s="55" t="s">
        <v>918</v>
      </c>
      <c r="E1397" s="55"/>
      <c r="F1397" s="55"/>
      <c r="G1397" s="55"/>
    </row>
    <row r="1398" hidden="1">
      <c r="A1398" s="55" t="s">
        <v>187</v>
      </c>
      <c r="B1398" s="55">
        <v>5.0</v>
      </c>
      <c r="C1398" s="55" t="s">
        <v>917</v>
      </c>
      <c r="E1398" s="55"/>
      <c r="F1398" s="55"/>
      <c r="G1398" s="55"/>
    </row>
    <row r="1399" hidden="1">
      <c r="A1399" s="55" t="s">
        <v>353</v>
      </c>
      <c r="B1399" s="55">
        <v>9.0</v>
      </c>
      <c r="C1399" s="55" t="s">
        <v>917</v>
      </c>
      <c r="E1399" s="55"/>
      <c r="F1399" s="55"/>
      <c r="G1399" s="55"/>
    </row>
    <row r="1400" hidden="1">
      <c r="A1400" s="55" t="s">
        <v>335</v>
      </c>
      <c r="B1400" s="55">
        <v>16.0</v>
      </c>
      <c r="C1400" s="55" t="s">
        <v>917</v>
      </c>
      <c r="E1400" s="55"/>
      <c r="F1400" s="55"/>
      <c r="G1400" s="55"/>
    </row>
    <row r="1401" hidden="1">
      <c r="A1401" s="55" t="s">
        <v>334</v>
      </c>
      <c r="B1401" s="55">
        <v>72.0</v>
      </c>
      <c r="C1401" s="55" t="s">
        <v>917</v>
      </c>
      <c r="E1401" s="55"/>
      <c r="F1401" s="55"/>
      <c r="G1401" s="55"/>
    </row>
    <row r="1402" hidden="1">
      <c r="A1402" s="55" t="s">
        <v>275</v>
      </c>
      <c r="B1402" s="55">
        <v>49.0</v>
      </c>
      <c r="C1402" s="55" t="s">
        <v>917</v>
      </c>
      <c r="E1402" s="55"/>
      <c r="F1402" s="55"/>
      <c r="G1402" s="55"/>
    </row>
    <row r="1403" hidden="1">
      <c r="A1403" s="55" t="s">
        <v>266</v>
      </c>
      <c r="B1403" s="55">
        <v>7.0</v>
      </c>
      <c r="C1403" s="55" t="s">
        <v>917</v>
      </c>
      <c r="E1403" s="55"/>
      <c r="F1403" s="55"/>
      <c r="G1403" s="55"/>
    </row>
    <row r="1404">
      <c r="A1404" s="55" t="s">
        <v>212</v>
      </c>
      <c r="B1404" s="55">
        <v>10.0</v>
      </c>
      <c r="C1404" s="55" t="s">
        <v>918</v>
      </c>
      <c r="E1404" s="55"/>
      <c r="F1404" s="55"/>
      <c r="G1404" s="55"/>
    </row>
    <row r="1405" hidden="1">
      <c r="A1405" s="55" t="s">
        <v>294</v>
      </c>
      <c r="B1405" s="55">
        <v>13.0</v>
      </c>
      <c r="C1405" s="55" t="s">
        <v>917</v>
      </c>
      <c r="E1405" s="55"/>
      <c r="F1405" s="55"/>
      <c r="G1405" s="55"/>
    </row>
    <row r="1406" hidden="1">
      <c r="A1406" s="55" t="s">
        <v>259</v>
      </c>
      <c r="B1406" s="55">
        <v>60.0</v>
      </c>
      <c r="C1406" s="55" t="s">
        <v>917</v>
      </c>
      <c r="E1406" s="55"/>
      <c r="F1406" s="55"/>
      <c r="G1406" s="55"/>
    </row>
    <row r="1407" hidden="1">
      <c r="A1407" s="55" t="s">
        <v>185</v>
      </c>
      <c r="B1407" s="55">
        <v>90.0</v>
      </c>
      <c r="C1407" s="55" t="s">
        <v>917</v>
      </c>
      <c r="E1407" s="55"/>
      <c r="F1407" s="55"/>
      <c r="G1407" s="55"/>
    </row>
    <row r="1408" hidden="1">
      <c r="A1408" s="55" t="s">
        <v>245</v>
      </c>
      <c r="B1408" s="55">
        <v>20.0</v>
      </c>
      <c r="C1408" s="55" t="s">
        <v>917</v>
      </c>
      <c r="E1408" s="55"/>
      <c r="F1408" s="55"/>
      <c r="G1408" s="55"/>
    </row>
    <row r="1409">
      <c r="A1409" s="55" t="s">
        <v>173</v>
      </c>
      <c r="B1409" s="55">
        <v>16.0</v>
      </c>
      <c r="C1409" s="55" t="s">
        <v>918</v>
      </c>
      <c r="E1409" s="55"/>
      <c r="F1409" s="55"/>
      <c r="G1409" s="55"/>
    </row>
    <row r="1410" hidden="1">
      <c r="A1410" s="55" t="s">
        <v>170</v>
      </c>
      <c r="B1410" s="55">
        <v>46.0</v>
      </c>
      <c r="C1410" s="55" t="s">
        <v>917</v>
      </c>
      <c r="E1410" s="55"/>
      <c r="F1410" s="55"/>
      <c r="G1410" s="55"/>
    </row>
    <row r="1411">
      <c r="A1411" s="55" t="s">
        <v>325</v>
      </c>
      <c r="B1411" s="55">
        <v>41.0</v>
      </c>
      <c r="C1411" s="55" t="s">
        <v>918</v>
      </c>
      <c r="E1411" s="55"/>
      <c r="F1411" s="55"/>
      <c r="G1411" s="55"/>
    </row>
    <row r="1412" hidden="1">
      <c r="A1412" s="55" t="s">
        <v>344</v>
      </c>
      <c r="B1412" s="55">
        <v>59.0</v>
      </c>
      <c r="C1412" s="55" t="s">
        <v>917</v>
      </c>
      <c r="E1412" s="55"/>
      <c r="F1412" s="55"/>
      <c r="G1412" s="55"/>
    </row>
    <row r="1413">
      <c r="A1413" s="55" t="s">
        <v>174</v>
      </c>
      <c r="B1413" s="55">
        <v>7.0</v>
      </c>
      <c r="C1413" s="55" t="s">
        <v>918</v>
      </c>
      <c r="E1413" s="55"/>
      <c r="F1413" s="55"/>
      <c r="G1413" s="55"/>
    </row>
    <row r="1414" hidden="1">
      <c r="A1414" s="55" t="s">
        <v>247</v>
      </c>
      <c r="B1414" s="55">
        <v>9.0</v>
      </c>
      <c r="C1414" s="55" t="s">
        <v>917</v>
      </c>
      <c r="E1414" s="55"/>
      <c r="F1414" s="55"/>
      <c r="G1414" s="55"/>
    </row>
    <row r="1415" hidden="1">
      <c r="A1415" s="55" t="s">
        <v>273</v>
      </c>
      <c r="B1415" s="55">
        <v>77.0</v>
      </c>
      <c r="C1415" s="55" t="s">
        <v>917</v>
      </c>
      <c r="E1415" s="55"/>
      <c r="F1415" s="55"/>
      <c r="G1415" s="55"/>
    </row>
    <row r="1416" hidden="1">
      <c r="A1416" s="55" t="s">
        <v>168</v>
      </c>
      <c r="B1416" s="55">
        <v>20.0</v>
      </c>
      <c r="C1416" s="55" t="s">
        <v>917</v>
      </c>
      <c r="E1416" s="55"/>
      <c r="F1416" s="55"/>
      <c r="G1416" s="55"/>
    </row>
    <row r="1417">
      <c r="A1417" s="55" t="s">
        <v>375</v>
      </c>
      <c r="B1417" s="55">
        <v>60.0</v>
      </c>
      <c r="C1417" s="55" t="s">
        <v>918</v>
      </c>
      <c r="E1417" s="55"/>
      <c r="F1417" s="55"/>
      <c r="G1417" s="55"/>
    </row>
    <row r="1418">
      <c r="A1418" s="55" t="s">
        <v>252</v>
      </c>
      <c r="B1418" s="55">
        <v>198.0</v>
      </c>
      <c r="C1418" s="55" t="s">
        <v>918</v>
      </c>
      <c r="E1418" s="55"/>
      <c r="F1418" s="55"/>
      <c r="G1418" s="55"/>
    </row>
    <row r="1419">
      <c r="A1419" s="55" t="s">
        <v>373</v>
      </c>
      <c r="B1419" s="55">
        <v>80.0</v>
      </c>
      <c r="C1419" s="55" t="s">
        <v>925</v>
      </c>
      <c r="E1419" s="55"/>
      <c r="F1419" s="55"/>
      <c r="G1419" s="55"/>
    </row>
    <row r="1420">
      <c r="A1420" s="55" t="s">
        <v>372</v>
      </c>
      <c r="B1420" s="55">
        <v>80.0</v>
      </c>
      <c r="C1420" s="55" t="s">
        <v>918</v>
      </c>
      <c r="E1420" s="55"/>
      <c r="F1420" s="55"/>
      <c r="G1420" s="55"/>
    </row>
    <row r="1421" hidden="1">
      <c r="A1421" s="55" t="s">
        <v>347</v>
      </c>
      <c r="B1421" s="55">
        <v>21.0</v>
      </c>
      <c r="C1421" s="55" t="s">
        <v>917</v>
      </c>
      <c r="E1421" s="55"/>
      <c r="F1421" s="55"/>
      <c r="G1421" s="55"/>
    </row>
    <row r="1422">
      <c r="A1422" s="55" t="s">
        <v>226</v>
      </c>
      <c r="B1422" s="55">
        <v>20.0</v>
      </c>
      <c r="C1422" s="55" t="s">
        <v>922</v>
      </c>
      <c r="E1422" s="55"/>
      <c r="F1422" s="55"/>
      <c r="G1422" s="55"/>
    </row>
    <row r="1423" hidden="1">
      <c r="A1423" s="55" t="s">
        <v>309</v>
      </c>
      <c r="B1423" s="55">
        <v>6.0</v>
      </c>
      <c r="C1423" s="55" t="s">
        <v>917</v>
      </c>
      <c r="E1423" s="55"/>
      <c r="F1423" s="55"/>
      <c r="G1423" s="55"/>
    </row>
    <row r="1424">
      <c r="A1424" s="55" t="s">
        <v>221</v>
      </c>
      <c r="B1424" s="55">
        <v>6.0</v>
      </c>
      <c r="C1424" s="55" t="s">
        <v>922</v>
      </c>
      <c r="E1424" s="55"/>
      <c r="F1424" s="55"/>
      <c r="G1424" s="55"/>
    </row>
    <row r="1425" hidden="1">
      <c r="A1425" s="55" t="s">
        <v>239</v>
      </c>
      <c r="B1425" s="55">
        <v>44.0</v>
      </c>
      <c r="C1425" s="55" t="s">
        <v>917</v>
      </c>
      <c r="E1425" s="55"/>
      <c r="F1425" s="55"/>
      <c r="G1425" s="55"/>
    </row>
    <row r="1426" hidden="1">
      <c r="A1426" s="55" t="s">
        <v>167</v>
      </c>
      <c r="B1426" s="55">
        <v>80.0</v>
      </c>
      <c r="C1426" s="55" t="s">
        <v>917</v>
      </c>
      <c r="E1426" s="55"/>
      <c r="F1426" s="55"/>
      <c r="G1426" s="55"/>
    </row>
    <row r="1427">
      <c r="A1427" s="55" t="s">
        <v>166</v>
      </c>
      <c r="B1427" s="55">
        <v>37.0</v>
      </c>
      <c r="C1427" s="55" t="s">
        <v>918</v>
      </c>
      <c r="E1427" s="55"/>
      <c r="F1427" s="55"/>
      <c r="G1427" s="55"/>
    </row>
    <row r="1428" hidden="1">
      <c r="A1428" s="55" t="s">
        <v>200</v>
      </c>
      <c r="B1428" s="55">
        <v>11.0</v>
      </c>
      <c r="C1428" s="55" t="s">
        <v>917</v>
      </c>
      <c r="E1428" s="55"/>
      <c r="F1428" s="55"/>
      <c r="G1428" s="55"/>
    </row>
    <row r="1429" hidden="1">
      <c r="A1429" s="55" t="s">
        <v>201</v>
      </c>
      <c r="B1429" s="55">
        <v>10.0</v>
      </c>
      <c r="C1429" s="55" t="s">
        <v>917</v>
      </c>
      <c r="E1429" s="55"/>
      <c r="F1429" s="55"/>
      <c r="G1429" s="55"/>
    </row>
    <row r="1430" hidden="1">
      <c r="A1430" s="55" t="s">
        <v>362</v>
      </c>
      <c r="B1430" s="55">
        <v>14.0</v>
      </c>
      <c r="C1430" s="55" t="s">
        <v>917</v>
      </c>
      <c r="E1430" s="55"/>
      <c r="F1430" s="55"/>
      <c r="G1430" s="55"/>
    </row>
    <row r="1431">
      <c r="A1431" s="55" t="s">
        <v>242</v>
      </c>
      <c r="B1431" s="55">
        <v>20.0</v>
      </c>
      <c r="C1431" s="55" t="s">
        <v>918</v>
      </c>
      <c r="E1431" s="55"/>
      <c r="F1431" s="55"/>
      <c r="G1431" s="55"/>
    </row>
    <row r="1432" hidden="1">
      <c r="A1432" s="55" t="s">
        <v>374</v>
      </c>
      <c r="B1432" s="55">
        <v>60.0</v>
      </c>
      <c r="C1432" s="55" t="s">
        <v>917</v>
      </c>
      <c r="E1432" s="55"/>
      <c r="F1432" s="55"/>
      <c r="G1432" s="55"/>
    </row>
    <row r="1433">
      <c r="A1433" s="55" t="s">
        <v>370</v>
      </c>
      <c r="B1433" s="55">
        <v>20.0</v>
      </c>
      <c r="C1433" s="55" t="s">
        <v>918</v>
      </c>
      <c r="E1433" s="55"/>
      <c r="F1433" s="55"/>
      <c r="G1433" s="55"/>
    </row>
    <row r="1434">
      <c r="A1434" s="55" t="s">
        <v>321</v>
      </c>
      <c r="B1434" s="55">
        <v>5.0</v>
      </c>
      <c r="C1434" s="55" t="s">
        <v>932</v>
      </c>
      <c r="E1434" s="55"/>
      <c r="F1434" s="55"/>
      <c r="G1434" s="55"/>
    </row>
    <row r="1435" hidden="1">
      <c r="A1435" s="55" t="s">
        <v>292</v>
      </c>
      <c r="B1435" s="55">
        <v>10.0</v>
      </c>
      <c r="C1435" s="55" t="s">
        <v>917</v>
      </c>
      <c r="E1435" s="55"/>
      <c r="F1435" s="55"/>
      <c r="G1435" s="55"/>
    </row>
    <row r="1436" hidden="1">
      <c r="A1436" s="55" t="s">
        <v>286</v>
      </c>
      <c r="B1436" s="55">
        <v>23.0</v>
      </c>
      <c r="C1436" s="55" t="s">
        <v>917</v>
      </c>
      <c r="E1436" s="55"/>
      <c r="F1436" s="55"/>
      <c r="G1436" s="55"/>
    </row>
    <row r="1437" hidden="1">
      <c r="A1437" s="55" t="s">
        <v>219</v>
      </c>
      <c r="B1437" s="55">
        <v>20.0</v>
      </c>
      <c r="C1437" s="55" t="s">
        <v>917</v>
      </c>
      <c r="E1437" s="55"/>
      <c r="F1437" s="55"/>
      <c r="G1437" s="55"/>
    </row>
    <row r="1438" hidden="1">
      <c r="A1438" s="55" t="s">
        <v>366</v>
      </c>
      <c r="B1438" s="55">
        <v>21.0</v>
      </c>
      <c r="C1438" s="55" t="s">
        <v>917</v>
      </c>
      <c r="E1438" s="55"/>
      <c r="F1438" s="55"/>
      <c r="G1438" s="55"/>
    </row>
    <row r="1439">
      <c r="A1439" s="55" t="s">
        <v>42</v>
      </c>
      <c r="B1439" s="55">
        <v>1920.0</v>
      </c>
      <c r="C1439" s="55" t="s">
        <v>918</v>
      </c>
      <c r="E1439" s="55"/>
      <c r="F1439" s="55"/>
      <c r="G1439" s="55"/>
    </row>
    <row r="1440">
      <c r="A1440" s="55" t="s">
        <v>70</v>
      </c>
      <c r="B1440" s="55">
        <v>1800.0</v>
      </c>
      <c r="C1440" s="55" t="s">
        <v>918</v>
      </c>
      <c r="E1440" s="55"/>
      <c r="F1440" s="55"/>
      <c r="G1440" s="55"/>
    </row>
    <row r="1441">
      <c r="A1441" s="55" t="s">
        <v>347</v>
      </c>
      <c r="B1441" s="55">
        <v>900.0</v>
      </c>
      <c r="C1441" s="55" t="s">
        <v>918</v>
      </c>
      <c r="E1441" s="55"/>
      <c r="F1441" s="55"/>
      <c r="G1441" s="55"/>
    </row>
    <row r="1442">
      <c r="A1442" s="55" t="s">
        <v>164</v>
      </c>
      <c r="B1442" s="55">
        <v>2048.0</v>
      </c>
      <c r="C1442" s="55" t="s">
        <v>918</v>
      </c>
      <c r="E1442" s="55"/>
      <c r="F1442" s="55"/>
      <c r="G1442" s="55"/>
    </row>
    <row r="1443">
      <c r="A1443" s="55" t="s">
        <v>294</v>
      </c>
      <c r="B1443" s="55">
        <v>280.0</v>
      </c>
      <c r="C1443" s="55" t="s">
        <v>918</v>
      </c>
      <c r="E1443" s="55"/>
      <c r="F1443" s="55"/>
      <c r="G1443" s="55"/>
    </row>
    <row r="1444">
      <c r="A1444" s="55" t="s">
        <v>259</v>
      </c>
      <c r="B1444" s="55">
        <v>768.0</v>
      </c>
      <c r="C1444" s="55" t="s">
        <v>918</v>
      </c>
      <c r="E1444" s="55"/>
      <c r="F1444" s="55"/>
      <c r="G1444" s="55"/>
    </row>
    <row r="1445">
      <c r="A1445" s="55" t="s">
        <v>256</v>
      </c>
      <c r="B1445" s="55">
        <v>200.0</v>
      </c>
      <c r="C1445" s="55" t="s">
        <v>918</v>
      </c>
      <c r="E1445" s="55"/>
      <c r="F1445" s="55"/>
      <c r="G1445" s="55"/>
    </row>
    <row r="1446">
      <c r="A1446" s="55" t="s">
        <v>167</v>
      </c>
      <c r="B1446" s="55">
        <v>2048.0</v>
      </c>
      <c r="C1446" s="55" t="s">
        <v>918</v>
      </c>
      <c r="E1446" s="55"/>
      <c r="F1446" s="55"/>
      <c r="G1446" s="55"/>
    </row>
    <row r="1447">
      <c r="A1447" s="55" t="s">
        <v>373</v>
      </c>
      <c r="B1447" s="55">
        <v>288.0</v>
      </c>
      <c r="C1447" s="55" t="s">
        <v>925</v>
      </c>
      <c r="E1447" s="55"/>
      <c r="F1447" s="55"/>
      <c r="G1447" s="55"/>
    </row>
    <row r="1448">
      <c r="A1448" s="55" t="s">
        <v>170</v>
      </c>
      <c r="B1448" s="55">
        <v>1280.0</v>
      </c>
      <c r="C1448" s="55" t="s">
        <v>918</v>
      </c>
      <c r="E1448" s="55"/>
      <c r="F1448" s="55"/>
      <c r="G1448" s="55"/>
    </row>
    <row r="1449">
      <c r="A1449" s="55" t="s">
        <v>377</v>
      </c>
      <c r="B1449" s="55">
        <v>576.0</v>
      </c>
      <c r="C1449" s="55" t="s">
        <v>918</v>
      </c>
      <c r="E1449" s="55"/>
      <c r="F1449" s="55"/>
      <c r="G1449" s="55"/>
    </row>
    <row r="1450">
      <c r="A1450" s="55" t="s">
        <v>133</v>
      </c>
      <c r="B1450" s="55">
        <v>300.0</v>
      </c>
      <c r="C1450" s="55" t="s">
        <v>939</v>
      </c>
      <c r="E1450" s="55"/>
      <c r="F1450" s="55"/>
      <c r="G1450" s="55"/>
    </row>
    <row r="1451" hidden="1">
      <c r="A1451" s="55" t="s">
        <v>67</v>
      </c>
      <c r="B1451" s="55">
        <v>60.0</v>
      </c>
      <c r="C1451" s="55" t="s">
        <v>917</v>
      </c>
      <c r="E1451" s="55"/>
      <c r="F1451" s="55"/>
      <c r="G1451" s="55"/>
    </row>
    <row r="1452" hidden="1">
      <c r="A1452" s="55" t="s">
        <v>102</v>
      </c>
      <c r="B1452" s="55">
        <v>100.0</v>
      </c>
      <c r="C1452" s="55" t="s">
        <v>917</v>
      </c>
      <c r="E1452" s="55"/>
      <c r="F1452" s="55"/>
      <c r="G1452" s="55"/>
    </row>
    <row r="1453">
      <c r="A1453" s="27" t="s">
        <v>115</v>
      </c>
      <c r="B1453" s="132">
        <v>144.0</v>
      </c>
      <c r="C1453" s="27" t="s">
        <v>918</v>
      </c>
      <c r="E1453" s="55"/>
      <c r="F1453" s="55"/>
      <c r="G1453" s="55"/>
    </row>
    <row r="1454" hidden="1">
      <c r="A1454" s="27" t="s">
        <v>86</v>
      </c>
      <c r="B1454" s="132">
        <v>80.0</v>
      </c>
      <c r="C1454" s="27" t="s">
        <v>917</v>
      </c>
      <c r="E1454" s="55"/>
      <c r="F1454" s="55"/>
      <c r="G1454" s="55"/>
    </row>
    <row r="1455" hidden="1">
      <c r="A1455" s="27" t="s">
        <v>92</v>
      </c>
      <c r="B1455" s="132">
        <v>90.0</v>
      </c>
      <c r="C1455" s="27" t="s">
        <v>917</v>
      </c>
      <c r="E1455" s="55"/>
      <c r="F1455" s="55"/>
      <c r="G1455" s="55"/>
    </row>
    <row r="1456">
      <c r="A1456" s="55" t="s">
        <v>115</v>
      </c>
      <c r="B1456" s="55">
        <v>864.0</v>
      </c>
      <c r="C1456" s="55" t="s">
        <v>918</v>
      </c>
      <c r="E1456" s="55"/>
      <c r="F1456" s="55"/>
      <c r="G1456" s="55"/>
    </row>
    <row r="1457" hidden="1">
      <c r="A1457" s="55" t="s">
        <v>92</v>
      </c>
      <c r="B1457" s="55">
        <v>200.0</v>
      </c>
      <c r="C1457" s="55" t="s">
        <v>917</v>
      </c>
      <c r="E1457" s="55"/>
      <c r="F1457" s="55"/>
      <c r="G1457" s="55"/>
    </row>
    <row r="1458" hidden="1">
      <c r="A1458" s="55" t="s">
        <v>102</v>
      </c>
      <c r="B1458" s="55">
        <v>100.0</v>
      </c>
      <c r="C1458" s="55" t="s">
        <v>917</v>
      </c>
      <c r="E1458" s="55"/>
      <c r="F1458" s="55"/>
      <c r="G1458" s="55"/>
    </row>
    <row r="1459" hidden="1">
      <c r="E1459" s="55"/>
      <c r="F1459" s="55"/>
      <c r="G1459" s="55"/>
    </row>
    <row r="1460">
      <c r="A1460" s="316" t="s">
        <v>948</v>
      </c>
      <c r="B1460" s="317"/>
      <c r="C1460" s="318" t="s">
        <v>943</v>
      </c>
      <c r="E1460" s="55"/>
      <c r="F1460" s="55"/>
      <c r="G1460" s="55"/>
    </row>
    <row r="1461" hidden="1">
      <c r="A1461" s="55" t="s">
        <v>418</v>
      </c>
      <c r="B1461" s="55">
        <v>10.0</v>
      </c>
      <c r="C1461" s="55" t="s">
        <v>917</v>
      </c>
      <c r="E1461" s="55"/>
      <c r="F1461" s="55"/>
      <c r="G1461" s="55"/>
    </row>
    <row r="1462" hidden="1">
      <c r="A1462" s="55" t="s">
        <v>347</v>
      </c>
      <c r="B1462" s="55">
        <v>60.0</v>
      </c>
      <c r="C1462" s="55" t="s">
        <v>917</v>
      </c>
      <c r="E1462" s="55"/>
      <c r="F1462" s="55"/>
      <c r="G1462" s="55"/>
    </row>
    <row r="1463">
      <c r="A1463" s="55" t="s">
        <v>199</v>
      </c>
      <c r="B1463" s="55">
        <v>80.0</v>
      </c>
      <c r="C1463" s="55" t="s">
        <v>931</v>
      </c>
      <c r="E1463" s="55"/>
      <c r="F1463" s="55"/>
      <c r="G1463" s="55"/>
    </row>
    <row r="1464" hidden="1">
      <c r="A1464" s="55" t="s">
        <v>326</v>
      </c>
      <c r="B1464" s="55">
        <v>10.0</v>
      </c>
      <c r="C1464" s="55" t="s">
        <v>917</v>
      </c>
      <c r="E1464" s="55"/>
      <c r="F1464" s="55"/>
      <c r="G1464" s="55"/>
    </row>
    <row r="1465" hidden="1">
      <c r="A1465" s="55" t="s">
        <v>344</v>
      </c>
      <c r="B1465" s="55">
        <v>40.0</v>
      </c>
      <c r="C1465" s="55" t="s">
        <v>917</v>
      </c>
      <c r="E1465" s="55"/>
      <c r="F1465" s="55"/>
      <c r="G1465" s="55"/>
    </row>
    <row r="1466" hidden="1">
      <c r="A1466" s="55" t="s">
        <v>374</v>
      </c>
      <c r="B1466" s="55">
        <v>40.0</v>
      </c>
      <c r="C1466" s="55" t="s">
        <v>917</v>
      </c>
      <c r="E1466" s="55"/>
      <c r="F1466" s="55"/>
      <c r="G1466" s="55"/>
    </row>
    <row r="1467" hidden="1">
      <c r="A1467" s="55" t="s">
        <v>208</v>
      </c>
      <c r="B1467" s="55">
        <v>20.0</v>
      </c>
      <c r="C1467" s="55" t="s">
        <v>917</v>
      </c>
      <c r="E1467" s="55"/>
      <c r="F1467" s="55"/>
      <c r="G1467" s="55"/>
    </row>
    <row r="1468" hidden="1">
      <c r="A1468" s="55" t="s">
        <v>203</v>
      </c>
      <c r="B1468" s="55">
        <v>30.0</v>
      </c>
      <c r="C1468" s="55" t="s">
        <v>917</v>
      </c>
      <c r="E1468" s="55"/>
      <c r="F1468" s="55"/>
      <c r="G1468" s="55"/>
    </row>
    <row r="1469" hidden="1">
      <c r="A1469" s="55" t="s">
        <v>366</v>
      </c>
      <c r="B1469" s="55">
        <v>20.0</v>
      </c>
      <c r="C1469" s="55" t="s">
        <v>917</v>
      </c>
      <c r="E1469" s="55"/>
      <c r="F1469" s="55"/>
      <c r="G1469" s="55"/>
    </row>
    <row r="1470">
      <c r="A1470" s="55" t="s">
        <v>340</v>
      </c>
      <c r="B1470" s="55">
        <v>20.0</v>
      </c>
      <c r="C1470" s="55" t="s">
        <v>918</v>
      </c>
      <c r="E1470" s="55"/>
      <c r="F1470" s="55"/>
      <c r="G1470" s="55"/>
    </row>
    <row r="1471" hidden="1">
      <c r="A1471" s="55" t="s">
        <v>162</v>
      </c>
      <c r="B1471" s="55">
        <v>20.0</v>
      </c>
      <c r="C1471" s="55" t="s">
        <v>917</v>
      </c>
      <c r="E1471" s="55"/>
      <c r="F1471" s="55"/>
      <c r="G1471" s="55"/>
    </row>
    <row r="1472">
      <c r="A1472" s="55" t="s">
        <v>325</v>
      </c>
      <c r="B1472" s="55">
        <v>60.0</v>
      </c>
      <c r="C1472" s="55" t="s">
        <v>918</v>
      </c>
      <c r="E1472" s="55"/>
      <c r="F1472" s="55"/>
      <c r="G1472" s="55"/>
    </row>
    <row r="1473" hidden="1">
      <c r="A1473" s="55" t="s">
        <v>334</v>
      </c>
      <c r="B1473" s="55">
        <v>96.0</v>
      </c>
      <c r="C1473" s="55" t="s">
        <v>917</v>
      </c>
      <c r="E1473" s="55"/>
      <c r="F1473" s="55"/>
      <c r="G1473" s="55"/>
    </row>
    <row r="1474" hidden="1">
      <c r="A1474" s="55" t="s">
        <v>335</v>
      </c>
      <c r="B1474" s="55">
        <v>36.0</v>
      </c>
      <c r="C1474" s="55" t="s">
        <v>917</v>
      </c>
      <c r="E1474" s="55"/>
      <c r="F1474" s="55"/>
      <c r="G1474" s="55"/>
    </row>
    <row r="1475">
      <c r="A1475" s="55" t="s">
        <v>370</v>
      </c>
      <c r="B1475" s="55">
        <v>20.0</v>
      </c>
      <c r="C1475" s="55" t="s">
        <v>918</v>
      </c>
      <c r="E1475" s="55"/>
      <c r="F1475" s="55"/>
      <c r="G1475" s="55"/>
    </row>
    <row r="1476">
      <c r="A1476" s="55" t="s">
        <v>264</v>
      </c>
      <c r="B1476" s="55">
        <v>20.0</v>
      </c>
      <c r="C1476" s="55" t="s">
        <v>918</v>
      </c>
      <c r="E1476" s="55"/>
      <c r="F1476" s="55"/>
      <c r="G1476" s="55"/>
    </row>
    <row r="1477" hidden="1">
      <c r="A1477" s="55" t="s">
        <v>364</v>
      </c>
      <c r="B1477" s="55">
        <v>20.0</v>
      </c>
      <c r="C1477" s="55" t="s">
        <v>917</v>
      </c>
      <c r="E1477" s="55"/>
      <c r="F1477" s="55"/>
      <c r="G1477" s="55"/>
    </row>
    <row r="1478">
      <c r="A1478" s="55" t="s">
        <v>252</v>
      </c>
      <c r="B1478" s="55">
        <v>288.0</v>
      </c>
      <c r="C1478" s="55" t="s">
        <v>918</v>
      </c>
      <c r="E1478" s="55"/>
      <c r="F1478" s="55"/>
      <c r="G1478" s="55"/>
    </row>
    <row r="1479">
      <c r="A1479" s="55" t="s">
        <v>375</v>
      </c>
      <c r="B1479" s="55">
        <v>40.0</v>
      </c>
      <c r="C1479" s="55" t="s">
        <v>918</v>
      </c>
      <c r="E1479" s="55"/>
      <c r="F1479" s="55"/>
      <c r="G1479" s="55"/>
    </row>
    <row r="1480">
      <c r="A1480" s="55" t="s">
        <v>372</v>
      </c>
      <c r="B1480" s="55">
        <v>60.0</v>
      </c>
      <c r="C1480" s="55" t="s">
        <v>918</v>
      </c>
      <c r="E1480" s="55"/>
      <c r="F1480" s="55"/>
      <c r="G1480" s="55"/>
    </row>
    <row r="1481">
      <c r="A1481" s="55" t="s">
        <v>373</v>
      </c>
      <c r="B1481" s="55">
        <v>60.0</v>
      </c>
      <c r="C1481" s="55" t="s">
        <v>925</v>
      </c>
      <c r="E1481" s="55"/>
      <c r="F1481" s="55"/>
      <c r="G1481" s="55"/>
    </row>
    <row r="1482">
      <c r="A1482" s="55" t="s">
        <v>371</v>
      </c>
      <c r="B1482" s="55">
        <v>60.0</v>
      </c>
      <c r="C1482" s="55" t="s">
        <v>918</v>
      </c>
      <c r="E1482" s="55"/>
      <c r="F1482" s="55"/>
      <c r="G1482" s="55"/>
    </row>
    <row r="1483">
      <c r="A1483" s="55" t="s">
        <v>369</v>
      </c>
      <c r="B1483" s="55">
        <v>50.0</v>
      </c>
      <c r="C1483" s="55" t="s">
        <v>918</v>
      </c>
      <c r="E1483" s="55"/>
      <c r="F1483" s="55"/>
      <c r="G1483" s="55"/>
    </row>
    <row r="1484" hidden="1">
      <c r="A1484" s="55" t="s">
        <v>220</v>
      </c>
      <c r="B1484" s="55">
        <v>48.0</v>
      </c>
      <c r="C1484" s="55" t="s">
        <v>917</v>
      </c>
      <c r="E1484" s="55"/>
      <c r="F1484" s="55"/>
      <c r="G1484" s="55"/>
    </row>
    <row r="1485" hidden="1">
      <c r="A1485" s="55" t="s">
        <v>352</v>
      </c>
      <c r="B1485" s="55">
        <v>60.0</v>
      </c>
      <c r="C1485" s="55" t="s">
        <v>917</v>
      </c>
      <c r="E1485" s="55"/>
      <c r="F1485" s="55"/>
      <c r="G1485" s="55"/>
    </row>
    <row r="1486">
      <c r="A1486" s="55" t="s">
        <v>356</v>
      </c>
      <c r="B1486" s="55">
        <v>20.0</v>
      </c>
      <c r="C1486" s="55" t="s">
        <v>918</v>
      </c>
      <c r="E1486" s="55"/>
      <c r="F1486" s="55"/>
      <c r="G1486" s="55"/>
    </row>
    <row r="1487" hidden="1">
      <c r="A1487" s="55" t="s">
        <v>354</v>
      </c>
      <c r="B1487" s="55">
        <v>10.0</v>
      </c>
      <c r="C1487" s="55" t="s">
        <v>917</v>
      </c>
      <c r="E1487" s="55"/>
      <c r="F1487" s="55"/>
      <c r="G1487" s="55"/>
    </row>
    <row r="1488" hidden="1">
      <c r="A1488" s="55" t="s">
        <v>259</v>
      </c>
      <c r="B1488" s="55">
        <v>20.0</v>
      </c>
      <c r="C1488" s="55" t="s">
        <v>917</v>
      </c>
      <c r="E1488" s="55"/>
      <c r="F1488" s="55"/>
      <c r="G1488" s="55"/>
    </row>
    <row r="1489">
      <c r="A1489" s="55" t="s">
        <v>223</v>
      </c>
      <c r="B1489" s="55">
        <v>100.0</v>
      </c>
      <c r="C1489" s="55" t="s">
        <v>918</v>
      </c>
      <c r="E1489" s="55"/>
      <c r="F1489" s="55"/>
      <c r="G1489" s="55"/>
    </row>
    <row r="1490" hidden="1">
      <c r="A1490" s="55" t="s">
        <v>179</v>
      </c>
      <c r="B1490" s="55">
        <v>20.0</v>
      </c>
      <c r="C1490" s="55" t="s">
        <v>917</v>
      </c>
      <c r="E1490" s="55"/>
      <c r="F1490" s="55"/>
      <c r="G1490" s="55"/>
    </row>
    <row r="1491">
      <c r="A1491" s="55" t="s">
        <v>189</v>
      </c>
      <c r="B1491" s="55">
        <v>20.0</v>
      </c>
      <c r="C1491" s="55" t="s">
        <v>918</v>
      </c>
      <c r="E1491" s="55"/>
      <c r="F1491" s="55"/>
      <c r="G1491" s="55"/>
    </row>
    <row r="1492">
      <c r="A1492" s="27" t="s">
        <v>262</v>
      </c>
      <c r="B1492" s="132">
        <v>158.0</v>
      </c>
      <c r="C1492" s="27" t="s">
        <v>922</v>
      </c>
      <c r="E1492" s="55"/>
      <c r="F1492" s="55"/>
      <c r="G1492" s="55"/>
    </row>
    <row r="1493" hidden="1">
      <c r="A1493" s="27" t="s">
        <v>170</v>
      </c>
      <c r="B1493" s="132">
        <v>400.0</v>
      </c>
      <c r="C1493" s="27" t="s">
        <v>917</v>
      </c>
      <c r="E1493" s="55"/>
      <c r="F1493" s="55"/>
      <c r="G1493" s="55"/>
    </row>
    <row r="1494" hidden="1">
      <c r="A1494" s="27" t="s">
        <v>287</v>
      </c>
      <c r="B1494" s="132">
        <v>19.0</v>
      </c>
      <c r="C1494" s="27" t="s">
        <v>917</v>
      </c>
      <c r="E1494" s="55"/>
      <c r="F1494" s="55"/>
      <c r="G1494" s="55"/>
    </row>
    <row r="1495" hidden="1">
      <c r="A1495" s="27" t="s">
        <v>347</v>
      </c>
      <c r="B1495" s="132">
        <v>100.0</v>
      </c>
      <c r="C1495" s="27" t="s">
        <v>917</v>
      </c>
      <c r="E1495" s="55"/>
      <c r="F1495" s="55"/>
      <c r="G1495" s="55"/>
    </row>
    <row r="1496" hidden="1">
      <c r="A1496" s="27" t="s">
        <v>266</v>
      </c>
      <c r="B1496" s="132">
        <v>60.0</v>
      </c>
      <c r="C1496" s="27" t="s">
        <v>917</v>
      </c>
      <c r="E1496" s="55"/>
      <c r="F1496" s="55"/>
      <c r="G1496" s="55"/>
    </row>
    <row r="1497">
      <c r="A1497" s="27" t="s">
        <v>174</v>
      </c>
      <c r="B1497" s="132">
        <v>100.0</v>
      </c>
      <c r="C1497" s="27" t="s">
        <v>918</v>
      </c>
      <c r="E1497" s="55"/>
      <c r="F1497" s="55"/>
      <c r="G1497" s="55"/>
    </row>
    <row r="1498" hidden="1">
      <c r="A1498" s="27" t="s">
        <v>315</v>
      </c>
      <c r="B1498" s="132">
        <v>23.0</v>
      </c>
      <c r="C1498" s="27" t="s">
        <v>917</v>
      </c>
      <c r="E1498" s="55"/>
      <c r="F1498" s="55"/>
      <c r="G1498" s="55"/>
    </row>
    <row r="1499" hidden="1">
      <c r="A1499" s="27" t="s">
        <v>362</v>
      </c>
      <c r="B1499" s="132">
        <v>30.0</v>
      </c>
      <c r="C1499" s="27" t="s">
        <v>917</v>
      </c>
      <c r="E1499" s="55"/>
      <c r="F1499" s="55"/>
      <c r="G1499" s="55"/>
    </row>
    <row r="1500">
      <c r="A1500" s="27" t="s">
        <v>320</v>
      </c>
      <c r="B1500" s="132">
        <v>100.0</v>
      </c>
      <c r="C1500" s="27" t="s">
        <v>918</v>
      </c>
      <c r="E1500" s="55"/>
      <c r="F1500" s="55"/>
      <c r="G1500" s="55"/>
    </row>
    <row r="1501">
      <c r="A1501" s="27" t="s">
        <v>325</v>
      </c>
      <c r="B1501" s="132">
        <v>144.0</v>
      </c>
      <c r="C1501" s="27" t="s">
        <v>918</v>
      </c>
      <c r="E1501" s="55"/>
      <c r="F1501" s="55"/>
      <c r="G1501" s="55"/>
    </row>
    <row r="1502" hidden="1">
      <c r="A1502" s="27" t="s">
        <v>335</v>
      </c>
      <c r="B1502" s="132">
        <v>360.0</v>
      </c>
      <c r="C1502" s="27" t="s">
        <v>917</v>
      </c>
      <c r="E1502" s="55"/>
      <c r="F1502" s="55"/>
      <c r="G1502" s="55"/>
    </row>
    <row r="1503" hidden="1">
      <c r="A1503" s="27" t="s">
        <v>311</v>
      </c>
      <c r="B1503" s="132">
        <v>24.0</v>
      </c>
      <c r="C1503" s="27" t="s">
        <v>917</v>
      </c>
      <c r="E1503" s="55"/>
      <c r="F1503" s="55"/>
      <c r="G1503" s="55"/>
    </row>
    <row r="1504" hidden="1">
      <c r="A1504" s="27" t="s">
        <v>294</v>
      </c>
      <c r="B1504" s="132">
        <v>40.0</v>
      </c>
      <c r="C1504" s="27" t="s">
        <v>917</v>
      </c>
      <c r="E1504" s="55"/>
      <c r="F1504" s="55"/>
      <c r="G1504" s="55"/>
    </row>
    <row r="1505" hidden="1">
      <c r="A1505" s="27" t="s">
        <v>291</v>
      </c>
      <c r="B1505" s="132">
        <v>46.0</v>
      </c>
      <c r="C1505" s="27" t="s">
        <v>917</v>
      </c>
      <c r="E1505" s="55"/>
      <c r="F1505" s="55"/>
      <c r="G1505" s="55"/>
    </row>
    <row r="1506" hidden="1">
      <c r="A1506" s="27" t="s">
        <v>355</v>
      </c>
      <c r="B1506" s="132">
        <v>60.0</v>
      </c>
      <c r="C1506" s="27" t="s">
        <v>917</v>
      </c>
      <c r="E1506" s="55"/>
      <c r="F1506" s="55"/>
      <c r="G1506" s="55"/>
    </row>
    <row r="1507" hidden="1">
      <c r="A1507" s="27" t="s">
        <v>364</v>
      </c>
      <c r="B1507" s="132">
        <v>60.0</v>
      </c>
      <c r="C1507" s="27" t="s">
        <v>917</v>
      </c>
      <c r="E1507" s="55"/>
      <c r="F1507" s="55"/>
      <c r="G1507" s="55"/>
    </row>
    <row r="1508">
      <c r="A1508" s="27" t="s">
        <v>251</v>
      </c>
      <c r="B1508" s="132">
        <v>36.0</v>
      </c>
      <c r="C1508" s="27" t="s">
        <v>922</v>
      </c>
      <c r="E1508" s="55"/>
      <c r="F1508" s="55"/>
      <c r="G1508" s="55"/>
    </row>
    <row r="1509">
      <c r="A1509" s="27" t="s">
        <v>372</v>
      </c>
      <c r="B1509" s="132">
        <v>144.0</v>
      </c>
      <c r="C1509" s="27" t="s">
        <v>918</v>
      </c>
      <c r="E1509" s="55"/>
      <c r="F1509" s="55"/>
      <c r="G1509" s="55"/>
    </row>
    <row r="1510">
      <c r="A1510" s="27" t="s">
        <v>373</v>
      </c>
      <c r="B1510" s="132">
        <v>288.0</v>
      </c>
      <c r="C1510" s="314" t="s">
        <v>925</v>
      </c>
      <c r="E1510" s="55"/>
      <c r="F1510" s="55"/>
      <c r="G1510" s="55"/>
    </row>
    <row r="1511" hidden="1">
      <c r="A1511" s="27" t="s">
        <v>220</v>
      </c>
      <c r="B1511" s="132">
        <v>120.0</v>
      </c>
      <c r="C1511" s="27" t="s">
        <v>917</v>
      </c>
      <c r="E1511" s="55"/>
      <c r="F1511" s="55"/>
      <c r="G1511" s="55"/>
    </row>
    <row r="1512">
      <c r="A1512" s="27" t="s">
        <v>356</v>
      </c>
      <c r="B1512" s="132">
        <v>30.0</v>
      </c>
      <c r="C1512" s="27" t="s">
        <v>918</v>
      </c>
      <c r="E1512" s="55"/>
      <c r="F1512" s="55"/>
      <c r="G1512" s="55"/>
    </row>
    <row r="1513" hidden="1">
      <c r="A1513" s="27" t="s">
        <v>187</v>
      </c>
      <c r="B1513" s="132">
        <v>26.0</v>
      </c>
      <c r="C1513" s="27" t="s">
        <v>917</v>
      </c>
      <c r="E1513" s="55"/>
      <c r="F1513" s="55"/>
      <c r="G1513" s="55"/>
    </row>
    <row r="1514" hidden="1">
      <c r="A1514" s="27" t="s">
        <v>354</v>
      </c>
      <c r="B1514" s="132">
        <v>100.0</v>
      </c>
      <c r="C1514" s="27" t="s">
        <v>917</v>
      </c>
      <c r="E1514" s="55"/>
      <c r="F1514" s="55"/>
      <c r="G1514" s="55"/>
    </row>
    <row r="1515" hidden="1">
      <c r="A1515" s="27" t="s">
        <v>185</v>
      </c>
      <c r="B1515" s="132">
        <v>500.0</v>
      </c>
      <c r="C1515" s="27" t="s">
        <v>917</v>
      </c>
      <c r="E1515" s="55"/>
      <c r="F1515" s="55"/>
      <c r="G1515" s="55"/>
    </row>
    <row r="1516">
      <c r="A1516" s="27" t="s">
        <v>321</v>
      </c>
      <c r="B1516" s="132">
        <v>20.0</v>
      </c>
      <c r="C1516" s="314" t="s">
        <v>932</v>
      </c>
      <c r="E1516" s="55"/>
      <c r="F1516" s="55"/>
      <c r="G1516" s="55"/>
    </row>
    <row r="1517" hidden="1">
      <c r="A1517" s="27" t="s">
        <v>359</v>
      </c>
      <c r="B1517" s="132">
        <v>80.0</v>
      </c>
      <c r="C1517" s="27" t="s">
        <v>917</v>
      </c>
      <c r="E1517" s="55"/>
      <c r="F1517" s="55"/>
      <c r="G1517" s="55"/>
    </row>
    <row r="1518">
      <c r="A1518" s="27" t="s">
        <v>350</v>
      </c>
      <c r="B1518" s="132">
        <v>80.0</v>
      </c>
      <c r="C1518" s="27" t="s">
        <v>918</v>
      </c>
      <c r="E1518" s="55"/>
      <c r="F1518" s="55"/>
      <c r="G1518" s="55"/>
    </row>
    <row r="1519">
      <c r="A1519" s="27" t="s">
        <v>221</v>
      </c>
      <c r="B1519" s="132">
        <v>84.0</v>
      </c>
      <c r="C1519" s="27" t="s">
        <v>922</v>
      </c>
      <c r="E1519" s="55"/>
      <c r="F1519" s="55"/>
      <c r="G1519" s="55"/>
    </row>
    <row r="1520">
      <c r="A1520" s="27" t="s">
        <v>230</v>
      </c>
      <c r="B1520" s="132">
        <v>50.0</v>
      </c>
      <c r="C1520" s="27" t="s">
        <v>922</v>
      </c>
      <c r="E1520" s="55"/>
      <c r="F1520" s="55"/>
      <c r="G1520" s="55"/>
    </row>
    <row r="1521">
      <c r="A1521" s="27" t="s">
        <v>231</v>
      </c>
      <c r="B1521" s="132">
        <v>55.0</v>
      </c>
      <c r="C1521" s="27" t="s">
        <v>918</v>
      </c>
      <c r="E1521" s="55"/>
      <c r="F1521" s="55"/>
      <c r="G1521" s="55"/>
    </row>
    <row r="1522">
      <c r="A1522" s="27" t="s">
        <v>216</v>
      </c>
      <c r="B1522" s="132">
        <v>100.0</v>
      </c>
      <c r="C1522" s="27" t="s">
        <v>918</v>
      </c>
      <c r="E1522" s="55"/>
      <c r="F1522" s="55"/>
      <c r="G1522" s="55"/>
    </row>
    <row r="1523" hidden="1">
      <c r="A1523" s="27" t="s">
        <v>293</v>
      </c>
      <c r="B1523" s="132">
        <v>60.0</v>
      </c>
      <c r="C1523" s="27" t="s">
        <v>917</v>
      </c>
      <c r="E1523" s="55"/>
      <c r="F1523" s="55"/>
      <c r="G1523" s="55"/>
    </row>
    <row r="1524" hidden="1">
      <c r="A1524" s="55" t="s">
        <v>376</v>
      </c>
      <c r="B1524" s="55">
        <v>500.0</v>
      </c>
      <c r="C1524" s="55" t="s">
        <v>917</v>
      </c>
      <c r="E1524" s="55"/>
      <c r="F1524" s="55"/>
      <c r="G1524" s="55"/>
    </row>
    <row r="1525">
      <c r="A1525" s="55" t="s">
        <v>206</v>
      </c>
      <c r="B1525" s="55">
        <v>200.0</v>
      </c>
      <c r="C1525" s="55" t="s">
        <v>918</v>
      </c>
      <c r="E1525" s="55"/>
      <c r="F1525" s="55"/>
      <c r="G1525" s="55"/>
    </row>
    <row r="1526">
      <c r="A1526" s="55" t="s">
        <v>207</v>
      </c>
      <c r="B1526" s="55">
        <v>300.0</v>
      </c>
      <c r="C1526" s="55" t="s">
        <v>918</v>
      </c>
      <c r="E1526" s="55"/>
      <c r="F1526" s="55"/>
      <c r="G1526" s="55"/>
    </row>
    <row r="1527" hidden="1">
      <c r="A1527" s="55" t="s">
        <v>200</v>
      </c>
      <c r="B1527" s="55">
        <v>144.0</v>
      </c>
      <c r="C1527" s="55" t="s">
        <v>917</v>
      </c>
      <c r="E1527" s="55"/>
      <c r="F1527" s="55"/>
      <c r="G1527" s="55"/>
    </row>
    <row r="1528" hidden="1">
      <c r="A1528" s="55" t="s">
        <v>318</v>
      </c>
      <c r="B1528" s="55">
        <v>1200.0</v>
      </c>
      <c r="C1528" s="55" t="s">
        <v>917</v>
      </c>
      <c r="E1528" s="55"/>
      <c r="F1528" s="55"/>
      <c r="G1528" s="55"/>
    </row>
    <row r="1529">
      <c r="A1529" s="55" t="s">
        <v>319</v>
      </c>
      <c r="B1529" s="55">
        <v>200.0</v>
      </c>
      <c r="C1529" s="55" t="s">
        <v>918</v>
      </c>
      <c r="E1529" s="55"/>
      <c r="F1529" s="55"/>
      <c r="G1529" s="55"/>
    </row>
    <row r="1530">
      <c r="A1530" s="55" t="s">
        <v>282</v>
      </c>
      <c r="B1530" s="55">
        <v>800.0</v>
      </c>
      <c r="C1530" s="55" t="s">
        <v>944</v>
      </c>
      <c r="E1530" s="55"/>
      <c r="F1530" s="55"/>
      <c r="G1530" s="55"/>
    </row>
    <row r="1531">
      <c r="A1531" s="55" t="s">
        <v>283</v>
      </c>
      <c r="B1531" s="55">
        <v>200.0</v>
      </c>
      <c r="C1531" s="55" t="s">
        <v>918</v>
      </c>
      <c r="E1531" s="55"/>
      <c r="F1531" s="55"/>
      <c r="G1531" s="55"/>
    </row>
    <row r="1532">
      <c r="A1532" s="55" t="s">
        <v>235</v>
      </c>
      <c r="B1532" s="55">
        <v>200.0</v>
      </c>
      <c r="C1532" s="55" t="s">
        <v>918</v>
      </c>
      <c r="E1532" s="55"/>
      <c r="F1532" s="55"/>
      <c r="G1532" s="55"/>
    </row>
    <row r="1533" hidden="1">
      <c r="A1533" s="55" t="s">
        <v>292</v>
      </c>
      <c r="B1533" s="55">
        <v>800.0</v>
      </c>
      <c r="C1533" s="55" t="s">
        <v>917</v>
      </c>
      <c r="E1533" s="55"/>
      <c r="F1533" s="55"/>
      <c r="G1533" s="55"/>
    </row>
    <row r="1534" hidden="1">
      <c r="A1534" s="55" t="s">
        <v>291</v>
      </c>
      <c r="B1534" s="55">
        <v>300.0</v>
      </c>
      <c r="C1534" s="55" t="s">
        <v>917</v>
      </c>
      <c r="E1534" s="55"/>
      <c r="F1534" s="55"/>
      <c r="G1534" s="55"/>
    </row>
    <row r="1535" hidden="1">
      <c r="A1535" s="55" t="s">
        <v>414</v>
      </c>
      <c r="B1535" s="55">
        <v>1008.0</v>
      </c>
      <c r="C1535" s="55" t="s">
        <v>917</v>
      </c>
      <c r="E1535" s="55"/>
      <c r="F1535" s="55"/>
      <c r="G1535" s="55"/>
    </row>
    <row r="1536">
      <c r="A1536" s="55" t="s">
        <v>194</v>
      </c>
      <c r="B1536" s="55">
        <v>600.0</v>
      </c>
      <c r="C1536" s="55" t="s">
        <v>944</v>
      </c>
      <c r="E1536" s="55"/>
      <c r="F1536" s="55"/>
      <c r="G1536" s="55"/>
    </row>
    <row r="1537">
      <c r="A1537" s="55" t="s">
        <v>284</v>
      </c>
      <c r="B1537" s="55">
        <v>500.0</v>
      </c>
      <c r="C1537" s="55" t="s">
        <v>944</v>
      </c>
      <c r="E1537" s="55"/>
      <c r="F1537" s="55"/>
      <c r="G1537" s="55"/>
    </row>
    <row r="1538">
      <c r="A1538" s="55" t="s">
        <v>313</v>
      </c>
      <c r="B1538" s="55">
        <v>200.0</v>
      </c>
      <c r="C1538" s="55" t="s">
        <v>944</v>
      </c>
      <c r="E1538" s="55"/>
      <c r="F1538" s="55"/>
      <c r="G1538" s="55"/>
    </row>
    <row r="1539" hidden="1">
      <c r="A1539" s="55" t="s">
        <v>239</v>
      </c>
      <c r="B1539" s="55">
        <v>1200.0</v>
      </c>
      <c r="C1539" s="55" t="s">
        <v>917</v>
      </c>
      <c r="E1539" s="55"/>
      <c r="F1539" s="55"/>
      <c r="G1539" s="55"/>
    </row>
    <row r="1540">
      <c r="A1540" s="55" t="s">
        <v>231</v>
      </c>
      <c r="B1540" s="55">
        <v>200.0</v>
      </c>
      <c r="C1540" s="55" t="s">
        <v>918</v>
      </c>
      <c r="E1540" s="55"/>
      <c r="F1540" s="55"/>
      <c r="G1540" s="55"/>
    </row>
    <row r="1541" hidden="1">
      <c r="A1541" s="55" t="s">
        <v>182</v>
      </c>
      <c r="B1541" s="55">
        <v>200.0</v>
      </c>
      <c r="C1541" s="55" t="s">
        <v>917</v>
      </c>
      <c r="E1541" s="55"/>
      <c r="F1541" s="55"/>
      <c r="G1541" s="55"/>
    </row>
    <row r="1542" hidden="1">
      <c r="A1542" s="55" t="s">
        <v>176</v>
      </c>
      <c r="B1542" s="55">
        <v>1000.0</v>
      </c>
      <c r="C1542" s="55" t="s">
        <v>917</v>
      </c>
      <c r="E1542" s="55"/>
      <c r="F1542" s="55"/>
      <c r="G1542" s="55"/>
    </row>
    <row r="1543" hidden="1">
      <c r="A1543" s="55" t="s">
        <v>129</v>
      </c>
      <c r="B1543" s="55">
        <v>576.0</v>
      </c>
      <c r="C1543" s="55" t="s">
        <v>917</v>
      </c>
      <c r="E1543" s="55"/>
      <c r="F1543" s="55"/>
      <c r="G1543" s="55"/>
    </row>
    <row r="1544" hidden="1">
      <c r="A1544" s="55" t="s">
        <v>20</v>
      </c>
      <c r="B1544" s="55">
        <v>400.0</v>
      </c>
      <c r="C1544" s="55" t="s">
        <v>917</v>
      </c>
      <c r="E1544" s="55"/>
      <c r="F1544" s="55"/>
      <c r="G1544" s="55"/>
    </row>
    <row r="1545" hidden="1">
      <c r="A1545" s="55" t="s">
        <v>92</v>
      </c>
      <c r="B1545" s="55">
        <v>600.0</v>
      </c>
      <c r="C1545" s="55" t="s">
        <v>917</v>
      </c>
      <c r="E1545" s="55"/>
      <c r="F1545" s="55"/>
      <c r="G1545" s="55"/>
    </row>
    <row r="1546" hidden="1">
      <c r="A1546" s="55" t="s">
        <v>102</v>
      </c>
      <c r="B1546" s="55">
        <v>400.0</v>
      </c>
      <c r="C1546" s="55" t="s">
        <v>917</v>
      </c>
      <c r="E1546" s="55"/>
      <c r="F1546" s="55"/>
      <c r="G1546" s="55"/>
    </row>
    <row r="1547" hidden="1">
      <c r="A1547" s="55" t="s">
        <v>30</v>
      </c>
      <c r="B1547" s="55">
        <v>120.0</v>
      </c>
      <c r="C1547" s="55" t="s">
        <v>917</v>
      </c>
      <c r="E1547" s="55"/>
      <c r="F1547" s="55"/>
      <c r="G1547" s="55"/>
    </row>
    <row r="1548" hidden="1">
      <c r="A1548" s="55" t="s">
        <v>112</v>
      </c>
      <c r="B1548" s="55">
        <v>100.0</v>
      </c>
      <c r="C1548" s="55" t="s">
        <v>917</v>
      </c>
      <c r="E1548" s="55"/>
      <c r="F1548" s="55"/>
      <c r="G1548" s="55"/>
    </row>
    <row r="1549" hidden="1">
      <c r="A1549" s="55" t="s">
        <v>80</v>
      </c>
      <c r="B1549" s="55">
        <v>600.0</v>
      </c>
      <c r="C1549" s="55" t="s">
        <v>917</v>
      </c>
      <c r="E1549" s="55"/>
      <c r="F1549" s="55"/>
      <c r="G1549" s="55"/>
    </row>
    <row r="1550">
      <c r="A1550" s="55" t="s">
        <v>115</v>
      </c>
      <c r="B1550" s="55">
        <v>3456.0</v>
      </c>
      <c r="C1550" s="55" t="s">
        <v>918</v>
      </c>
      <c r="E1550" s="55"/>
      <c r="F1550" s="55"/>
      <c r="G1550" s="55"/>
    </row>
    <row r="1551" hidden="1">
      <c r="A1551" s="55" t="s">
        <v>67</v>
      </c>
      <c r="B1551" s="55">
        <v>400.0</v>
      </c>
      <c r="C1551" s="55" t="s">
        <v>917</v>
      </c>
      <c r="E1551" s="55"/>
      <c r="F1551" s="55"/>
      <c r="G1551" s="55"/>
    </row>
    <row r="1552" hidden="1">
      <c r="A1552" s="55" t="s">
        <v>72</v>
      </c>
      <c r="B1552" s="55">
        <v>216.0</v>
      </c>
      <c r="E1552" s="55"/>
      <c r="F1552" s="55"/>
      <c r="G1552" s="55"/>
    </row>
    <row r="1553" hidden="1">
      <c r="A1553" s="55" t="s">
        <v>141</v>
      </c>
      <c r="B1553" s="55">
        <v>100.0</v>
      </c>
      <c r="E1553" s="55"/>
      <c r="F1553" s="55"/>
      <c r="G1553" s="55"/>
    </row>
    <row r="1554" hidden="1">
      <c r="A1554" s="55" t="s">
        <v>136</v>
      </c>
      <c r="B1554" s="55">
        <v>100.0</v>
      </c>
      <c r="E1554" s="55"/>
      <c r="F1554" s="55"/>
      <c r="G1554" s="55"/>
    </row>
    <row r="1555" hidden="1">
      <c r="A1555" s="55" t="s">
        <v>55</v>
      </c>
      <c r="B1555" s="55">
        <v>400.0</v>
      </c>
      <c r="C1555" s="55" t="s">
        <v>917</v>
      </c>
      <c r="E1555" s="55"/>
      <c r="F1555" s="55"/>
      <c r="G1555" s="55"/>
    </row>
    <row r="1556" hidden="1">
      <c r="A1556" s="55" t="s">
        <v>90</v>
      </c>
      <c r="B1556" s="55">
        <v>72.0</v>
      </c>
      <c r="C1556" s="55" t="s">
        <v>917</v>
      </c>
      <c r="E1556" s="55"/>
      <c r="F1556" s="55"/>
      <c r="G1556" s="55"/>
    </row>
    <row r="1557">
      <c r="A1557" s="55" t="s">
        <v>42</v>
      </c>
      <c r="B1557" s="55">
        <v>96.0</v>
      </c>
      <c r="C1557" s="55" t="s">
        <v>918</v>
      </c>
      <c r="E1557" s="55"/>
      <c r="F1557" s="55"/>
      <c r="G1557" s="55"/>
    </row>
    <row r="1558" hidden="1">
      <c r="A1558" s="55" t="s">
        <v>129</v>
      </c>
      <c r="B1558" s="55">
        <v>80.0</v>
      </c>
      <c r="C1558" s="55" t="s">
        <v>917</v>
      </c>
      <c r="E1558" s="55"/>
      <c r="F1558" s="55"/>
      <c r="G1558" s="55"/>
    </row>
    <row r="1559">
      <c r="A1559" s="55" t="s">
        <v>70</v>
      </c>
      <c r="B1559" s="55">
        <v>300.0</v>
      </c>
      <c r="C1559" s="55" t="s">
        <v>918</v>
      </c>
      <c r="E1559" s="55"/>
      <c r="F1559" s="55"/>
      <c r="G1559" s="55"/>
    </row>
    <row r="1560">
      <c r="A1560" s="55" t="s">
        <v>134</v>
      </c>
      <c r="B1560" s="55">
        <v>400.0</v>
      </c>
      <c r="C1560" s="55" t="s">
        <v>939</v>
      </c>
      <c r="E1560" s="55"/>
      <c r="F1560" s="55"/>
      <c r="G1560" s="55"/>
    </row>
    <row r="1561">
      <c r="A1561" s="55" t="s">
        <v>133</v>
      </c>
      <c r="B1561" s="55">
        <v>100.0</v>
      </c>
      <c r="C1561" s="55" t="s">
        <v>939</v>
      </c>
      <c r="E1561" s="55"/>
      <c r="F1561" s="55"/>
      <c r="G1561" s="55"/>
    </row>
    <row r="1562" hidden="1">
      <c r="A1562" s="55" t="s">
        <v>57</v>
      </c>
      <c r="B1562" s="55">
        <v>12.0</v>
      </c>
      <c r="C1562" s="55" t="s">
        <v>917</v>
      </c>
      <c r="E1562" s="55"/>
      <c r="F1562" s="55"/>
      <c r="G1562" s="55"/>
    </row>
    <row r="1563" hidden="1">
      <c r="A1563" s="55" t="s">
        <v>20</v>
      </c>
      <c r="B1563" s="55">
        <v>200.0</v>
      </c>
      <c r="C1563" s="55" t="s">
        <v>917</v>
      </c>
      <c r="E1563" s="55"/>
      <c r="F1563" s="55"/>
      <c r="G1563" s="55"/>
    </row>
    <row r="1564" hidden="1">
      <c r="A1564" s="55" t="s">
        <v>58</v>
      </c>
      <c r="B1564" s="55">
        <v>12.0</v>
      </c>
      <c r="C1564" s="55" t="s">
        <v>917</v>
      </c>
      <c r="E1564" s="55"/>
      <c r="F1564" s="55"/>
      <c r="G1564" s="55"/>
    </row>
    <row r="1565" hidden="1">
      <c r="A1565" s="55" t="s">
        <v>92</v>
      </c>
      <c r="B1565" s="55">
        <v>200.0</v>
      </c>
      <c r="C1565" s="55" t="s">
        <v>917</v>
      </c>
      <c r="E1565" s="55"/>
      <c r="F1565" s="55"/>
      <c r="G1565" s="55"/>
    </row>
    <row r="1566" hidden="1">
      <c r="A1566" s="55" t="s">
        <v>102</v>
      </c>
      <c r="B1566" s="55">
        <v>140.0</v>
      </c>
      <c r="C1566" s="55" t="s">
        <v>917</v>
      </c>
      <c r="E1566" s="55"/>
      <c r="F1566" s="55"/>
      <c r="G1566" s="55"/>
    </row>
    <row r="1567" hidden="1">
      <c r="A1567" s="55" t="s">
        <v>33</v>
      </c>
      <c r="B1567" s="55">
        <v>32.0</v>
      </c>
      <c r="C1567" s="55" t="s">
        <v>917</v>
      </c>
      <c r="E1567" s="55"/>
      <c r="F1567" s="55"/>
      <c r="G1567" s="55"/>
    </row>
    <row r="1568" hidden="1">
      <c r="A1568" s="55" t="s">
        <v>97</v>
      </c>
      <c r="B1568" s="55">
        <v>20.0</v>
      </c>
      <c r="C1568" s="55" t="s">
        <v>917</v>
      </c>
      <c r="E1568" s="55"/>
      <c r="F1568" s="55"/>
      <c r="G1568" s="55"/>
    </row>
    <row r="1569" hidden="1">
      <c r="A1569" s="55" t="s">
        <v>80</v>
      </c>
      <c r="B1569" s="55">
        <v>192.0</v>
      </c>
      <c r="C1569" s="55" t="s">
        <v>917</v>
      </c>
      <c r="E1569" s="55"/>
      <c r="F1569" s="55"/>
      <c r="G1569" s="55"/>
    </row>
    <row r="1570">
      <c r="A1570" s="55" t="s">
        <v>74</v>
      </c>
      <c r="B1570" s="55">
        <v>120.0</v>
      </c>
      <c r="C1570" s="55" t="s">
        <v>929</v>
      </c>
      <c r="E1570" s="55"/>
      <c r="F1570" s="55"/>
      <c r="G1570" s="55"/>
    </row>
    <row r="1571">
      <c r="A1571" s="55" t="s">
        <v>115</v>
      </c>
      <c r="B1571" s="55">
        <v>1728.0</v>
      </c>
      <c r="C1571" s="55" t="s">
        <v>918</v>
      </c>
      <c r="E1571" s="55"/>
      <c r="F1571" s="55"/>
      <c r="G1571" s="55"/>
    </row>
    <row r="1572">
      <c r="A1572" s="55" t="s">
        <v>69</v>
      </c>
      <c r="B1572" s="55">
        <v>20.0</v>
      </c>
      <c r="C1572" s="55" t="s">
        <v>918</v>
      </c>
      <c r="E1572" s="55"/>
      <c r="F1572" s="55"/>
      <c r="G1572" s="55"/>
    </row>
    <row r="1573" hidden="1">
      <c r="A1573" s="55" t="s">
        <v>136</v>
      </c>
      <c r="B1573" s="55">
        <v>400.0</v>
      </c>
      <c r="E1573" s="55"/>
      <c r="F1573" s="55"/>
      <c r="G1573" s="55"/>
    </row>
    <row r="1574" hidden="1">
      <c r="A1574" s="55" t="s">
        <v>141</v>
      </c>
      <c r="B1574" s="55">
        <v>100.0</v>
      </c>
      <c r="E1574" s="55"/>
      <c r="F1574" s="55"/>
      <c r="G1574" s="55"/>
    </row>
    <row r="1575" hidden="1">
      <c r="A1575" s="55" t="s">
        <v>236</v>
      </c>
      <c r="B1575" s="55">
        <v>18.0</v>
      </c>
      <c r="C1575" s="55" t="s">
        <v>934</v>
      </c>
      <c r="E1575" s="55"/>
      <c r="F1575" s="55"/>
      <c r="G1575" s="55"/>
    </row>
    <row r="1576" hidden="1">
      <c r="A1576" s="55" t="s">
        <v>205</v>
      </c>
      <c r="B1576" s="55">
        <v>100.0</v>
      </c>
      <c r="C1576" s="55" t="s">
        <v>926</v>
      </c>
      <c r="E1576" s="55"/>
      <c r="F1576" s="55"/>
      <c r="G1576" s="55"/>
    </row>
    <row r="1577" hidden="1">
      <c r="A1577" s="55" t="s">
        <v>23</v>
      </c>
      <c r="B1577" s="55">
        <v>3840.0</v>
      </c>
      <c r="C1577" s="55" t="s">
        <v>917</v>
      </c>
      <c r="E1577" s="55"/>
      <c r="F1577" s="55"/>
      <c r="G1577" s="55"/>
    </row>
    <row r="1578">
      <c r="A1578" s="55" t="s">
        <v>116</v>
      </c>
      <c r="B1578" s="55">
        <v>200.0</v>
      </c>
      <c r="C1578" s="55" t="s">
        <v>919</v>
      </c>
      <c r="E1578" s="55"/>
      <c r="F1578" s="55"/>
      <c r="G1578" s="55"/>
    </row>
    <row r="1579" hidden="1">
      <c r="A1579" s="55" t="s">
        <v>136</v>
      </c>
      <c r="B1579" s="55">
        <v>500.0</v>
      </c>
      <c r="C1579" s="55" t="s">
        <v>917</v>
      </c>
      <c r="E1579" s="55"/>
      <c r="F1579" s="55"/>
      <c r="G1579" s="55"/>
    </row>
    <row r="1580" hidden="1">
      <c r="A1580" s="55" t="s">
        <v>139</v>
      </c>
      <c r="B1580" s="55">
        <v>600.0</v>
      </c>
      <c r="C1580" s="55" t="s">
        <v>917</v>
      </c>
      <c r="E1580" s="55"/>
      <c r="F1580" s="55"/>
      <c r="G1580" s="55"/>
    </row>
    <row r="1581" hidden="1">
      <c r="A1581" s="55" t="s">
        <v>141</v>
      </c>
      <c r="B1581" s="55">
        <v>400.0</v>
      </c>
      <c r="C1581" s="55" t="s">
        <v>917</v>
      </c>
      <c r="E1581" s="55"/>
      <c r="F1581" s="55"/>
      <c r="G1581" s="55"/>
    </row>
    <row r="1582" hidden="1">
      <c r="A1582" s="55" t="s">
        <v>205</v>
      </c>
      <c r="B1582" s="55">
        <v>1080.0</v>
      </c>
      <c r="C1582" s="55" t="s">
        <v>917</v>
      </c>
      <c r="E1582" s="55"/>
      <c r="F1582" s="55"/>
      <c r="G1582" s="55"/>
    </row>
    <row r="1583">
      <c r="A1583" s="55" t="s">
        <v>275</v>
      </c>
      <c r="B1583" s="55">
        <v>1280.0</v>
      </c>
      <c r="C1583" s="55" t="s">
        <v>918</v>
      </c>
      <c r="E1583" s="55"/>
      <c r="F1583" s="55"/>
      <c r="G1583" s="55"/>
    </row>
    <row r="1584" hidden="1">
      <c r="A1584" s="55" t="s">
        <v>290</v>
      </c>
      <c r="B1584" s="55">
        <v>200.0</v>
      </c>
      <c r="C1584" s="55" t="s">
        <v>917</v>
      </c>
      <c r="E1584" s="55"/>
      <c r="F1584" s="55"/>
      <c r="G1584" s="55"/>
    </row>
    <row r="1585">
      <c r="A1585" s="55" t="s">
        <v>199</v>
      </c>
      <c r="B1585" s="55">
        <v>128.0</v>
      </c>
      <c r="C1585" s="55" t="s">
        <v>931</v>
      </c>
      <c r="E1585" s="55"/>
      <c r="F1585" s="55"/>
      <c r="G1585" s="55"/>
    </row>
    <row r="1586" hidden="1">
      <c r="A1586" s="55" t="s">
        <v>236</v>
      </c>
      <c r="B1586" s="55">
        <v>1296.0</v>
      </c>
      <c r="C1586" s="55" t="s">
        <v>917</v>
      </c>
      <c r="E1586" s="55"/>
      <c r="F1586" s="55"/>
      <c r="G1586" s="55"/>
    </row>
    <row r="1587">
      <c r="A1587" s="55" t="s">
        <v>164</v>
      </c>
      <c r="B1587" s="55">
        <v>768.0</v>
      </c>
      <c r="C1587" s="55" t="s">
        <v>918</v>
      </c>
      <c r="E1587" s="55"/>
      <c r="F1587" s="55"/>
      <c r="G1587" s="55"/>
    </row>
    <row r="1588">
      <c r="A1588" s="55" t="s">
        <v>167</v>
      </c>
      <c r="B1588" s="55">
        <v>1280.0</v>
      </c>
      <c r="C1588" s="55" t="s">
        <v>918</v>
      </c>
      <c r="E1588" s="55"/>
      <c r="F1588" s="55"/>
      <c r="G1588" s="55"/>
    </row>
    <row r="1589">
      <c r="A1589" s="55" t="s">
        <v>282</v>
      </c>
      <c r="B1589" s="55">
        <v>300.0</v>
      </c>
      <c r="C1589" s="55" t="s">
        <v>944</v>
      </c>
      <c r="E1589" s="55"/>
      <c r="F1589" s="55"/>
      <c r="G1589" s="55"/>
    </row>
    <row r="1590">
      <c r="A1590" s="55" t="s">
        <v>325</v>
      </c>
      <c r="B1590" s="55">
        <v>1152.0</v>
      </c>
      <c r="C1590" s="55" t="s">
        <v>918</v>
      </c>
      <c r="E1590" s="55"/>
      <c r="F1590" s="55"/>
      <c r="G1590" s="55"/>
    </row>
    <row r="1591">
      <c r="A1591" s="55" t="s">
        <v>334</v>
      </c>
      <c r="B1591" s="55">
        <v>360.0</v>
      </c>
      <c r="C1591" s="55" t="s">
        <v>918</v>
      </c>
      <c r="E1591" s="55"/>
      <c r="F1591" s="55"/>
      <c r="G1591" s="55"/>
    </row>
    <row r="1592">
      <c r="A1592" s="55" t="s">
        <v>228</v>
      </c>
      <c r="B1592" s="55">
        <v>288.0</v>
      </c>
      <c r="C1592" s="55" t="s">
        <v>918</v>
      </c>
      <c r="E1592" s="55"/>
      <c r="F1592" s="55"/>
      <c r="G1592" s="55"/>
    </row>
    <row r="1593">
      <c r="A1593" s="55" t="s">
        <v>294</v>
      </c>
      <c r="B1593" s="55">
        <v>120.0</v>
      </c>
      <c r="C1593" s="55" t="s">
        <v>918</v>
      </c>
      <c r="E1593" s="55"/>
      <c r="F1593" s="55"/>
      <c r="G1593" s="55"/>
    </row>
    <row r="1594" hidden="1">
      <c r="A1594" s="55" t="s">
        <v>414</v>
      </c>
      <c r="B1594" s="55">
        <v>720.0</v>
      </c>
      <c r="C1594" s="55" t="s">
        <v>917</v>
      </c>
      <c r="E1594" s="55"/>
      <c r="F1594" s="55"/>
      <c r="G1594" s="55"/>
    </row>
    <row r="1595">
      <c r="A1595" s="55" t="s">
        <v>252</v>
      </c>
      <c r="B1595" s="55">
        <v>1728.0</v>
      </c>
      <c r="C1595" s="55" t="s">
        <v>918</v>
      </c>
      <c r="E1595" s="55"/>
      <c r="F1595" s="55"/>
      <c r="G1595" s="55"/>
    </row>
    <row r="1596">
      <c r="A1596" s="55" t="s">
        <v>372</v>
      </c>
      <c r="B1596" s="55">
        <v>1152.0</v>
      </c>
      <c r="C1596" s="55" t="s">
        <v>918</v>
      </c>
      <c r="E1596" s="55"/>
      <c r="F1596" s="55"/>
      <c r="G1596" s="55"/>
    </row>
    <row r="1597">
      <c r="A1597" s="55" t="s">
        <v>369</v>
      </c>
      <c r="B1597" s="55">
        <v>720.0</v>
      </c>
      <c r="C1597" s="55" t="s">
        <v>918</v>
      </c>
      <c r="E1597" s="55"/>
      <c r="F1597" s="55"/>
      <c r="G1597" s="55"/>
    </row>
    <row r="1598">
      <c r="A1598" s="55" t="s">
        <v>194</v>
      </c>
      <c r="B1598" s="55">
        <v>200.0</v>
      </c>
      <c r="C1598" s="55" t="s">
        <v>944</v>
      </c>
      <c r="E1598" s="55"/>
      <c r="F1598" s="55"/>
      <c r="G1598" s="55"/>
    </row>
    <row r="1599">
      <c r="A1599" s="55" t="s">
        <v>195</v>
      </c>
      <c r="B1599" s="55">
        <v>100.0</v>
      </c>
      <c r="C1599" s="55" t="s">
        <v>918</v>
      </c>
      <c r="E1599" s="55"/>
      <c r="F1599" s="55"/>
      <c r="G1599" s="55"/>
    </row>
    <row r="1600" hidden="1">
      <c r="A1600" s="55" t="s">
        <v>359</v>
      </c>
      <c r="B1600" s="55">
        <v>60.0</v>
      </c>
      <c r="C1600" s="55" t="s">
        <v>917</v>
      </c>
      <c r="E1600" s="55"/>
      <c r="F1600" s="55"/>
      <c r="G1600" s="55"/>
    </row>
    <row r="1601" hidden="1">
      <c r="A1601" s="55" t="s">
        <v>239</v>
      </c>
      <c r="B1601" s="55">
        <v>200.0</v>
      </c>
      <c r="C1601" s="55" t="s">
        <v>917</v>
      </c>
      <c r="E1601" s="55"/>
      <c r="F1601" s="55"/>
      <c r="G1601" s="55"/>
    </row>
    <row r="1602" hidden="1">
      <c r="A1602" s="55" t="s">
        <v>72</v>
      </c>
      <c r="B1602" s="55">
        <v>648.0</v>
      </c>
      <c r="E1602" s="55"/>
      <c r="F1602" s="55"/>
      <c r="G1602" s="55"/>
    </row>
    <row r="1603">
      <c r="A1603" s="55" t="s">
        <v>42</v>
      </c>
      <c r="B1603" s="55">
        <v>240.0</v>
      </c>
      <c r="C1603" s="55" t="s">
        <v>918</v>
      </c>
      <c r="E1603" s="55"/>
      <c r="F1603" s="55"/>
      <c r="G1603" s="55"/>
    </row>
    <row r="1604">
      <c r="A1604" s="55" t="s">
        <v>134</v>
      </c>
      <c r="B1604" s="55">
        <v>600.0</v>
      </c>
      <c r="C1604" s="55" t="s">
        <v>939</v>
      </c>
      <c r="E1604" s="55"/>
      <c r="F1604" s="55"/>
      <c r="G1604" s="55"/>
    </row>
    <row r="1605">
      <c r="A1605" s="55" t="s">
        <v>20</v>
      </c>
      <c r="B1605" s="55">
        <v>500.0</v>
      </c>
      <c r="C1605" s="55" t="s">
        <v>949</v>
      </c>
      <c r="E1605" s="55"/>
      <c r="F1605" s="55"/>
      <c r="G1605" s="55"/>
    </row>
    <row r="1606">
      <c r="A1606" s="55" t="s">
        <v>131</v>
      </c>
      <c r="B1606" s="55">
        <v>432.0</v>
      </c>
      <c r="C1606" s="55" t="s">
        <v>918</v>
      </c>
      <c r="E1606" s="55"/>
      <c r="F1606" s="55"/>
      <c r="G1606" s="55"/>
    </row>
    <row r="1607">
      <c r="A1607" s="55" t="s">
        <v>61</v>
      </c>
      <c r="B1607" s="55">
        <v>576.0</v>
      </c>
      <c r="C1607" s="55" t="s">
        <v>918</v>
      </c>
      <c r="E1607" s="55"/>
      <c r="F1607" s="55"/>
      <c r="G1607" s="55"/>
    </row>
    <row r="1608">
      <c r="A1608" s="55" t="s">
        <v>96</v>
      </c>
      <c r="B1608" s="55">
        <v>200.0</v>
      </c>
      <c r="C1608" s="55" t="s">
        <v>918</v>
      </c>
      <c r="E1608" s="55"/>
      <c r="F1608" s="55"/>
      <c r="G1608" s="55"/>
    </row>
    <row r="1609" hidden="1">
      <c r="A1609" s="27" t="s">
        <v>20</v>
      </c>
      <c r="B1609" s="132">
        <v>130.0</v>
      </c>
      <c r="C1609" s="27" t="s">
        <v>917</v>
      </c>
      <c r="E1609" s="55"/>
      <c r="F1609" s="55"/>
      <c r="G1609" s="55"/>
    </row>
    <row r="1610" hidden="1">
      <c r="A1610" s="27" t="s">
        <v>59</v>
      </c>
      <c r="B1610" s="132">
        <v>8.0</v>
      </c>
      <c r="C1610" s="27" t="s">
        <v>917</v>
      </c>
      <c r="E1610" s="55"/>
      <c r="F1610" s="55"/>
      <c r="G1610" s="55"/>
    </row>
    <row r="1611" hidden="1">
      <c r="A1611" s="27" t="s">
        <v>92</v>
      </c>
      <c r="B1611" s="132">
        <v>58.0</v>
      </c>
      <c r="C1611" s="27" t="s">
        <v>917</v>
      </c>
      <c r="E1611" s="55"/>
      <c r="F1611" s="55"/>
      <c r="G1611" s="55"/>
    </row>
    <row r="1612" hidden="1">
      <c r="A1612" s="27" t="s">
        <v>102</v>
      </c>
      <c r="B1612" s="132">
        <v>100.0</v>
      </c>
      <c r="C1612" s="27" t="s">
        <v>917</v>
      </c>
      <c r="E1612" s="55"/>
      <c r="F1612" s="55"/>
      <c r="G1612" s="55"/>
    </row>
    <row r="1613" hidden="1">
      <c r="A1613" s="27" t="s">
        <v>80</v>
      </c>
      <c r="B1613" s="132">
        <v>73.0</v>
      </c>
      <c r="C1613" s="27" t="s">
        <v>917</v>
      </c>
      <c r="E1613" s="55"/>
      <c r="F1613" s="55"/>
      <c r="G1613" s="55"/>
    </row>
    <row r="1614" hidden="1">
      <c r="A1614" s="27" t="s">
        <v>72</v>
      </c>
      <c r="B1614" s="132">
        <v>432.0</v>
      </c>
      <c r="C1614" s="315"/>
      <c r="E1614" s="55"/>
      <c r="F1614" s="55"/>
      <c r="G1614" s="55"/>
    </row>
    <row r="1615">
      <c r="A1615" s="27" t="s">
        <v>42</v>
      </c>
      <c r="B1615" s="132">
        <v>120.0</v>
      </c>
      <c r="C1615" s="27" t="s">
        <v>918</v>
      </c>
      <c r="E1615" s="55"/>
      <c r="F1615" s="55"/>
      <c r="G1615" s="55"/>
    </row>
    <row r="1616">
      <c r="A1616" s="27" t="s">
        <v>70</v>
      </c>
      <c r="B1616" s="132">
        <v>87.0</v>
      </c>
      <c r="C1616" s="27" t="s">
        <v>918</v>
      </c>
      <c r="E1616" s="55"/>
      <c r="F1616" s="55"/>
      <c r="G1616" s="55"/>
    </row>
    <row r="1617" hidden="1">
      <c r="A1617" s="27" t="s">
        <v>68</v>
      </c>
      <c r="B1617" s="132">
        <v>40.0</v>
      </c>
      <c r="C1617" s="27" t="s">
        <v>917</v>
      </c>
      <c r="E1617" s="55"/>
      <c r="F1617" s="55"/>
      <c r="G1617" s="55"/>
    </row>
    <row r="1618" hidden="1">
      <c r="A1618" s="27" t="s">
        <v>90</v>
      </c>
      <c r="B1618" s="132">
        <v>40.0</v>
      </c>
      <c r="C1618" s="27" t="s">
        <v>917</v>
      </c>
      <c r="E1618" s="55"/>
      <c r="F1618" s="55"/>
      <c r="G1618" s="55"/>
    </row>
    <row r="1619">
      <c r="A1619" s="27" t="s">
        <v>61</v>
      </c>
      <c r="B1619" s="132">
        <v>54.0</v>
      </c>
      <c r="C1619" s="27" t="s">
        <v>918</v>
      </c>
      <c r="E1619" s="55"/>
      <c r="F1619" s="55"/>
      <c r="G1619" s="55"/>
    </row>
    <row r="1620">
      <c r="A1620" s="27" t="s">
        <v>115</v>
      </c>
      <c r="B1620" s="132">
        <v>288.0</v>
      </c>
      <c r="C1620" s="27" t="s">
        <v>918</v>
      </c>
      <c r="E1620" s="55"/>
      <c r="F1620" s="55"/>
      <c r="G1620" s="55"/>
    </row>
    <row r="1621">
      <c r="A1621" s="27" t="s">
        <v>69</v>
      </c>
      <c r="B1621" s="132">
        <v>18.0</v>
      </c>
      <c r="C1621" s="27" t="s">
        <v>918</v>
      </c>
      <c r="E1621" s="55"/>
      <c r="F1621" s="55"/>
      <c r="G1621" s="55"/>
    </row>
    <row r="1622" hidden="1">
      <c r="A1622" s="27" t="s">
        <v>64</v>
      </c>
      <c r="B1622" s="132">
        <v>12.0</v>
      </c>
      <c r="C1622" s="27" t="s">
        <v>917</v>
      </c>
      <c r="E1622" s="55"/>
      <c r="F1622" s="55"/>
      <c r="G1622" s="55"/>
    </row>
    <row r="1623" hidden="1">
      <c r="A1623" s="55" t="s">
        <v>236</v>
      </c>
      <c r="B1623" s="55">
        <v>54.0</v>
      </c>
      <c r="C1623" s="55" t="s">
        <v>934</v>
      </c>
      <c r="E1623" s="55"/>
      <c r="F1623" s="55"/>
      <c r="G1623" s="55"/>
    </row>
    <row r="1624" hidden="1">
      <c r="A1624" s="55" t="s">
        <v>205</v>
      </c>
      <c r="B1624" s="55">
        <v>60.0</v>
      </c>
      <c r="C1624" s="55" t="s">
        <v>926</v>
      </c>
      <c r="E1624" s="55"/>
      <c r="F1624" s="55"/>
      <c r="G1624" s="55"/>
    </row>
    <row r="1625">
      <c r="A1625" s="55" t="s">
        <v>131</v>
      </c>
      <c r="B1625" s="55">
        <v>1728.0</v>
      </c>
      <c r="C1625" s="55" t="s">
        <v>918</v>
      </c>
      <c r="E1625" s="55"/>
      <c r="F1625" s="55"/>
      <c r="G1625" s="55"/>
    </row>
    <row r="1626">
      <c r="A1626" s="55" t="s">
        <v>55</v>
      </c>
      <c r="B1626" s="55">
        <v>1728.0</v>
      </c>
      <c r="C1626" s="55" t="s">
        <v>918</v>
      </c>
      <c r="E1626" s="55"/>
      <c r="F1626" s="55"/>
      <c r="G1626" s="55"/>
    </row>
    <row r="1627">
      <c r="A1627" s="55" t="s">
        <v>115</v>
      </c>
      <c r="B1627" s="55">
        <v>1008.0</v>
      </c>
      <c r="C1627" s="55" t="s">
        <v>918</v>
      </c>
      <c r="E1627" s="55"/>
      <c r="F1627" s="55"/>
      <c r="G1627" s="55"/>
    </row>
    <row r="1628">
      <c r="A1628" s="55" t="s">
        <v>129</v>
      </c>
      <c r="B1628" s="55">
        <v>1008.0</v>
      </c>
      <c r="C1628" s="55" t="s">
        <v>918</v>
      </c>
      <c r="E1628" s="55"/>
      <c r="F1628" s="55"/>
      <c r="G1628" s="55"/>
    </row>
    <row r="1629">
      <c r="A1629" s="55" t="s">
        <v>42</v>
      </c>
      <c r="B1629" s="55">
        <v>480.0</v>
      </c>
      <c r="C1629" s="55" t="s">
        <v>918</v>
      </c>
      <c r="E1629" s="55"/>
      <c r="F1629" s="55"/>
      <c r="G1629" s="55"/>
    </row>
    <row r="1630">
      <c r="A1630" s="55" t="s">
        <v>70</v>
      </c>
      <c r="B1630" s="55">
        <v>1200.0</v>
      </c>
      <c r="C1630" s="55" t="s">
        <v>918</v>
      </c>
      <c r="E1630" s="55"/>
      <c r="F1630" s="55"/>
      <c r="G1630" s="55"/>
    </row>
    <row r="1631" hidden="1">
      <c r="A1631" s="55" t="s">
        <v>23</v>
      </c>
      <c r="B1631" s="55">
        <v>640.0</v>
      </c>
      <c r="C1631" s="55" t="s">
        <v>917</v>
      </c>
      <c r="E1631" s="55"/>
      <c r="F1631" s="55"/>
      <c r="G1631" s="55"/>
    </row>
    <row r="1632" hidden="1">
      <c r="A1632" s="55" t="s">
        <v>67</v>
      </c>
      <c r="B1632" s="55">
        <v>696.0</v>
      </c>
      <c r="C1632" s="55" t="s">
        <v>917</v>
      </c>
      <c r="E1632" s="55"/>
      <c r="F1632" s="55"/>
      <c r="G1632" s="55"/>
    </row>
    <row r="1633" hidden="1">
      <c r="A1633" s="55" t="s">
        <v>64</v>
      </c>
      <c r="B1633" s="55">
        <v>30.0</v>
      </c>
      <c r="C1633" s="55" t="s">
        <v>917</v>
      </c>
      <c r="E1633" s="55"/>
      <c r="F1633" s="55"/>
      <c r="G1633" s="55"/>
    </row>
    <row r="1634" hidden="1">
      <c r="A1634" s="55" t="s">
        <v>97</v>
      </c>
      <c r="B1634" s="55">
        <v>30.0</v>
      </c>
      <c r="C1634" s="55" t="s">
        <v>917</v>
      </c>
      <c r="E1634" s="55"/>
      <c r="F1634" s="55"/>
      <c r="G1634" s="55"/>
    </row>
    <row r="1635" hidden="1">
      <c r="A1635" s="55" t="s">
        <v>67</v>
      </c>
      <c r="B1635" s="55">
        <v>30.0</v>
      </c>
      <c r="C1635" s="55" t="s">
        <v>917</v>
      </c>
      <c r="E1635" s="55"/>
      <c r="F1635" s="55"/>
      <c r="G1635" s="55"/>
    </row>
    <row r="1636" hidden="1">
      <c r="A1636" s="55" t="s">
        <v>98</v>
      </c>
      <c r="B1636" s="55">
        <v>30.0</v>
      </c>
      <c r="C1636" s="55" t="s">
        <v>917</v>
      </c>
      <c r="E1636" s="55"/>
      <c r="F1636" s="55"/>
      <c r="G1636" s="55"/>
    </row>
    <row r="1637" hidden="1">
      <c r="A1637" s="55" t="s">
        <v>17</v>
      </c>
      <c r="B1637" s="55">
        <v>30.0</v>
      </c>
      <c r="C1637" s="55" t="s">
        <v>917</v>
      </c>
      <c r="E1637" s="55"/>
      <c r="F1637" s="55"/>
      <c r="G1637" s="55"/>
    </row>
    <row r="1638" hidden="1">
      <c r="A1638" s="55" t="s">
        <v>44</v>
      </c>
      <c r="B1638" s="55">
        <v>30.0</v>
      </c>
      <c r="C1638" s="55" t="s">
        <v>917</v>
      </c>
      <c r="E1638" s="55"/>
      <c r="F1638" s="55"/>
      <c r="G1638" s="55"/>
    </row>
    <row r="1639" hidden="1">
      <c r="A1639" s="55" t="s">
        <v>22</v>
      </c>
      <c r="B1639" s="55">
        <v>30.0</v>
      </c>
      <c r="C1639" s="55" t="s">
        <v>917</v>
      </c>
      <c r="E1639" s="55"/>
      <c r="F1639" s="55"/>
      <c r="G1639" s="55"/>
    </row>
    <row r="1640" hidden="1">
      <c r="A1640" s="55" t="s">
        <v>101</v>
      </c>
      <c r="B1640" s="55">
        <v>30.0</v>
      </c>
      <c r="C1640" s="55" t="s">
        <v>917</v>
      </c>
      <c r="E1640" s="55"/>
      <c r="F1640" s="55"/>
      <c r="G1640" s="55"/>
    </row>
    <row r="1641" hidden="1">
      <c r="A1641" s="55" t="s">
        <v>100</v>
      </c>
      <c r="B1641" s="55">
        <v>30.0</v>
      </c>
      <c r="C1641" s="55" t="s">
        <v>917</v>
      </c>
      <c r="E1641" s="55"/>
      <c r="F1641" s="55"/>
      <c r="G1641" s="55"/>
    </row>
    <row r="1642" hidden="1">
      <c r="A1642" s="55" t="s">
        <v>76</v>
      </c>
      <c r="B1642" s="55">
        <v>30.0</v>
      </c>
      <c r="C1642" s="55" t="s">
        <v>917</v>
      </c>
      <c r="E1642" s="55"/>
      <c r="F1642" s="55"/>
      <c r="G1642" s="55"/>
    </row>
    <row r="1643" hidden="1">
      <c r="A1643" s="55" t="s">
        <v>95</v>
      </c>
      <c r="B1643" s="55">
        <v>30.0</v>
      </c>
      <c r="C1643" s="55" t="s">
        <v>917</v>
      </c>
      <c r="E1643" s="55"/>
      <c r="F1643" s="55"/>
      <c r="G1643" s="55"/>
    </row>
    <row r="1644" hidden="1">
      <c r="A1644" s="55" t="s">
        <v>23</v>
      </c>
      <c r="B1644" s="55">
        <v>30.0</v>
      </c>
      <c r="C1644" s="55" t="s">
        <v>917</v>
      </c>
      <c r="E1644" s="55"/>
      <c r="F1644" s="55"/>
      <c r="G1644" s="55"/>
    </row>
    <row r="1645" hidden="1">
      <c r="A1645" s="55" t="s">
        <v>54</v>
      </c>
      <c r="B1645" s="55">
        <v>30.0</v>
      </c>
      <c r="C1645" s="55" t="s">
        <v>917</v>
      </c>
      <c r="E1645" s="55"/>
      <c r="F1645" s="55"/>
      <c r="G1645" s="55"/>
    </row>
    <row r="1646" hidden="1">
      <c r="A1646" s="55" t="s">
        <v>89</v>
      </c>
      <c r="B1646" s="55">
        <v>30.0</v>
      </c>
      <c r="C1646" s="55" t="s">
        <v>917</v>
      </c>
      <c r="E1646" s="55"/>
      <c r="F1646" s="55"/>
      <c r="G1646" s="55"/>
    </row>
    <row r="1647" hidden="1">
      <c r="A1647" s="55" t="s">
        <v>112</v>
      </c>
      <c r="B1647" s="55">
        <v>50.0</v>
      </c>
      <c r="C1647" s="55" t="s">
        <v>917</v>
      </c>
      <c r="E1647" s="55"/>
      <c r="F1647" s="55"/>
      <c r="G1647" s="55"/>
    </row>
    <row r="1648" hidden="1">
      <c r="A1648" s="55" t="s">
        <v>404</v>
      </c>
      <c r="B1648" s="55">
        <v>30.0</v>
      </c>
      <c r="C1648" s="55" t="s">
        <v>917</v>
      </c>
      <c r="E1648" s="55"/>
      <c r="F1648" s="55"/>
      <c r="G1648" s="55"/>
    </row>
    <row r="1649" hidden="1">
      <c r="A1649" s="55" t="s">
        <v>53</v>
      </c>
      <c r="B1649" s="55">
        <v>30.0</v>
      </c>
      <c r="C1649" s="55" t="s">
        <v>917</v>
      </c>
      <c r="E1649" s="55"/>
      <c r="F1649" s="55"/>
      <c r="G1649" s="55"/>
    </row>
    <row r="1650" hidden="1">
      <c r="A1650" s="55" t="s">
        <v>399</v>
      </c>
      <c r="B1650" s="55">
        <v>30.0</v>
      </c>
      <c r="C1650" s="55" t="s">
        <v>917</v>
      </c>
      <c r="E1650" s="55"/>
      <c r="F1650" s="55"/>
      <c r="G1650" s="55"/>
    </row>
    <row r="1651" hidden="1">
      <c r="A1651" s="55" t="s">
        <v>33</v>
      </c>
      <c r="B1651" s="55">
        <v>30.0</v>
      </c>
      <c r="C1651" s="55" t="s">
        <v>917</v>
      </c>
      <c r="E1651" s="55"/>
      <c r="F1651" s="55"/>
      <c r="G1651" s="55"/>
    </row>
    <row r="1652" hidden="1">
      <c r="A1652" s="55" t="s">
        <v>86</v>
      </c>
      <c r="B1652" s="55">
        <v>30.0</v>
      </c>
      <c r="C1652" s="55" t="s">
        <v>917</v>
      </c>
      <c r="E1652" s="55"/>
      <c r="F1652" s="55"/>
      <c r="G1652" s="55"/>
    </row>
    <row r="1653" hidden="1">
      <c r="A1653" s="55" t="s">
        <v>79</v>
      </c>
      <c r="B1653" s="55">
        <v>30.0</v>
      </c>
      <c r="C1653" s="55" t="s">
        <v>917</v>
      </c>
      <c r="E1653" s="55"/>
      <c r="F1653" s="55"/>
      <c r="G1653" s="55"/>
    </row>
    <row r="1654">
      <c r="A1654" s="55" t="s">
        <v>199</v>
      </c>
      <c r="B1654" s="55">
        <v>20.0</v>
      </c>
      <c r="C1654" s="55" t="s">
        <v>950</v>
      </c>
      <c r="E1654" s="55"/>
      <c r="F1654" s="55"/>
      <c r="G1654" s="55"/>
    </row>
    <row r="1655">
      <c r="A1655" s="55" t="s">
        <v>295</v>
      </c>
      <c r="B1655" s="55">
        <v>20.0</v>
      </c>
      <c r="C1655" s="55" t="s">
        <v>923</v>
      </c>
      <c r="E1655" s="55"/>
      <c r="F1655" s="55"/>
      <c r="G1655" s="55"/>
    </row>
    <row r="1656" hidden="1">
      <c r="A1656" s="55" t="s">
        <v>360</v>
      </c>
      <c r="B1656" s="55">
        <v>20.0</v>
      </c>
      <c r="C1656" s="55" t="s">
        <v>917</v>
      </c>
      <c r="E1656" s="55"/>
      <c r="F1656" s="55"/>
      <c r="G1656" s="55"/>
    </row>
    <row r="1657" hidden="1">
      <c r="A1657" s="55" t="s">
        <v>162</v>
      </c>
      <c r="B1657" s="55">
        <v>20.0</v>
      </c>
      <c r="C1657" s="55" t="s">
        <v>917</v>
      </c>
      <c r="E1657" s="55"/>
      <c r="F1657" s="55"/>
      <c r="G1657" s="55"/>
    </row>
    <row r="1658" hidden="1">
      <c r="A1658" s="55" t="s">
        <v>334</v>
      </c>
      <c r="B1658" s="55">
        <v>20.0</v>
      </c>
      <c r="C1658" s="55" t="s">
        <v>917</v>
      </c>
      <c r="E1658" s="55"/>
      <c r="F1658" s="55"/>
      <c r="G1658" s="55"/>
    </row>
    <row r="1659" hidden="1">
      <c r="A1659" s="55" t="s">
        <v>159</v>
      </c>
      <c r="B1659" s="55">
        <v>20.0</v>
      </c>
      <c r="C1659" s="55" t="s">
        <v>917</v>
      </c>
      <c r="E1659" s="55"/>
      <c r="F1659" s="55"/>
      <c r="G1659" s="55"/>
    </row>
    <row r="1660" hidden="1">
      <c r="A1660" s="55" t="s">
        <v>183</v>
      </c>
      <c r="B1660" s="55">
        <v>20.0</v>
      </c>
      <c r="C1660" s="55" t="s">
        <v>917</v>
      </c>
      <c r="E1660" s="55"/>
      <c r="F1660" s="55"/>
      <c r="G1660" s="55"/>
    </row>
    <row r="1661">
      <c r="A1661" s="55" t="s">
        <v>264</v>
      </c>
      <c r="B1661" s="55">
        <v>10.0</v>
      </c>
      <c r="C1661" s="55" t="s">
        <v>923</v>
      </c>
      <c r="E1661" s="55"/>
      <c r="F1661" s="55"/>
      <c r="G1661" s="55"/>
    </row>
    <row r="1662">
      <c r="A1662" s="55" t="s">
        <v>355</v>
      </c>
      <c r="B1662" s="55">
        <v>20.0</v>
      </c>
      <c r="C1662" s="55" t="s">
        <v>923</v>
      </c>
      <c r="E1662" s="55"/>
      <c r="F1662" s="55"/>
      <c r="G1662" s="55"/>
    </row>
    <row r="1663" hidden="1">
      <c r="A1663" s="55" t="s">
        <v>371</v>
      </c>
      <c r="B1663" s="55">
        <v>20.0</v>
      </c>
      <c r="C1663" s="55" t="s">
        <v>917</v>
      </c>
      <c r="E1663" s="55"/>
      <c r="F1663" s="55"/>
      <c r="G1663" s="55"/>
    </row>
    <row r="1664">
      <c r="A1664" s="55" t="s">
        <v>175</v>
      </c>
      <c r="B1664" s="55">
        <v>20.0</v>
      </c>
      <c r="C1664" s="55" t="s">
        <v>923</v>
      </c>
      <c r="E1664" s="55"/>
      <c r="F1664" s="55"/>
      <c r="G1664" s="55"/>
    </row>
    <row r="1665">
      <c r="A1665" s="55" t="s">
        <v>220</v>
      </c>
      <c r="B1665" s="55">
        <v>20.0</v>
      </c>
      <c r="C1665" s="55" t="s">
        <v>923</v>
      </c>
      <c r="E1665" s="55"/>
      <c r="F1665" s="55"/>
      <c r="G1665" s="55"/>
    </row>
    <row r="1666" hidden="1">
      <c r="A1666" s="55" t="s">
        <v>337</v>
      </c>
      <c r="B1666" s="55">
        <v>30.0</v>
      </c>
      <c r="C1666" s="55" t="s">
        <v>917</v>
      </c>
      <c r="E1666" s="55"/>
      <c r="F1666" s="55"/>
      <c r="G1666" s="55"/>
    </row>
    <row r="1667" hidden="1">
      <c r="A1667" s="55" t="s">
        <v>189</v>
      </c>
      <c r="B1667" s="55">
        <v>20.0</v>
      </c>
      <c r="C1667" s="55" t="s">
        <v>917</v>
      </c>
      <c r="E1667" s="55"/>
      <c r="F1667" s="55"/>
      <c r="G1667" s="55"/>
    </row>
    <row r="1668">
      <c r="A1668" s="55" t="s">
        <v>199</v>
      </c>
      <c r="B1668" s="55">
        <v>20.0</v>
      </c>
      <c r="C1668" s="55" t="s">
        <v>950</v>
      </c>
      <c r="E1668" s="55"/>
      <c r="F1668" s="55"/>
      <c r="G1668" s="55"/>
    </row>
    <row r="1669">
      <c r="A1669" s="55" t="s">
        <v>295</v>
      </c>
      <c r="B1669" s="55">
        <v>20.0</v>
      </c>
      <c r="C1669" s="55" t="s">
        <v>923</v>
      </c>
      <c r="E1669" s="55"/>
      <c r="F1669" s="55"/>
      <c r="G1669" s="55"/>
    </row>
    <row r="1670" hidden="1">
      <c r="A1670" s="55" t="s">
        <v>360</v>
      </c>
      <c r="B1670" s="55">
        <v>20.0</v>
      </c>
      <c r="C1670" s="55" t="s">
        <v>917</v>
      </c>
      <c r="E1670" s="55"/>
      <c r="F1670" s="55"/>
      <c r="G1670" s="55"/>
    </row>
    <row r="1671" hidden="1">
      <c r="A1671" s="55" t="s">
        <v>162</v>
      </c>
      <c r="B1671" s="55">
        <v>20.0</v>
      </c>
      <c r="C1671" s="55" t="s">
        <v>917</v>
      </c>
      <c r="E1671" s="55"/>
      <c r="F1671" s="55"/>
      <c r="G1671" s="55"/>
    </row>
    <row r="1672" hidden="1">
      <c r="A1672" s="55" t="s">
        <v>334</v>
      </c>
      <c r="B1672" s="55">
        <v>20.0</v>
      </c>
      <c r="C1672" s="55" t="s">
        <v>917</v>
      </c>
      <c r="E1672" s="55"/>
      <c r="F1672" s="55"/>
      <c r="G1672" s="55"/>
    </row>
    <row r="1673" hidden="1">
      <c r="A1673" s="55" t="s">
        <v>159</v>
      </c>
      <c r="B1673" s="55">
        <v>20.0</v>
      </c>
      <c r="C1673" s="55" t="s">
        <v>917</v>
      </c>
      <c r="E1673" s="55"/>
      <c r="F1673" s="55"/>
      <c r="G1673" s="55"/>
    </row>
    <row r="1674" hidden="1">
      <c r="A1674" s="55" t="s">
        <v>183</v>
      </c>
      <c r="B1674" s="55">
        <v>20.0</v>
      </c>
      <c r="C1674" s="55" t="s">
        <v>917</v>
      </c>
      <c r="E1674" s="55"/>
      <c r="F1674" s="55"/>
      <c r="G1674" s="55"/>
    </row>
    <row r="1675">
      <c r="A1675" s="55" t="s">
        <v>264</v>
      </c>
      <c r="B1675" s="55">
        <v>10.0</v>
      </c>
      <c r="C1675" s="55" t="s">
        <v>923</v>
      </c>
      <c r="E1675" s="55"/>
      <c r="F1675" s="55"/>
      <c r="G1675" s="55"/>
    </row>
    <row r="1676">
      <c r="A1676" s="55" t="s">
        <v>355</v>
      </c>
      <c r="B1676" s="55">
        <v>20.0</v>
      </c>
      <c r="C1676" s="55" t="s">
        <v>923</v>
      </c>
      <c r="E1676" s="55"/>
      <c r="F1676" s="55"/>
      <c r="G1676" s="55"/>
    </row>
    <row r="1677" hidden="1">
      <c r="A1677" s="55" t="s">
        <v>371</v>
      </c>
      <c r="B1677" s="55">
        <v>20.0</v>
      </c>
      <c r="C1677" s="55" t="s">
        <v>917</v>
      </c>
      <c r="E1677" s="55"/>
      <c r="F1677" s="55"/>
      <c r="G1677" s="55"/>
    </row>
    <row r="1678">
      <c r="A1678" s="55" t="s">
        <v>175</v>
      </c>
      <c r="B1678" s="55">
        <v>20.0</v>
      </c>
      <c r="C1678" s="55" t="s">
        <v>923</v>
      </c>
      <c r="E1678" s="55"/>
      <c r="F1678" s="55"/>
      <c r="G1678" s="55"/>
    </row>
    <row r="1679" hidden="1">
      <c r="A1679" s="55" t="s">
        <v>337</v>
      </c>
      <c r="B1679" s="55">
        <v>10.0</v>
      </c>
      <c r="C1679" s="55" t="s">
        <v>917</v>
      </c>
      <c r="E1679" s="55"/>
      <c r="F1679" s="55"/>
      <c r="G1679" s="55"/>
    </row>
    <row r="1680" hidden="1">
      <c r="A1680" s="55" t="s">
        <v>189</v>
      </c>
      <c r="B1680" s="55">
        <v>20.0</v>
      </c>
      <c r="C1680" s="55" t="s">
        <v>917</v>
      </c>
      <c r="E1680" s="55"/>
      <c r="F1680" s="55"/>
      <c r="G1680" s="55"/>
    </row>
    <row r="1681">
      <c r="A1681" s="55" t="s">
        <v>199</v>
      </c>
      <c r="B1681" s="55">
        <v>10.0</v>
      </c>
      <c r="C1681" s="55" t="s">
        <v>950</v>
      </c>
      <c r="E1681" s="55"/>
      <c r="F1681" s="55"/>
      <c r="G1681" s="55"/>
    </row>
    <row r="1682">
      <c r="A1682" s="55" t="s">
        <v>295</v>
      </c>
      <c r="B1682" s="55">
        <v>20.0</v>
      </c>
      <c r="C1682" s="55" t="s">
        <v>923</v>
      </c>
      <c r="E1682" s="55"/>
      <c r="F1682" s="55"/>
      <c r="G1682" s="55"/>
    </row>
    <row r="1683" hidden="1">
      <c r="A1683" s="55" t="s">
        <v>360</v>
      </c>
      <c r="B1683" s="55">
        <v>20.0</v>
      </c>
      <c r="C1683" s="55" t="s">
        <v>917</v>
      </c>
      <c r="E1683" s="55"/>
      <c r="F1683" s="55"/>
      <c r="G1683" s="55"/>
    </row>
    <row r="1684" hidden="1">
      <c r="A1684" s="55" t="s">
        <v>162</v>
      </c>
      <c r="B1684" s="55">
        <v>20.0</v>
      </c>
      <c r="C1684" s="55" t="s">
        <v>917</v>
      </c>
      <c r="E1684" s="55"/>
      <c r="F1684" s="55"/>
      <c r="G1684" s="55"/>
    </row>
    <row r="1685" hidden="1">
      <c r="A1685" s="55" t="s">
        <v>334</v>
      </c>
      <c r="B1685" s="55">
        <v>20.0</v>
      </c>
      <c r="C1685" s="55" t="s">
        <v>917</v>
      </c>
      <c r="E1685" s="55"/>
      <c r="F1685" s="55"/>
      <c r="G1685" s="55"/>
    </row>
    <row r="1686" hidden="1">
      <c r="A1686" s="55" t="s">
        <v>159</v>
      </c>
      <c r="B1686" s="55">
        <v>20.0</v>
      </c>
      <c r="C1686" s="55" t="s">
        <v>917</v>
      </c>
      <c r="E1686" s="55"/>
      <c r="F1686" s="55"/>
      <c r="G1686" s="55"/>
    </row>
    <row r="1687" hidden="1">
      <c r="A1687" s="55" t="s">
        <v>183</v>
      </c>
      <c r="B1687" s="55">
        <v>20.0</v>
      </c>
      <c r="C1687" s="55" t="s">
        <v>917</v>
      </c>
      <c r="E1687" s="55"/>
      <c r="F1687" s="55"/>
      <c r="G1687" s="55"/>
    </row>
    <row r="1688">
      <c r="A1688" s="55" t="s">
        <v>264</v>
      </c>
      <c r="B1688" s="55">
        <v>10.0</v>
      </c>
      <c r="C1688" s="55" t="s">
        <v>923</v>
      </c>
      <c r="E1688" s="55"/>
      <c r="F1688" s="55"/>
      <c r="G1688" s="55"/>
    </row>
    <row r="1689">
      <c r="A1689" s="55" t="s">
        <v>355</v>
      </c>
      <c r="B1689" s="55">
        <v>20.0</v>
      </c>
      <c r="C1689" s="55" t="s">
        <v>923</v>
      </c>
      <c r="E1689" s="55"/>
      <c r="F1689" s="55"/>
      <c r="G1689" s="55"/>
    </row>
    <row r="1690" hidden="1">
      <c r="A1690" s="55" t="s">
        <v>371</v>
      </c>
      <c r="B1690" s="55">
        <v>20.0</v>
      </c>
      <c r="C1690" s="55" t="s">
        <v>917</v>
      </c>
      <c r="E1690" s="55"/>
      <c r="F1690" s="55"/>
      <c r="G1690" s="55"/>
    </row>
    <row r="1691">
      <c r="A1691" s="55" t="s">
        <v>175</v>
      </c>
      <c r="B1691" s="55">
        <v>20.0</v>
      </c>
      <c r="C1691" s="55" t="s">
        <v>923</v>
      </c>
      <c r="E1691" s="55"/>
      <c r="F1691" s="55"/>
      <c r="G1691" s="55"/>
    </row>
    <row r="1692" hidden="1">
      <c r="A1692" s="55" t="s">
        <v>189</v>
      </c>
      <c r="B1692" s="55">
        <v>20.0</v>
      </c>
      <c r="C1692" s="55" t="s">
        <v>917</v>
      </c>
      <c r="E1692" s="55"/>
      <c r="F1692" s="55"/>
      <c r="G1692" s="55"/>
    </row>
    <row r="1693">
      <c r="A1693" s="55" t="s">
        <v>199</v>
      </c>
      <c r="B1693" s="55">
        <v>20.0</v>
      </c>
      <c r="C1693" s="55" t="s">
        <v>950</v>
      </c>
      <c r="E1693" s="55"/>
      <c r="F1693" s="55"/>
      <c r="G1693" s="55"/>
    </row>
    <row r="1694" hidden="1">
      <c r="A1694" s="55" t="s">
        <v>334</v>
      </c>
      <c r="B1694" s="55">
        <v>20.0</v>
      </c>
      <c r="C1694" s="55" t="s">
        <v>917</v>
      </c>
      <c r="E1694" s="55"/>
      <c r="F1694" s="55"/>
      <c r="G1694" s="55"/>
    </row>
    <row r="1695" hidden="1">
      <c r="A1695" s="55" t="s">
        <v>159</v>
      </c>
      <c r="B1695" s="55">
        <v>20.0</v>
      </c>
      <c r="C1695" s="55" t="s">
        <v>917</v>
      </c>
      <c r="E1695" s="55"/>
      <c r="F1695" s="55"/>
      <c r="G1695" s="55"/>
    </row>
    <row r="1696">
      <c r="A1696" s="55" t="s">
        <v>264</v>
      </c>
      <c r="B1696" s="55">
        <v>10.0</v>
      </c>
      <c r="C1696" s="55" t="s">
        <v>923</v>
      </c>
      <c r="E1696" s="55"/>
      <c r="F1696" s="55"/>
      <c r="G1696" s="55"/>
    </row>
    <row r="1697">
      <c r="A1697" s="55" t="s">
        <v>196</v>
      </c>
      <c r="B1697" s="55">
        <v>30.0</v>
      </c>
      <c r="C1697" s="55" t="s">
        <v>923</v>
      </c>
      <c r="E1697" s="55"/>
      <c r="F1697" s="55"/>
      <c r="G1697" s="55"/>
    </row>
    <row r="1698">
      <c r="A1698" s="55" t="s">
        <v>355</v>
      </c>
      <c r="B1698" s="55">
        <v>20.0</v>
      </c>
      <c r="C1698" s="55" t="s">
        <v>923</v>
      </c>
      <c r="E1698" s="55"/>
      <c r="F1698" s="55"/>
      <c r="G1698" s="55"/>
    </row>
    <row r="1699" hidden="1">
      <c r="A1699" s="55" t="s">
        <v>252</v>
      </c>
      <c r="B1699" s="55">
        <v>50.0</v>
      </c>
      <c r="C1699" s="55" t="s">
        <v>917</v>
      </c>
      <c r="E1699" s="55"/>
      <c r="F1699" s="55"/>
      <c r="G1699" s="55"/>
    </row>
    <row r="1700">
      <c r="A1700" s="55" t="s">
        <v>220</v>
      </c>
      <c r="B1700" s="55">
        <v>20.0</v>
      </c>
      <c r="C1700" s="55" t="s">
        <v>923</v>
      </c>
      <c r="E1700" s="55"/>
      <c r="F1700" s="55"/>
      <c r="G1700" s="55"/>
    </row>
    <row r="1701" hidden="1">
      <c r="A1701" s="55" t="s">
        <v>223</v>
      </c>
      <c r="B1701" s="55">
        <v>20.0</v>
      </c>
      <c r="C1701" s="55" t="s">
        <v>917</v>
      </c>
      <c r="E1701" s="55"/>
      <c r="F1701" s="55"/>
      <c r="G1701" s="55"/>
    </row>
    <row r="1702">
      <c r="A1702" s="55" t="s">
        <v>350</v>
      </c>
      <c r="B1702" s="55">
        <v>30.0</v>
      </c>
      <c r="C1702" s="55" t="s">
        <v>923</v>
      </c>
      <c r="E1702" s="55"/>
      <c r="F1702" s="55"/>
      <c r="G1702" s="55"/>
    </row>
    <row r="1703">
      <c r="A1703" s="55" t="s">
        <v>199</v>
      </c>
      <c r="B1703" s="55">
        <v>20.0</v>
      </c>
      <c r="C1703" s="55" t="s">
        <v>950</v>
      </c>
      <c r="E1703" s="55"/>
      <c r="F1703" s="55"/>
      <c r="G1703" s="55"/>
    </row>
    <row r="1704">
      <c r="A1704" s="55" t="s">
        <v>295</v>
      </c>
      <c r="B1704" s="55">
        <v>20.0</v>
      </c>
      <c r="C1704" s="55" t="s">
        <v>923</v>
      </c>
      <c r="E1704" s="55"/>
      <c r="F1704" s="55"/>
      <c r="G1704" s="55"/>
    </row>
    <row r="1705" hidden="1">
      <c r="A1705" s="55" t="s">
        <v>362</v>
      </c>
      <c r="B1705" s="55">
        <v>20.0</v>
      </c>
      <c r="C1705" s="55" t="s">
        <v>917</v>
      </c>
      <c r="E1705" s="55"/>
      <c r="F1705" s="55"/>
      <c r="G1705" s="55"/>
    </row>
    <row r="1706" hidden="1">
      <c r="A1706" s="55" t="s">
        <v>360</v>
      </c>
      <c r="B1706" s="55">
        <v>20.0</v>
      </c>
      <c r="C1706" s="55" t="s">
        <v>917</v>
      </c>
      <c r="E1706" s="55"/>
      <c r="F1706" s="55"/>
      <c r="G1706" s="55"/>
    </row>
    <row r="1707" hidden="1">
      <c r="A1707" s="55" t="s">
        <v>162</v>
      </c>
      <c r="B1707" s="55">
        <v>20.0</v>
      </c>
      <c r="C1707" s="55" t="s">
        <v>917</v>
      </c>
      <c r="E1707" s="55"/>
      <c r="F1707" s="55"/>
      <c r="G1707" s="55"/>
    </row>
    <row r="1708" hidden="1">
      <c r="A1708" s="55" t="s">
        <v>334</v>
      </c>
      <c r="B1708" s="55">
        <v>20.0</v>
      </c>
      <c r="C1708" s="55" t="s">
        <v>917</v>
      </c>
      <c r="E1708" s="55"/>
      <c r="F1708" s="55"/>
      <c r="G1708" s="55"/>
    </row>
    <row r="1709" hidden="1">
      <c r="A1709" s="55" t="s">
        <v>159</v>
      </c>
      <c r="B1709" s="55">
        <v>20.0</v>
      </c>
      <c r="C1709" s="55" t="s">
        <v>917</v>
      </c>
      <c r="E1709" s="55"/>
      <c r="F1709" s="55"/>
      <c r="G1709" s="55"/>
    </row>
    <row r="1710" hidden="1">
      <c r="A1710" s="55" t="s">
        <v>183</v>
      </c>
      <c r="B1710" s="55">
        <v>20.0</v>
      </c>
      <c r="C1710" s="55" t="s">
        <v>917</v>
      </c>
      <c r="E1710" s="55"/>
      <c r="F1710" s="55"/>
      <c r="G1710" s="55"/>
    </row>
    <row r="1711">
      <c r="A1711" s="55" t="s">
        <v>264</v>
      </c>
      <c r="B1711" s="55">
        <v>10.0</v>
      </c>
      <c r="C1711" s="55" t="s">
        <v>923</v>
      </c>
      <c r="E1711" s="55"/>
      <c r="F1711" s="55"/>
      <c r="G1711" s="55"/>
    </row>
    <row r="1712">
      <c r="A1712" s="55" t="s">
        <v>355</v>
      </c>
      <c r="B1712" s="55">
        <v>20.0</v>
      </c>
      <c r="C1712" s="55" t="s">
        <v>923</v>
      </c>
      <c r="E1712" s="55"/>
      <c r="F1712" s="55"/>
      <c r="G1712" s="55"/>
    </row>
    <row r="1713" hidden="1">
      <c r="A1713" s="55" t="s">
        <v>372</v>
      </c>
      <c r="B1713" s="55">
        <v>20.0</v>
      </c>
      <c r="C1713" s="55" t="s">
        <v>917</v>
      </c>
      <c r="E1713" s="55"/>
      <c r="F1713" s="55"/>
      <c r="G1713" s="55"/>
    </row>
    <row r="1714" hidden="1">
      <c r="A1714" s="55" t="s">
        <v>371</v>
      </c>
      <c r="B1714" s="55">
        <v>20.0</v>
      </c>
      <c r="C1714" s="55" t="s">
        <v>917</v>
      </c>
      <c r="E1714" s="55"/>
      <c r="F1714" s="55"/>
      <c r="G1714" s="55"/>
    </row>
    <row r="1715">
      <c r="A1715" s="55" t="s">
        <v>175</v>
      </c>
      <c r="B1715" s="55">
        <v>20.0</v>
      </c>
      <c r="C1715" s="55" t="s">
        <v>923</v>
      </c>
      <c r="E1715" s="55"/>
      <c r="F1715" s="55"/>
      <c r="G1715" s="55"/>
    </row>
    <row r="1716" hidden="1">
      <c r="A1716" s="55" t="s">
        <v>337</v>
      </c>
      <c r="B1716" s="55">
        <v>20.0</v>
      </c>
      <c r="C1716" s="55" t="s">
        <v>917</v>
      </c>
      <c r="E1716" s="55"/>
      <c r="F1716" s="55"/>
      <c r="G1716" s="55"/>
    </row>
    <row r="1717" hidden="1">
      <c r="A1717" s="55" t="s">
        <v>189</v>
      </c>
      <c r="B1717" s="55">
        <v>20.0</v>
      </c>
      <c r="C1717" s="55" t="s">
        <v>917</v>
      </c>
      <c r="E1717" s="55"/>
      <c r="F1717" s="55"/>
      <c r="G1717" s="55"/>
    </row>
    <row r="1718">
      <c r="A1718" s="55" t="s">
        <v>199</v>
      </c>
      <c r="B1718" s="55">
        <v>20.0</v>
      </c>
      <c r="C1718" s="55" t="s">
        <v>950</v>
      </c>
      <c r="E1718" s="55"/>
      <c r="F1718" s="55"/>
      <c r="G1718" s="55"/>
    </row>
    <row r="1719">
      <c r="A1719" s="55" t="s">
        <v>295</v>
      </c>
      <c r="B1719" s="55">
        <v>20.0</v>
      </c>
      <c r="C1719" s="55" t="s">
        <v>923</v>
      </c>
      <c r="E1719" s="55"/>
      <c r="F1719" s="55"/>
      <c r="G1719" s="55"/>
    </row>
    <row r="1720" hidden="1">
      <c r="A1720" s="55" t="s">
        <v>360</v>
      </c>
      <c r="B1720" s="55">
        <v>20.0</v>
      </c>
      <c r="C1720" s="55" t="s">
        <v>917</v>
      </c>
      <c r="E1720" s="55"/>
      <c r="F1720" s="55"/>
      <c r="G1720" s="55"/>
    </row>
    <row r="1721" hidden="1">
      <c r="A1721" s="55" t="s">
        <v>162</v>
      </c>
      <c r="B1721" s="55">
        <v>20.0</v>
      </c>
      <c r="C1721" s="55" t="s">
        <v>917</v>
      </c>
      <c r="E1721" s="55"/>
      <c r="F1721" s="55"/>
      <c r="G1721" s="55"/>
    </row>
    <row r="1722" hidden="1">
      <c r="A1722" s="55" t="s">
        <v>334</v>
      </c>
      <c r="B1722" s="55">
        <v>20.0</v>
      </c>
      <c r="C1722" s="55" t="s">
        <v>917</v>
      </c>
      <c r="E1722" s="55"/>
      <c r="F1722" s="55"/>
      <c r="G1722" s="55"/>
    </row>
    <row r="1723" hidden="1">
      <c r="A1723" s="55" t="s">
        <v>159</v>
      </c>
      <c r="B1723" s="55">
        <v>20.0</v>
      </c>
      <c r="C1723" s="55" t="s">
        <v>917</v>
      </c>
      <c r="E1723" s="55"/>
      <c r="F1723" s="55"/>
      <c r="G1723" s="55"/>
    </row>
    <row r="1724" hidden="1">
      <c r="A1724" s="55" t="s">
        <v>183</v>
      </c>
      <c r="B1724" s="55">
        <v>20.0</v>
      </c>
      <c r="C1724" s="55" t="s">
        <v>917</v>
      </c>
      <c r="E1724" s="55"/>
      <c r="F1724" s="55"/>
      <c r="G1724" s="55"/>
    </row>
    <row r="1725">
      <c r="A1725" s="55" t="s">
        <v>264</v>
      </c>
      <c r="B1725" s="55">
        <v>10.0</v>
      </c>
      <c r="C1725" s="55" t="s">
        <v>923</v>
      </c>
      <c r="E1725" s="55"/>
      <c r="F1725" s="55"/>
      <c r="G1725" s="55"/>
    </row>
    <row r="1726">
      <c r="A1726" s="55" t="s">
        <v>196</v>
      </c>
      <c r="B1726" s="55">
        <v>20.0</v>
      </c>
      <c r="C1726" s="55" t="s">
        <v>923</v>
      </c>
      <c r="E1726" s="55"/>
      <c r="F1726" s="55"/>
      <c r="G1726" s="55"/>
    </row>
    <row r="1727">
      <c r="A1727" s="55" t="s">
        <v>355</v>
      </c>
      <c r="B1727" s="55">
        <v>20.0</v>
      </c>
      <c r="C1727" s="55" t="s">
        <v>923</v>
      </c>
      <c r="E1727" s="55"/>
      <c r="F1727" s="55"/>
      <c r="G1727" s="55"/>
    </row>
    <row r="1728" hidden="1">
      <c r="A1728" s="55" t="s">
        <v>371</v>
      </c>
      <c r="B1728" s="55">
        <v>20.0</v>
      </c>
      <c r="C1728" s="55" t="s">
        <v>917</v>
      </c>
      <c r="E1728" s="55"/>
      <c r="F1728" s="55"/>
      <c r="G1728" s="55"/>
    </row>
    <row r="1729">
      <c r="A1729" s="55" t="s">
        <v>175</v>
      </c>
      <c r="B1729" s="55">
        <v>20.0</v>
      </c>
      <c r="C1729" s="55" t="s">
        <v>923</v>
      </c>
      <c r="E1729" s="55"/>
      <c r="F1729" s="55"/>
      <c r="G1729" s="55"/>
    </row>
    <row r="1730">
      <c r="A1730" s="55" t="s">
        <v>220</v>
      </c>
      <c r="B1730" s="55">
        <v>20.0</v>
      </c>
      <c r="C1730" s="55" t="s">
        <v>923</v>
      </c>
      <c r="E1730" s="55"/>
      <c r="F1730" s="55"/>
      <c r="G1730" s="55"/>
    </row>
    <row r="1731" hidden="1">
      <c r="A1731" s="55" t="s">
        <v>337</v>
      </c>
      <c r="B1731" s="55">
        <v>30.0</v>
      </c>
      <c r="C1731" s="55" t="s">
        <v>917</v>
      </c>
      <c r="E1731" s="55"/>
      <c r="F1731" s="55"/>
      <c r="G1731" s="55"/>
    </row>
    <row r="1732" hidden="1">
      <c r="A1732" s="55" t="s">
        <v>189</v>
      </c>
      <c r="B1732" s="55">
        <v>20.0</v>
      </c>
      <c r="C1732" s="55" t="s">
        <v>917</v>
      </c>
      <c r="E1732" s="55"/>
      <c r="F1732" s="55"/>
      <c r="G1732" s="55"/>
    </row>
    <row r="1733" hidden="1">
      <c r="A1733" s="55" t="s">
        <v>141</v>
      </c>
      <c r="B1733" s="55">
        <v>40.0</v>
      </c>
      <c r="E1733" s="55"/>
      <c r="F1733" s="55"/>
      <c r="G1733" s="55"/>
    </row>
    <row r="1734" hidden="1">
      <c r="A1734" s="55" t="s">
        <v>153</v>
      </c>
      <c r="B1734" s="55">
        <v>80.0</v>
      </c>
      <c r="C1734" s="55" t="s">
        <v>917</v>
      </c>
      <c r="E1734" s="55"/>
      <c r="F1734" s="55"/>
      <c r="G1734" s="55"/>
    </row>
    <row r="1735" hidden="1">
      <c r="A1735" s="55" t="s">
        <v>136</v>
      </c>
      <c r="B1735" s="55">
        <v>40.0</v>
      </c>
      <c r="E1735" s="55"/>
      <c r="F1735" s="55"/>
      <c r="G1735" s="55"/>
    </row>
    <row r="1736" hidden="1">
      <c r="A1736" s="55" t="s">
        <v>72</v>
      </c>
      <c r="B1736" s="55">
        <v>232.0</v>
      </c>
      <c r="E1736" s="55"/>
      <c r="F1736" s="55"/>
      <c r="G1736" s="55"/>
    </row>
    <row r="1737" hidden="1">
      <c r="A1737" s="55" t="s">
        <v>154</v>
      </c>
      <c r="B1737" s="55">
        <v>120.0</v>
      </c>
      <c r="C1737" s="55" t="s">
        <v>917</v>
      </c>
      <c r="E1737" s="55"/>
      <c r="F1737" s="55"/>
      <c r="G1737" s="55"/>
    </row>
    <row r="1738" hidden="1">
      <c r="A1738" s="55" t="s">
        <v>55</v>
      </c>
      <c r="B1738" s="55">
        <v>240.0</v>
      </c>
      <c r="C1738" s="55" t="s">
        <v>917</v>
      </c>
      <c r="E1738" s="55"/>
      <c r="F1738" s="55"/>
      <c r="G1738" s="55"/>
    </row>
    <row r="1739" hidden="1">
      <c r="A1739" s="55" t="s">
        <v>90</v>
      </c>
      <c r="B1739" s="55">
        <v>48.0</v>
      </c>
      <c r="C1739" s="55" t="s">
        <v>917</v>
      </c>
      <c r="E1739" s="55"/>
      <c r="F1739" s="55"/>
      <c r="G1739" s="55"/>
    </row>
    <row r="1740" hidden="1">
      <c r="A1740" s="55" t="s">
        <v>149</v>
      </c>
      <c r="B1740" s="55">
        <v>80.0</v>
      </c>
      <c r="C1740" s="55" t="s">
        <v>917</v>
      </c>
      <c r="E1740" s="55"/>
      <c r="F1740" s="55"/>
      <c r="G1740" s="55"/>
    </row>
    <row r="1741">
      <c r="A1741" s="55" t="s">
        <v>42</v>
      </c>
      <c r="B1741" s="55">
        <v>96.0</v>
      </c>
      <c r="C1741" s="55" t="s">
        <v>918</v>
      </c>
      <c r="E1741" s="55"/>
      <c r="F1741" s="55"/>
      <c r="G1741" s="55"/>
    </row>
    <row r="1742" hidden="1">
      <c r="A1742" s="55" t="s">
        <v>60</v>
      </c>
      <c r="B1742" s="55">
        <v>40.0</v>
      </c>
      <c r="C1742" s="55" t="s">
        <v>917</v>
      </c>
      <c r="E1742" s="55"/>
      <c r="F1742" s="55"/>
      <c r="G1742" s="55"/>
    </row>
    <row r="1743">
      <c r="A1743" s="55" t="s">
        <v>144</v>
      </c>
      <c r="B1743" s="55">
        <v>40.0</v>
      </c>
      <c r="C1743" s="55" t="s">
        <v>930</v>
      </c>
      <c r="E1743" s="55"/>
      <c r="F1743" s="55"/>
      <c r="G1743" s="55"/>
    </row>
    <row r="1744" hidden="1">
      <c r="A1744" s="55" t="s">
        <v>129</v>
      </c>
      <c r="B1744" s="55">
        <v>60.0</v>
      </c>
      <c r="C1744" s="55" t="s">
        <v>917</v>
      </c>
      <c r="E1744" s="55"/>
      <c r="F1744" s="55"/>
      <c r="G1744" s="55"/>
    </row>
    <row r="1745">
      <c r="A1745" s="55" t="s">
        <v>70</v>
      </c>
      <c r="B1745" s="55">
        <v>100.0</v>
      </c>
      <c r="C1745" s="55" t="s">
        <v>918</v>
      </c>
      <c r="E1745" s="55"/>
      <c r="F1745" s="55"/>
      <c r="G1745" s="55"/>
    </row>
    <row r="1746">
      <c r="A1746" s="55" t="s">
        <v>134</v>
      </c>
      <c r="B1746" s="55">
        <v>150.0</v>
      </c>
      <c r="C1746" s="55" t="s">
        <v>939</v>
      </c>
      <c r="E1746" s="55"/>
      <c r="F1746" s="55"/>
      <c r="G1746" s="55"/>
    </row>
    <row r="1747" hidden="1">
      <c r="A1747" s="55" t="s">
        <v>57</v>
      </c>
      <c r="B1747" s="55">
        <v>12.0</v>
      </c>
      <c r="C1747" s="55" t="s">
        <v>917</v>
      </c>
      <c r="E1747" s="55"/>
      <c r="F1747" s="55"/>
      <c r="G1747" s="55"/>
    </row>
    <row r="1748">
      <c r="A1748" s="55" t="s">
        <v>20</v>
      </c>
      <c r="B1748" s="55">
        <v>100.0</v>
      </c>
      <c r="C1748" s="55" t="s">
        <v>949</v>
      </c>
      <c r="E1748" s="55"/>
      <c r="F1748" s="55"/>
      <c r="G1748" s="55"/>
    </row>
    <row r="1749" hidden="1">
      <c r="A1749" s="55" t="s">
        <v>147</v>
      </c>
      <c r="B1749" s="55">
        <v>160.0</v>
      </c>
      <c r="C1749" s="55" t="s">
        <v>917</v>
      </c>
      <c r="E1749" s="55"/>
      <c r="F1749" s="55"/>
      <c r="G1749" s="55"/>
    </row>
    <row r="1750">
      <c r="A1750" s="55" t="s">
        <v>131</v>
      </c>
      <c r="B1750" s="55">
        <v>144.0</v>
      </c>
      <c r="C1750" s="55" t="s">
        <v>918</v>
      </c>
      <c r="E1750" s="55"/>
      <c r="F1750" s="55"/>
      <c r="G1750" s="55"/>
    </row>
    <row r="1751" hidden="1">
      <c r="A1751" s="55" t="s">
        <v>94</v>
      </c>
      <c r="B1751" s="55">
        <v>100.0</v>
      </c>
      <c r="C1751" s="55" t="s">
        <v>917</v>
      </c>
      <c r="E1751" s="55"/>
      <c r="F1751" s="55"/>
      <c r="G1751" s="55"/>
    </row>
    <row r="1752">
      <c r="A1752" s="55" t="s">
        <v>116</v>
      </c>
      <c r="B1752" s="55">
        <v>10.0</v>
      </c>
      <c r="C1752" s="55" t="s">
        <v>919</v>
      </c>
      <c r="E1752" s="55"/>
      <c r="F1752" s="55"/>
      <c r="G1752" s="55"/>
    </row>
    <row r="1753" hidden="1">
      <c r="A1753" s="55" t="s">
        <v>95</v>
      </c>
      <c r="B1753" s="55">
        <v>10.0</v>
      </c>
      <c r="C1753" s="55" t="s">
        <v>917</v>
      </c>
      <c r="E1753" s="55"/>
      <c r="F1753" s="55"/>
      <c r="G1753" s="55"/>
    </row>
    <row r="1754" hidden="1">
      <c r="A1754" s="55" t="s">
        <v>102</v>
      </c>
      <c r="B1754" s="55">
        <v>160.0</v>
      </c>
      <c r="C1754" s="55" t="s">
        <v>917</v>
      </c>
      <c r="E1754" s="55"/>
      <c r="F1754" s="55"/>
      <c r="G1754" s="55"/>
    </row>
    <row r="1755" hidden="1">
      <c r="A1755" s="55" t="s">
        <v>33</v>
      </c>
      <c r="B1755" s="55">
        <v>100.0</v>
      </c>
      <c r="C1755" s="55" t="s">
        <v>917</v>
      </c>
      <c r="E1755" s="55"/>
      <c r="F1755" s="55"/>
      <c r="G1755" s="55"/>
    </row>
    <row r="1756" hidden="1">
      <c r="A1756" s="55" t="s">
        <v>101</v>
      </c>
      <c r="B1756" s="55">
        <v>60.0</v>
      </c>
      <c r="C1756" s="55" t="s">
        <v>917</v>
      </c>
      <c r="E1756" s="55"/>
      <c r="F1756" s="55"/>
      <c r="G1756" s="55"/>
    </row>
    <row r="1757" hidden="1">
      <c r="A1757" s="55" t="s">
        <v>100</v>
      </c>
      <c r="B1757" s="55">
        <v>60.0</v>
      </c>
      <c r="C1757" s="55" t="s">
        <v>917</v>
      </c>
      <c r="E1757" s="55"/>
      <c r="F1757" s="55"/>
      <c r="G1757" s="55"/>
    </row>
    <row r="1758" hidden="1">
      <c r="A1758" s="55" t="s">
        <v>64</v>
      </c>
      <c r="B1758" s="55">
        <v>12.0</v>
      </c>
      <c r="C1758" s="55" t="s">
        <v>917</v>
      </c>
      <c r="E1758" s="55"/>
      <c r="F1758" s="55"/>
      <c r="G1758" s="55"/>
    </row>
    <row r="1759" hidden="1">
      <c r="A1759" s="55" t="s">
        <v>63</v>
      </c>
      <c r="B1759" s="55">
        <v>48.0</v>
      </c>
      <c r="C1759" s="55" t="s">
        <v>917</v>
      </c>
      <c r="E1759" s="55"/>
      <c r="F1759" s="55"/>
      <c r="G1759" s="55"/>
    </row>
    <row r="1760" hidden="1">
      <c r="A1760" s="55" t="s">
        <v>68</v>
      </c>
      <c r="B1760" s="55">
        <v>40.0</v>
      </c>
      <c r="C1760" s="55" t="s">
        <v>917</v>
      </c>
      <c r="E1760" s="55"/>
      <c r="F1760" s="55"/>
      <c r="G1760" s="55"/>
    </row>
    <row r="1761" hidden="1">
      <c r="A1761" s="55" t="s">
        <v>23</v>
      </c>
      <c r="B1761" s="55">
        <v>48.0</v>
      </c>
      <c r="C1761" s="55" t="s">
        <v>917</v>
      </c>
      <c r="E1761" s="55"/>
      <c r="F1761" s="55"/>
      <c r="G1761" s="55"/>
    </row>
    <row r="1762" hidden="1">
      <c r="A1762" s="55" t="s">
        <v>80</v>
      </c>
      <c r="B1762" s="55">
        <v>200.0</v>
      </c>
      <c r="C1762" s="55" t="s">
        <v>917</v>
      </c>
      <c r="E1762" s="55"/>
      <c r="F1762" s="55"/>
      <c r="G1762" s="55"/>
    </row>
    <row r="1763">
      <c r="A1763" s="55" t="s">
        <v>115</v>
      </c>
      <c r="B1763" s="55">
        <v>576.0</v>
      </c>
      <c r="C1763" s="55" t="s">
        <v>918</v>
      </c>
      <c r="E1763" s="55"/>
      <c r="F1763" s="55"/>
      <c r="G1763" s="55"/>
    </row>
    <row r="1764">
      <c r="A1764" s="55" t="s">
        <v>122</v>
      </c>
      <c r="B1764" s="55">
        <v>50.0</v>
      </c>
      <c r="C1764" s="55" t="s">
        <v>918</v>
      </c>
      <c r="E1764" s="55"/>
      <c r="F1764" s="55"/>
      <c r="G1764" s="55"/>
    </row>
    <row r="1765">
      <c r="A1765" s="55" t="s">
        <v>96</v>
      </c>
      <c r="B1765" s="55">
        <v>50.0</v>
      </c>
      <c r="C1765" s="55" t="s">
        <v>918</v>
      </c>
      <c r="E1765" s="55"/>
      <c r="F1765" s="55"/>
      <c r="G1765" s="55"/>
    </row>
    <row r="1766" hidden="1">
      <c r="A1766" s="55" t="s">
        <v>411</v>
      </c>
      <c r="B1766" s="55">
        <v>30.0</v>
      </c>
      <c r="C1766" s="55" t="s">
        <v>917</v>
      </c>
      <c r="E1766" s="55"/>
      <c r="F1766" s="55"/>
      <c r="G1766" s="55"/>
    </row>
    <row r="1767" hidden="1">
      <c r="A1767" s="55" t="s">
        <v>67</v>
      </c>
      <c r="B1767" s="55">
        <v>120.0</v>
      </c>
      <c r="C1767" s="55" t="s">
        <v>917</v>
      </c>
      <c r="E1767" s="55"/>
      <c r="F1767" s="55"/>
      <c r="G1767" s="55"/>
    </row>
    <row r="1768" hidden="1">
      <c r="A1768" s="55" t="s">
        <v>86</v>
      </c>
      <c r="B1768" s="55">
        <v>120.0</v>
      </c>
      <c r="C1768" s="55" t="s">
        <v>917</v>
      </c>
      <c r="E1768" s="55"/>
      <c r="F1768" s="55"/>
      <c r="G1768" s="55"/>
    </row>
    <row r="1769" hidden="1">
      <c r="A1769" s="55" t="s">
        <v>141</v>
      </c>
      <c r="B1769" s="55">
        <v>40.0</v>
      </c>
      <c r="E1769" s="55"/>
      <c r="F1769" s="55"/>
      <c r="G1769" s="55"/>
    </row>
    <row r="1770" hidden="1">
      <c r="A1770" s="55" t="s">
        <v>153</v>
      </c>
      <c r="B1770" s="55">
        <v>80.0</v>
      </c>
      <c r="C1770" s="55" t="s">
        <v>917</v>
      </c>
      <c r="E1770" s="55"/>
      <c r="F1770" s="55"/>
      <c r="G1770" s="55"/>
    </row>
    <row r="1771" hidden="1">
      <c r="A1771" s="55" t="s">
        <v>136</v>
      </c>
      <c r="B1771" s="55">
        <v>40.0</v>
      </c>
      <c r="E1771" s="55"/>
      <c r="F1771" s="55"/>
      <c r="G1771" s="55"/>
    </row>
    <row r="1772" hidden="1">
      <c r="A1772" s="55" t="s">
        <v>72</v>
      </c>
      <c r="B1772" s="55">
        <v>55.0</v>
      </c>
      <c r="E1772" s="55"/>
      <c r="F1772" s="55"/>
      <c r="G1772" s="55"/>
    </row>
    <row r="1773" hidden="1">
      <c r="A1773" s="55" t="s">
        <v>151</v>
      </c>
      <c r="B1773" s="55">
        <v>80.0</v>
      </c>
      <c r="C1773" s="55" t="s">
        <v>917</v>
      </c>
      <c r="E1773" s="55"/>
      <c r="F1773" s="55"/>
      <c r="G1773" s="55"/>
    </row>
    <row r="1774" hidden="1">
      <c r="A1774" s="55" t="s">
        <v>154</v>
      </c>
      <c r="B1774" s="55">
        <v>120.0</v>
      </c>
      <c r="C1774" s="55" t="s">
        <v>917</v>
      </c>
      <c r="E1774" s="55"/>
      <c r="F1774" s="55"/>
      <c r="G1774" s="55"/>
    </row>
    <row r="1775" hidden="1">
      <c r="A1775" s="55" t="s">
        <v>90</v>
      </c>
      <c r="B1775" s="55">
        <v>19.0</v>
      </c>
      <c r="C1775" s="55" t="s">
        <v>917</v>
      </c>
      <c r="E1775" s="55"/>
      <c r="F1775" s="55"/>
      <c r="G1775" s="55"/>
    </row>
    <row r="1776" hidden="1">
      <c r="A1776" s="55" t="s">
        <v>149</v>
      </c>
      <c r="B1776" s="55">
        <v>80.0</v>
      </c>
      <c r="C1776" s="55" t="s">
        <v>917</v>
      </c>
      <c r="E1776" s="55"/>
      <c r="F1776" s="55"/>
      <c r="G1776" s="55"/>
    </row>
    <row r="1777">
      <c r="A1777" s="55" t="s">
        <v>42</v>
      </c>
      <c r="B1777" s="55">
        <v>160.0</v>
      </c>
      <c r="C1777" s="55" t="s">
        <v>918</v>
      </c>
      <c r="E1777" s="55"/>
      <c r="F1777" s="55"/>
      <c r="G1777" s="55"/>
    </row>
    <row r="1778">
      <c r="A1778" s="55" t="s">
        <v>144</v>
      </c>
      <c r="B1778" s="55">
        <v>40.0</v>
      </c>
      <c r="C1778" s="55" t="s">
        <v>930</v>
      </c>
      <c r="E1778" s="55"/>
      <c r="F1778" s="55"/>
      <c r="G1778" s="55"/>
    </row>
    <row r="1779" hidden="1">
      <c r="A1779" s="55" t="s">
        <v>129</v>
      </c>
      <c r="B1779" s="55">
        <v>80.0</v>
      </c>
      <c r="C1779" s="55" t="s">
        <v>917</v>
      </c>
      <c r="E1779" s="55"/>
      <c r="F1779" s="55"/>
      <c r="G1779" s="55"/>
    </row>
    <row r="1780">
      <c r="A1780" s="55" t="s">
        <v>134</v>
      </c>
      <c r="B1780" s="55">
        <v>150.0</v>
      </c>
      <c r="C1780" s="55" t="s">
        <v>939</v>
      </c>
      <c r="E1780" s="55"/>
      <c r="F1780" s="55"/>
      <c r="G1780" s="55"/>
    </row>
    <row r="1781">
      <c r="A1781" s="55" t="s">
        <v>133</v>
      </c>
      <c r="B1781" s="55">
        <v>60.0</v>
      </c>
      <c r="C1781" s="55" t="s">
        <v>939</v>
      </c>
      <c r="E1781" s="55"/>
      <c r="F1781" s="55"/>
      <c r="G1781" s="55"/>
    </row>
    <row r="1782">
      <c r="A1782" s="55" t="s">
        <v>20</v>
      </c>
      <c r="B1782" s="55">
        <v>53.0</v>
      </c>
      <c r="C1782" s="55" t="s">
        <v>949</v>
      </c>
      <c r="E1782" s="55"/>
      <c r="F1782" s="55"/>
      <c r="G1782" s="55"/>
    </row>
    <row r="1783" hidden="1">
      <c r="A1783" s="55" t="s">
        <v>147</v>
      </c>
      <c r="B1783" s="55">
        <v>80.0</v>
      </c>
      <c r="C1783" s="55" t="s">
        <v>917</v>
      </c>
      <c r="E1783" s="55"/>
      <c r="F1783" s="55"/>
      <c r="G1783" s="55"/>
    </row>
    <row r="1784">
      <c r="A1784" s="55" t="s">
        <v>131</v>
      </c>
      <c r="B1784" s="55">
        <v>144.0</v>
      </c>
      <c r="C1784" s="55" t="s">
        <v>918</v>
      </c>
      <c r="E1784" s="55"/>
      <c r="F1784" s="55"/>
      <c r="G1784" s="55"/>
    </row>
    <row r="1785" hidden="1">
      <c r="A1785" s="55" t="s">
        <v>92</v>
      </c>
      <c r="B1785" s="55">
        <v>95.0</v>
      </c>
      <c r="C1785" s="55" t="s">
        <v>917</v>
      </c>
      <c r="E1785" s="55"/>
      <c r="F1785" s="55"/>
      <c r="G1785" s="55"/>
    </row>
    <row r="1786" hidden="1">
      <c r="A1786" s="55" t="s">
        <v>15</v>
      </c>
      <c r="B1786" s="55">
        <v>7.0</v>
      </c>
      <c r="C1786" s="55" t="s">
        <v>917</v>
      </c>
      <c r="E1786" s="55"/>
      <c r="F1786" s="55"/>
      <c r="G1786" s="55"/>
    </row>
    <row r="1787">
      <c r="A1787" s="55" t="s">
        <v>61</v>
      </c>
      <c r="B1787" s="55">
        <v>40.0</v>
      </c>
      <c r="C1787" s="55" t="s">
        <v>918</v>
      </c>
      <c r="E1787" s="55"/>
      <c r="F1787" s="55"/>
      <c r="G1787" s="55"/>
    </row>
    <row r="1788">
      <c r="A1788" s="55" t="s">
        <v>116</v>
      </c>
      <c r="B1788" s="55">
        <v>20.0</v>
      </c>
      <c r="C1788" s="55" t="s">
        <v>919</v>
      </c>
      <c r="E1788" s="55"/>
      <c r="F1788" s="55"/>
      <c r="G1788" s="55"/>
    </row>
    <row r="1789" hidden="1">
      <c r="A1789" s="55" t="s">
        <v>52</v>
      </c>
      <c r="B1789" s="55">
        <v>15.0</v>
      </c>
      <c r="C1789" s="55" t="s">
        <v>917</v>
      </c>
      <c r="E1789" s="55"/>
      <c r="F1789" s="55"/>
      <c r="G1789" s="55"/>
    </row>
    <row r="1790" hidden="1">
      <c r="A1790" s="55" t="s">
        <v>403</v>
      </c>
      <c r="B1790" s="55">
        <v>10.0</v>
      </c>
      <c r="C1790" s="55" t="s">
        <v>917</v>
      </c>
      <c r="E1790" s="55"/>
      <c r="F1790" s="55"/>
      <c r="G1790" s="55"/>
    </row>
    <row r="1791" hidden="1">
      <c r="A1791" s="55" t="s">
        <v>102</v>
      </c>
      <c r="B1791" s="55">
        <v>138.0</v>
      </c>
      <c r="C1791" s="55" t="s">
        <v>917</v>
      </c>
      <c r="E1791" s="55"/>
      <c r="F1791" s="55"/>
      <c r="G1791" s="55"/>
    </row>
    <row r="1792" hidden="1">
      <c r="A1792" s="55" t="s">
        <v>33</v>
      </c>
      <c r="B1792" s="55">
        <v>35.0</v>
      </c>
      <c r="C1792" s="55" t="s">
        <v>917</v>
      </c>
      <c r="E1792" s="55"/>
      <c r="F1792" s="55"/>
      <c r="G1792" s="55"/>
    </row>
    <row r="1793" hidden="1">
      <c r="A1793" s="55" t="s">
        <v>64</v>
      </c>
      <c r="B1793" s="55">
        <v>24.0</v>
      </c>
      <c r="C1793" s="55" t="s">
        <v>917</v>
      </c>
      <c r="E1793" s="55"/>
      <c r="F1793" s="55"/>
      <c r="G1793" s="55"/>
    </row>
    <row r="1794" hidden="1">
      <c r="A1794" s="55" t="s">
        <v>68</v>
      </c>
      <c r="B1794" s="55">
        <v>60.0</v>
      </c>
      <c r="C1794" s="55" t="s">
        <v>917</v>
      </c>
      <c r="E1794" s="55"/>
      <c r="F1794" s="55"/>
      <c r="G1794" s="55"/>
    </row>
    <row r="1795" hidden="1">
      <c r="A1795" s="55" t="s">
        <v>23</v>
      </c>
      <c r="B1795" s="55">
        <v>13.0</v>
      </c>
      <c r="C1795" s="55" t="s">
        <v>917</v>
      </c>
      <c r="E1795" s="55"/>
      <c r="F1795" s="55"/>
      <c r="G1795" s="55"/>
    </row>
    <row r="1796" hidden="1">
      <c r="A1796" s="55" t="s">
        <v>80</v>
      </c>
      <c r="B1796" s="55">
        <v>60.0</v>
      </c>
      <c r="C1796" s="55" t="s">
        <v>917</v>
      </c>
      <c r="E1796" s="55"/>
      <c r="F1796" s="55"/>
      <c r="G1796" s="55"/>
    </row>
    <row r="1797">
      <c r="A1797" s="55" t="s">
        <v>115</v>
      </c>
      <c r="B1797" s="55">
        <v>576.0</v>
      </c>
      <c r="C1797" s="55" t="s">
        <v>918</v>
      </c>
      <c r="E1797" s="55"/>
      <c r="F1797" s="55"/>
      <c r="G1797" s="55"/>
    </row>
    <row r="1798">
      <c r="A1798" s="55" t="s">
        <v>69</v>
      </c>
      <c r="B1798" s="55">
        <v>20.0</v>
      </c>
      <c r="C1798" s="55" t="s">
        <v>918</v>
      </c>
      <c r="E1798" s="55"/>
      <c r="F1798" s="55"/>
      <c r="G1798" s="55"/>
    </row>
    <row r="1799">
      <c r="A1799" s="55" t="s">
        <v>96</v>
      </c>
      <c r="B1799" s="55">
        <v>33.0</v>
      </c>
      <c r="C1799" s="55" t="s">
        <v>918</v>
      </c>
      <c r="E1799" s="55"/>
      <c r="F1799" s="55"/>
      <c r="G1799" s="55"/>
    </row>
    <row r="1800" hidden="1">
      <c r="A1800" s="55" t="s">
        <v>119</v>
      </c>
      <c r="B1800" s="55">
        <v>48.0</v>
      </c>
      <c r="C1800" s="55" t="s">
        <v>917</v>
      </c>
      <c r="E1800" s="55"/>
      <c r="F1800" s="55"/>
      <c r="G1800" s="55"/>
    </row>
    <row r="1801" hidden="1">
      <c r="A1801" s="55" t="s">
        <v>67</v>
      </c>
      <c r="B1801" s="55">
        <v>97.0</v>
      </c>
      <c r="C1801" s="55" t="s">
        <v>917</v>
      </c>
      <c r="E1801" s="55"/>
      <c r="F1801" s="55"/>
      <c r="G1801" s="55"/>
    </row>
    <row r="1802" hidden="1">
      <c r="A1802" s="55" t="s">
        <v>86</v>
      </c>
      <c r="B1802" s="55">
        <v>8.0</v>
      </c>
      <c r="C1802" s="55" t="s">
        <v>917</v>
      </c>
      <c r="E1802" s="55"/>
      <c r="F1802" s="55"/>
      <c r="G1802" s="55"/>
    </row>
    <row r="1803" hidden="1">
      <c r="A1803" s="55" t="s">
        <v>59</v>
      </c>
      <c r="B1803" s="55">
        <v>8.0</v>
      </c>
      <c r="C1803" s="55" t="s">
        <v>917</v>
      </c>
      <c r="E1803" s="55"/>
      <c r="F1803" s="55"/>
      <c r="G1803" s="55"/>
    </row>
    <row r="1804" hidden="1">
      <c r="A1804" s="55" t="s">
        <v>72</v>
      </c>
      <c r="B1804" s="55">
        <v>432.0</v>
      </c>
      <c r="E1804" s="55"/>
      <c r="F1804" s="55"/>
      <c r="G1804" s="55"/>
    </row>
    <row r="1805" hidden="1">
      <c r="A1805" s="55" t="s">
        <v>55</v>
      </c>
      <c r="B1805" s="55">
        <v>104.0</v>
      </c>
      <c r="C1805" s="55" t="s">
        <v>917</v>
      </c>
      <c r="E1805" s="55"/>
      <c r="F1805" s="55"/>
      <c r="G1805" s="55"/>
    </row>
    <row r="1806">
      <c r="A1806" s="55" t="s">
        <v>42</v>
      </c>
      <c r="B1806" s="55">
        <v>108.0</v>
      </c>
      <c r="C1806" s="55" t="s">
        <v>918</v>
      </c>
      <c r="E1806" s="55"/>
      <c r="F1806" s="55"/>
      <c r="G1806" s="55"/>
    </row>
    <row r="1807">
      <c r="A1807" s="55" t="s">
        <v>144</v>
      </c>
      <c r="B1807" s="55">
        <v>34.0</v>
      </c>
      <c r="C1807" s="55" t="s">
        <v>930</v>
      </c>
      <c r="E1807" s="55"/>
      <c r="F1807" s="55"/>
      <c r="G1807" s="55"/>
    </row>
    <row r="1808" hidden="1">
      <c r="A1808" s="55" t="s">
        <v>129</v>
      </c>
      <c r="B1808" s="55">
        <v>100.0</v>
      </c>
      <c r="C1808" s="55" t="s">
        <v>917</v>
      </c>
      <c r="E1808" s="55"/>
      <c r="F1808" s="55"/>
      <c r="G1808" s="55"/>
    </row>
    <row r="1809">
      <c r="A1809" s="55" t="s">
        <v>70</v>
      </c>
      <c r="B1809" s="55">
        <v>68.0</v>
      </c>
      <c r="C1809" s="55" t="s">
        <v>918</v>
      </c>
      <c r="E1809" s="55"/>
      <c r="F1809" s="55"/>
      <c r="G1809" s="55"/>
    </row>
    <row r="1810">
      <c r="A1810" s="55" t="s">
        <v>131</v>
      </c>
      <c r="B1810" s="55">
        <v>34.0</v>
      </c>
      <c r="C1810" s="55" t="s">
        <v>918</v>
      </c>
      <c r="E1810" s="55"/>
      <c r="F1810" s="55"/>
      <c r="G1810" s="55"/>
    </row>
    <row r="1811" hidden="1">
      <c r="A1811" s="55" t="s">
        <v>92</v>
      </c>
      <c r="B1811" s="55">
        <v>35.0</v>
      </c>
      <c r="C1811" s="55" t="s">
        <v>917</v>
      </c>
      <c r="E1811" s="55"/>
      <c r="F1811" s="55"/>
      <c r="G1811" s="55"/>
    </row>
    <row r="1812">
      <c r="A1812" s="55" t="s">
        <v>61</v>
      </c>
      <c r="B1812" s="55">
        <v>10.0</v>
      </c>
      <c r="C1812" s="55" t="s">
        <v>918</v>
      </c>
      <c r="E1812" s="55"/>
      <c r="F1812" s="55"/>
      <c r="G1812" s="55"/>
    </row>
    <row r="1813">
      <c r="A1813" s="55" t="s">
        <v>116</v>
      </c>
      <c r="B1813" s="55">
        <v>10.0</v>
      </c>
      <c r="C1813" s="55" t="s">
        <v>919</v>
      </c>
      <c r="E1813" s="55"/>
      <c r="F1813" s="55"/>
      <c r="G1813" s="55"/>
    </row>
    <row r="1814" hidden="1">
      <c r="A1814" s="55" t="s">
        <v>95</v>
      </c>
      <c r="B1814" s="55">
        <v>4.0</v>
      </c>
      <c r="C1814" s="55" t="s">
        <v>917</v>
      </c>
      <c r="E1814" s="55"/>
      <c r="F1814" s="55"/>
      <c r="G1814" s="55"/>
    </row>
    <row r="1815" hidden="1">
      <c r="A1815" s="55" t="s">
        <v>403</v>
      </c>
      <c r="B1815" s="55">
        <v>20.0</v>
      </c>
      <c r="C1815" s="55" t="s">
        <v>917</v>
      </c>
      <c r="E1815" s="55"/>
      <c r="F1815" s="55"/>
      <c r="G1815" s="55"/>
    </row>
    <row r="1816" hidden="1">
      <c r="A1816" s="55" t="s">
        <v>102</v>
      </c>
      <c r="B1816" s="55">
        <v>113.0</v>
      </c>
      <c r="C1816" s="55" t="s">
        <v>917</v>
      </c>
      <c r="E1816" s="55"/>
      <c r="F1816" s="55"/>
      <c r="G1816" s="55"/>
    </row>
    <row r="1817" hidden="1">
      <c r="A1817" s="55" t="s">
        <v>33</v>
      </c>
      <c r="B1817" s="55">
        <v>33.0</v>
      </c>
      <c r="C1817" s="55" t="s">
        <v>917</v>
      </c>
      <c r="E1817" s="55"/>
      <c r="F1817" s="55"/>
      <c r="G1817" s="55"/>
    </row>
    <row r="1818" hidden="1">
      <c r="A1818" s="55" t="s">
        <v>64</v>
      </c>
      <c r="B1818" s="55">
        <v>20.0</v>
      </c>
      <c r="C1818" s="55" t="s">
        <v>917</v>
      </c>
      <c r="E1818" s="55"/>
      <c r="F1818" s="55"/>
      <c r="G1818" s="55"/>
    </row>
    <row r="1819" hidden="1">
      <c r="A1819" s="55" t="s">
        <v>68</v>
      </c>
      <c r="B1819" s="55">
        <v>40.0</v>
      </c>
      <c r="C1819" s="55" t="s">
        <v>917</v>
      </c>
      <c r="E1819" s="55"/>
      <c r="F1819" s="55"/>
      <c r="G1819" s="55"/>
    </row>
    <row r="1820">
      <c r="A1820" s="55" t="s">
        <v>53</v>
      </c>
      <c r="B1820" s="55">
        <v>4.0</v>
      </c>
      <c r="C1820" s="55" t="s">
        <v>938</v>
      </c>
      <c r="E1820" s="55"/>
      <c r="F1820" s="55"/>
      <c r="G1820" s="55"/>
    </row>
    <row r="1821" hidden="1">
      <c r="A1821" s="55" t="s">
        <v>97</v>
      </c>
      <c r="B1821" s="55">
        <v>13.0</v>
      </c>
      <c r="C1821" s="55" t="s">
        <v>917</v>
      </c>
      <c r="E1821" s="55"/>
      <c r="F1821" s="55"/>
      <c r="G1821" s="55"/>
    </row>
    <row r="1822" hidden="1">
      <c r="A1822" s="55" t="s">
        <v>80</v>
      </c>
      <c r="B1822" s="55">
        <v>62.0</v>
      </c>
      <c r="C1822" s="55" t="s">
        <v>917</v>
      </c>
      <c r="E1822" s="55"/>
      <c r="F1822" s="55"/>
      <c r="G1822" s="55"/>
    </row>
    <row r="1823" hidden="1">
      <c r="A1823" s="55" t="s">
        <v>65</v>
      </c>
      <c r="B1823" s="55">
        <v>5.0</v>
      </c>
      <c r="C1823" s="55" t="s">
        <v>917</v>
      </c>
      <c r="E1823" s="55"/>
      <c r="F1823" s="55"/>
      <c r="G1823" s="55"/>
    </row>
    <row r="1824">
      <c r="A1824" s="55" t="s">
        <v>115</v>
      </c>
      <c r="B1824" s="55">
        <v>422.0</v>
      </c>
      <c r="C1824" s="55" t="s">
        <v>918</v>
      </c>
      <c r="E1824" s="55"/>
      <c r="F1824" s="55"/>
      <c r="G1824" s="55"/>
    </row>
    <row r="1825">
      <c r="A1825" s="55" t="s">
        <v>96</v>
      </c>
      <c r="B1825" s="55">
        <v>20.0</v>
      </c>
      <c r="C1825" s="55" t="s">
        <v>918</v>
      </c>
      <c r="E1825" s="55"/>
      <c r="F1825" s="55"/>
      <c r="G1825" s="55"/>
    </row>
    <row r="1826" hidden="1">
      <c r="A1826" s="55" t="s">
        <v>67</v>
      </c>
      <c r="B1826" s="55">
        <v>19.0</v>
      </c>
      <c r="C1826" s="55" t="s">
        <v>917</v>
      </c>
      <c r="E1826" s="55"/>
      <c r="F1826" s="55"/>
      <c r="G1826" s="55"/>
    </row>
    <row r="1827" hidden="1">
      <c r="A1827" s="55" t="s">
        <v>86</v>
      </c>
      <c r="B1827" s="55">
        <v>31.0</v>
      </c>
      <c r="C1827" s="55" t="s">
        <v>917</v>
      </c>
      <c r="E1827" s="55"/>
      <c r="F1827" s="55"/>
      <c r="G1827" s="55"/>
    </row>
    <row r="1828">
      <c r="A1828" s="55" t="s">
        <v>262</v>
      </c>
      <c r="B1828" s="55">
        <v>160.0</v>
      </c>
      <c r="C1828" s="55" t="s">
        <v>922</v>
      </c>
      <c r="E1828" s="55"/>
      <c r="F1828" s="55"/>
      <c r="G1828" s="55"/>
    </row>
    <row r="1829" hidden="1">
      <c r="A1829" s="55" t="s">
        <v>376</v>
      </c>
      <c r="B1829" s="55">
        <v>60.0</v>
      </c>
      <c r="C1829" s="55" t="s">
        <v>917</v>
      </c>
      <c r="E1829" s="55"/>
      <c r="F1829" s="55"/>
      <c r="G1829" s="55"/>
    </row>
    <row r="1830" hidden="1">
      <c r="A1830" s="55" t="s">
        <v>205</v>
      </c>
      <c r="B1830" s="55">
        <v>270.0</v>
      </c>
      <c r="C1830" s="55" t="s">
        <v>917</v>
      </c>
      <c r="E1830" s="55"/>
      <c r="F1830" s="55"/>
      <c r="G1830" s="55"/>
    </row>
    <row r="1831" hidden="1">
      <c r="A1831" s="55" t="s">
        <v>170</v>
      </c>
      <c r="B1831" s="55">
        <v>300.0</v>
      </c>
      <c r="C1831" s="55" t="s">
        <v>917</v>
      </c>
      <c r="E1831" s="55"/>
      <c r="F1831" s="55"/>
      <c r="G1831" s="55"/>
    </row>
    <row r="1832">
      <c r="A1832" s="55" t="s">
        <v>173</v>
      </c>
      <c r="B1832" s="55">
        <v>100.0</v>
      </c>
      <c r="C1832" s="55" t="s">
        <v>918</v>
      </c>
      <c r="E1832" s="55"/>
      <c r="F1832" s="55"/>
      <c r="G1832" s="55"/>
    </row>
    <row r="1833" hidden="1">
      <c r="A1833" s="55" t="s">
        <v>168</v>
      </c>
      <c r="B1833" s="55">
        <v>20.0</v>
      </c>
      <c r="C1833" s="55" t="s">
        <v>917</v>
      </c>
      <c r="E1833" s="55"/>
      <c r="F1833" s="55"/>
      <c r="G1833" s="55"/>
    </row>
    <row r="1834" hidden="1">
      <c r="A1834" s="55" t="s">
        <v>219</v>
      </c>
      <c r="B1834" s="55">
        <v>30.0</v>
      </c>
      <c r="C1834" s="55" t="s">
        <v>917</v>
      </c>
      <c r="E1834" s="55"/>
      <c r="F1834" s="55"/>
      <c r="G1834" s="55"/>
    </row>
    <row r="1835" hidden="1">
      <c r="A1835" s="55" t="s">
        <v>329</v>
      </c>
      <c r="B1835" s="55">
        <v>144.0</v>
      </c>
      <c r="C1835" s="55" t="s">
        <v>917</v>
      </c>
      <c r="E1835" s="55"/>
      <c r="F1835" s="55"/>
      <c r="G1835" s="55"/>
    </row>
    <row r="1836" hidden="1">
      <c r="A1836" s="55" t="s">
        <v>418</v>
      </c>
      <c r="B1836" s="55">
        <v>72.0</v>
      </c>
      <c r="C1836" s="55" t="s">
        <v>917</v>
      </c>
      <c r="E1836" s="55"/>
      <c r="F1836" s="55"/>
      <c r="G1836" s="55"/>
    </row>
    <row r="1837">
      <c r="A1837" s="55" t="s">
        <v>240</v>
      </c>
      <c r="B1837" s="55">
        <v>80.0</v>
      </c>
      <c r="C1837" s="55" t="s">
        <v>922</v>
      </c>
      <c r="E1837" s="55"/>
      <c r="F1837" s="55"/>
      <c r="G1837" s="55"/>
    </row>
    <row r="1838" hidden="1">
      <c r="A1838" s="55" t="s">
        <v>347</v>
      </c>
      <c r="B1838" s="55">
        <v>120.0</v>
      </c>
      <c r="C1838" s="55" t="s">
        <v>917</v>
      </c>
      <c r="E1838" s="55"/>
      <c r="F1838" s="55"/>
      <c r="G1838" s="55"/>
    </row>
    <row r="1839">
      <c r="A1839" s="55" t="s">
        <v>174</v>
      </c>
      <c r="B1839" s="55">
        <v>30.0</v>
      </c>
      <c r="C1839" s="55" t="s">
        <v>918</v>
      </c>
      <c r="E1839" s="55"/>
      <c r="F1839" s="55"/>
      <c r="G1839" s="55"/>
    </row>
    <row r="1840" hidden="1">
      <c r="A1840" s="55" t="s">
        <v>275</v>
      </c>
      <c r="B1840" s="55">
        <v>100.0</v>
      </c>
      <c r="C1840" s="55" t="s">
        <v>917</v>
      </c>
      <c r="E1840" s="55"/>
      <c r="F1840" s="55"/>
      <c r="G1840" s="55"/>
    </row>
    <row r="1841" hidden="1">
      <c r="A1841" s="55" t="s">
        <v>290</v>
      </c>
      <c r="B1841" s="55">
        <v>100.0</v>
      </c>
      <c r="C1841" s="55" t="s">
        <v>917</v>
      </c>
      <c r="E1841" s="55"/>
      <c r="F1841" s="55"/>
      <c r="G1841" s="55"/>
    </row>
    <row r="1842">
      <c r="A1842" s="55" t="s">
        <v>199</v>
      </c>
      <c r="B1842" s="55">
        <v>80.0</v>
      </c>
      <c r="C1842" s="55" t="s">
        <v>931</v>
      </c>
      <c r="E1842" s="55"/>
      <c r="F1842" s="55"/>
      <c r="G1842" s="55"/>
    </row>
    <row r="1843" hidden="1">
      <c r="A1843" s="55" t="s">
        <v>315</v>
      </c>
      <c r="B1843" s="55">
        <v>30.0</v>
      </c>
      <c r="C1843" s="55" t="s">
        <v>917</v>
      </c>
      <c r="E1843" s="55"/>
      <c r="F1843" s="55"/>
      <c r="G1843" s="55"/>
    </row>
    <row r="1844" hidden="1">
      <c r="A1844" s="55" t="s">
        <v>326</v>
      </c>
      <c r="B1844" s="55">
        <v>20.0</v>
      </c>
      <c r="C1844" s="55" t="s">
        <v>917</v>
      </c>
      <c r="E1844" s="55"/>
      <c r="F1844" s="55"/>
      <c r="G1844" s="55"/>
    </row>
    <row r="1845" hidden="1">
      <c r="A1845" s="55" t="s">
        <v>344</v>
      </c>
      <c r="B1845" s="55">
        <v>200.0</v>
      </c>
      <c r="C1845" s="55" t="s">
        <v>917</v>
      </c>
      <c r="E1845" s="55"/>
      <c r="F1845" s="55"/>
      <c r="G1845" s="55"/>
    </row>
    <row r="1846" hidden="1">
      <c r="A1846" s="55" t="s">
        <v>374</v>
      </c>
      <c r="B1846" s="55">
        <v>90.0</v>
      </c>
      <c r="C1846" s="55" t="s">
        <v>917</v>
      </c>
      <c r="E1846" s="55"/>
      <c r="F1846" s="55"/>
      <c r="G1846" s="55"/>
    </row>
    <row r="1847">
      <c r="A1847" s="55" t="s">
        <v>242</v>
      </c>
      <c r="B1847" s="55">
        <v>48.0</v>
      </c>
      <c r="C1847" s="55" t="s">
        <v>918</v>
      </c>
      <c r="E1847" s="55"/>
      <c r="F1847" s="55"/>
      <c r="G1847" s="55"/>
    </row>
    <row r="1848" hidden="1">
      <c r="A1848" s="55" t="s">
        <v>203</v>
      </c>
      <c r="B1848" s="55">
        <v>60.0</v>
      </c>
      <c r="C1848" s="55" t="s">
        <v>917</v>
      </c>
      <c r="E1848" s="55"/>
      <c r="F1848" s="55"/>
      <c r="G1848" s="55"/>
    </row>
    <row r="1849" hidden="1">
      <c r="A1849" s="55" t="s">
        <v>236</v>
      </c>
      <c r="B1849" s="55">
        <v>100.0</v>
      </c>
      <c r="C1849" s="55" t="s">
        <v>917</v>
      </c>
      <c r="E1849" s="55"/>
      <c r="F1849" s="55"/>
      <c r="G1849" s="55"/>
    </row>
    <row r="1850" hidden="1">
      <c r="A1850" s="55" t="s">
        <v>318</v>
      </c>
      <c r="B1850" s="55">
        <v>230.0</v>
      </c>
      <c r="C1850" s="55" t="s">
        <v>917</v>
      </c>
      <c r="E1850" s="55"/>
      <c r="F1850" s="55"/>
      <c r="G1850" s="55"/>
    </row>
    <row r="1851">
      <c r="A1851" s="55" t="s">
        <v>320</v>
      </c>
      <c r="B1851" s="55">
        <v>200.0</v>
      </c>
      <c r="C1851" s="55" t="s">
        <v>918</v>
      </c>
      <c r="E1851" s="55"/>
      <c r="F1851" s="55"/>
      <c r="G1851" s="55"/>
    </row>
    <row r="1852" hidden="1">
      <c r="A1852" s="55" t="s">
        <v>164</v>
      </c>
      <c r="B1852" s="55">
        <v>600.0</v>
      </c>
      <c r="C1852" s="55" t="s">
        <v>917</v>
      </c>
      <c r="E1852" s="55"/>
      <c r="F1852" s="55"/>
      <c r="G1852" s="55"/>
    </row>
    <row r="1853">
      <c r="A1853" s="55" t="s">
        <v>166</v>
      </c>
      <c r="B1853" s="55">
        <v>200.0</v>
      </c>
      <c r="C1853" s="55" t="s">
        <v>918</v>
      </c>
      <c r="E1853" s="55"/>
      <c r="F1853" s="55"/>
      <c r="G1853" s="55"/>
    </row>
    <row r="1854" hidden="1">
      <c r="A1854" s="55" t="s">
        <v>167</v>
      </c>
      <c r="B1854" s="55">
        <v>300.0</v>
      </c>
      <c r="C1854" s="55" t="s">
        <v>917</v>
      </c>
      <c r="E1854" s="55"/>
      <c r="F1854" s="55"/>
      <c r="G1854" s="55"/>
    </row>
    <row r="1855" hidden="1">
      <c r="A1855" s="55" t="s">
        <v>306</v>
      </c>
      <c r="B1855" s="55">
        <v>60.0</v>
      </c>
      <c r="C1855" s="55" t="s">
        <v>917</v>
      </c>
      <c r="E1855" s="55"/>
      <c r="F1855" s="55"/>
      <c r="G1855" s="55"/>
    </row>
    <row r="1856">
      <c r="A1856" s="55" t="s">
        <v>307</v>
      </c>
      <c r="B1856" s="55">
        <v>100.0</v>
      </c>
      <c r="C1856" s="55" t="s">
        <v>918</v>
      </c>
      <c r="E1856" s="55"/>
      <c r="F1856" s="55"/>
      <c r="G1856" s="55"/>
    </row>
    <row r="1857">
      <c r="A1857" s="55" t="s">
        <v>325</v>
      </c>
      <c r="B1857" s="55">
        <v>144.0</v>
      </c>
      <c r="C1857" s="55" t="s">
        <v>918</v>
      </c>
      <c r="E1857" s="55"/>
      <c r="F1857" s="55"/>
      <c r="G1857" s="55"/>
    </row>
    <row r="1858" hidden="1">
      <c r="A1858" s="55" t="s">
        <v>334</v>
      </c>
      <c r="B1858" s="55">
        <v>72.0</v>
      </c>
      <c r="C1858" s="55" t="s">
        <v>917</v>
      </c>
      <c r="E1858" s="55"/>
      <c r="F1858" s="55"/>
      <c r="G1858" s="55"/>
    </row>
    <row r="1859" hidden="1">
      <c r="A1859" s="55" t="s">
        <v>159</v>
      </c>
      <c r="B1859" s="55">
        <v>33.0</v>
      </c>
      <c r="C1859" s="55" t="s">
        <v>917</v>
      </c>
      <c r="E1859" s="55"/>
      <c r="F1859" s="55"/>
      <c r="G1859" s="55"/>
    </row>
    <row r="1860" hidden="1">
      <c r="A1860" s="55" t="s">
        <v>335</v>
      </c>
      <c r="B1860" s="55">
        <v>72.0</v>
      </c>
      <c r="C1860" s="55" t="s">
        <v>917</v>
      </c>
      <c r="E1860" s="55"/>
      <c r="F1860" s="55"/>
      <c r="G1860" s="55"/>
    </row>
    <row r="1861">
      <c r="A1861" s="55" t="s">
        <v>370</v>
      </c>
      <c r="B1861" s="55">
        <v>40.0</v>
      </c>
      <c r="C1861" s="55" t="s">
        <v>918</v>
      </c>
      <c r="E1861" s="55"/>
      <c r="F1861" s="55"/>
      <c r="G1861" s="55"/>
    </row>
    <row r="1862" hidden="1">
      <c r="A1862" s="55" t="s">
        <v>209</v>
      </c>
      <c r="B1862" s="55">
        <v>72.0</v>
      </c>
      <c r="C1862" s="55" t="s">
        <v>917</v>
      </c>
      <c r="E1862" s="55"/>
      <c r="F1862" s="55"/>
      <c r="G1862" s="55"/>
    </row>
    <row r="1863">
      <c r="A1863" s="55" t="s">
        <v>235</v>
      </c>
      <c r="B1863" s="55">
        <v>80.0</v>
      </c>
      <c r="C1863" s="55" t="s">
        <v>918</v>
      </c>
      <c r="E1863" s="55"/>
      <c r="F1863" s="55"/>
      <c r="G1863" s="55"/>
    </row>
    <row r="1864" hidden="1">
      <c r="A1864" s="55" t="s">
        <v>304</v>
      </c>
      <c r="B1864" s="55">
        <v>20.0</v>
      </c>
      <c r="C1864" s="55" t="s">
        <v>917</v>
      </c>
      <c r="E1864" s="55"/>
      <c r="F1864" s="55"/>
      <c r="G1864" s="55"/>
    </row>
    <row r="1865">
      <c r="A1865" s="55" t="s">
        <v>264</v>
      </c>
      <c r="B1865" s="55">
        <v>60.0</v>
      </c>
      <c r="C1865" s="55" t="s">
        <v>918</v>
      </c>
      <c r="E1865" s="55"/>
      <c r="F1865" s="55"/>
      <c r="G1865" s="55"/>
    </row>
    <row r="1866">
      <c r="A1866" s="55" t="s">
        <v>241</v>
      </c>
      <c r="B1866" s="55">
        <v>144.0</v>
      </c>
      <c r="C1866" s="55" t="s">
        <v>918</v>
      </c>
      <c r="E1866" s="55"/>
      <c r="F1866" s="55"/>
      <c r="G1866" s="55"/>
    </row>
    <row r="1867" hidden="1">
      <c r="A1867" s="55" t="s">
        <v>292</v>
      </c>
      <c r="B1867" s="55">
        <v>100.0</v>
      </c>
      <c r="C1867" s="55" t="s">
        <v>917</v>
      </c>
      <c r="E1867" s="55"/>
      <c r="F1867" s="55"/>
      <c r="G1867" s="55"/>
    </row>
    <row r="1868" hidden="1">
      <c r="A1868" s="55" t="s">
        <v>311</v>
      </c>
      <c r="B1868" s="55">
        <v>30.0</v>
      </c>
      <c r="C1868" s="55" t="s">
        <v>917</v>
      </c>
      <c r="E1868" s="55"/>
      <c r="F1868" s="55"/>
      <c r="G1868" s="55"/>
    </row>
    <row r="1869" hidden="1">
      <c r="A1869" s="55" t="s">
        <v>294</v>
      </c>
      <c r="B1869" s="55">
        <v>80.0</v>
      </c>
      <c r="C1869" s="55" t="s">
        <v>917</v>
      </c>
      <c r="E1869" s="55"/>
      <c r="F1869" s="55"/>
      <c r="G1869" s="55"/>
    </row>
    <row r="1870" hidden="1">
      <c r="A1870" s="55" t="s">
        <v>291</v>
      </c>
      <c r="B1870" s="55">
        <v>100.0</v>
      </c>
      <c r="C1870" s="55" t="s">
        <v>917</v>
      </c>
      <c r="E1870" s="55"/>
      <c r="F1870" s="55"/>
      <c r="G1870" s="55"/>
    </row>
    <row r="1871" hidden="1">
      <c r="A1871" s="55" t="s">
        <v>351</v>
      </c>
      <c r="B1871" s="55">
        <v>20.0</v>
      </c>
      <c r="C1871" s="55" t="s">
        <v>917</v>
      </c>
      <c r="E1871" s="55"/>
      <c r="F1871" s="55"/>
      <c r="G1871" s="55"/>
    </row>
    <row r="1872" hidden="1">
      <c r="A1872" s="55" t="s">
        <v>278</v>
      </c>
      <c r="B1872" s="55">
        <v>40.0</v>
      </c>
      <c r="C1872" s="55" t="s">
        <v>917</v>
      </c>
      <c r="E1872" s="55"/>
      <c r="F1872" s="55"/>
      <c r="G1872" s="55"/>
    </row>
    <row r="1873" hidden="1">
      <c r="A1873" s="55" t="s">
        <v>353</v>
      </c>
      <c r="B1873" s="55">
        <v>30.0</v>
      </c>
      <c r="C1873" s="55" t="s">
        <v>917</v>
      </c>
      <c r="E1873" s="55"/>
      <c r="F1873" s="55"/>
      <c r="G1873" s="55"/>
    </row>
    <row r="1874" hidden="1">
      <c r="A1874" s="55" t="s">
        <v>355</v>
      </c>
      <c r="B1874" s="55">
        <v>60.0</v>
      </c>
      <c r="C1874" s="55" t="s">
        <v>917</v>
      </c>
      <c r="E1874" s="55"/>
      <c r="F1874" s="55"/>
      <c r="G1874" s="55"/>
    </row>
    <row r="1875" hidden="1">
      <c r="A1875" s="55" t="s">
        <v>364</v>
      </c>
      <c r="B1875" s="55">
        <v>20.0</v>
      </c>
      <c r="C1875" s="55" t="s">
        <v>917</v>
      </c>
      <c r="E1875" s="55"/>
      <c r="F1875" s="55"/>
      <c r="G1875" s="55"/>
    </row>
    <row r="1876" hidden="1">
      <c r="A1876" s="55" t="s">
        <v>244</v>
      </c>
      <c r="B1876" s="55">
        <v>20.0</v>
      </c>
      <c r="C1876" s="55" t="s">
        <v>917</v>
      </c>
      <c r="E1876" s="55"/>
      <c r="F1876" s="55"/>
      <c r="G1876" s="55"/>
    </row>
    <row r="1877">
      <c r="A1877" s="55" t="s">
        <v>252</v>
      </c>
      <c r="B1877" s="55">
        <v>1008.0</v>
      </c>
      <c r="C1877" s="55" t="s">
        <v>918</v>
      </c>
      <c r="E1877" s="55"/>
      <c r="F1877" s="55"/>
      <c r="G1877" s="55"/>
    </row>
    <row r="1878">
      <c r="A1878" s="55" t="s">
        <v>372</v>
      </c>
      <c r="B1878" s="55">
        <v>144.0</v>
      </c>
      <c r="C1878" s="55" t="s">
        <v>918</v>
      </c>
      <c r="E1878" s="55"/>
      <c r="F1878" s="55"/>
      <c r="G1878" s="55"/>
    </row>
    <row r="1879">
      <c r="A1879" s="55" t="s">
        <v>373</v>
      </c>
      <c r="B1879" s="55">
        <v>288.0</v>
      </c>
      <c r="C1879" s="55" t="s">
        <v>925</v>
      </c>
      <c r="E1879" s="55"/>
      <c r="F1879" s="55"/>
      <c r="G1879" s="55"/>
    </row>
    <row r="1880">
      <c r="A1880" s="55" t="s">
        <v>369</v>
      </c>
      <c r="B1880" s="55">
        <v>80.0</v>
      </c>
      <c r="C1880" s="55" t="s">
        <v>918</v>
      </c>
      <c r="E1880" s="55"/>
      <c r="F1880" s="55"/>
      <c r="G1880" s="55"/>
    </row>
    <row r="1881" hidden="1">
      <c r="A1881" s="55" t="s">
        <v>175</v>
      </c>
      <c r="B1881" s="55">
        <v>120.0</v>
      </c>
      <c r="C1881" s="55" t="s">
        <v>917</v>
      </c>
      <c r="E1881" s="55"/>
      <c r="F1881" s="55"/>
      <c r="G1881" s="55"/>
    </row>
    <row r="1882" hidden="1">
      <c r="A1882" s="55" t="s">
        <v>220</v>
      </c>
      <c r="B1882" s="55">
        <v>120.0</v>
      </c>
      <c r="C1882" s="55" t="s">
        <v>917</v>
      </c>
      <c r="E1882" s="55"/>
      <c r="F1882" s="55"/>
      <c r="G1882" s="55"/>
    </row>
    <row r="1883" hidden="1">
      <c r="A1883" s="55" t="s">
        <v>352</v>
      </c>
      <c r="B1883" s="55">
        <v>50.0</v>
      </c>
      <c r="C1883" s="55" t="s">
        <v>917</v>
      </c>
      <c r="E1883" s="55"/>
      <c r="F1883" s="55"/>
      <c r="G1883" s="55"/>
    </row>
    <row r="1884" hidden="1">
      <c r="A1884" s="55" t="s">
        <v>354</v>
      </c>
      <c r="B1884" s="55">
        <v>100.0</v>
      </c>
      <c r="C1884" s="55" t="s">
        <v>917</v>
      </c>
      <c r="E1884" s="55"/>
      <c r="F1884" s="55"/>
      <c r="G1884" s="55"/>
    </row>
    <row r="1885" hidden="1">
      <c r="A1885" s="55" t="s">
        <v>259</v>
      </c>
      <c r="B1885" s="55">
        <v>20.0</v>
      </c>
      <c r="C1885" s="55" t="s">
        <v>917</v>
      </c>
      <c r="E1885" s="55"/>
      <c r="F1885" s="55"/>
      <c r="G1885" s="55"/>
    </row>
    <row r="1886" hidden="1">
      <c r="A1886" s="55" t="s">
        <v>185</v>
      </c>
      <c r="B1886" s="55">
        <v>300.0</v>
      </c>
      <c r="C1886" s="55" t="s">
        <v>917</v>
      </c>
      <c r="E1886" s="55"/>
      <c r="F1886" s="55"/>
      <c r="G1886" s="55"/>
    </row>
    <row r="1887" hidden="1">
      <c r="A1887" s="55" t="s">
        <v>245</v>
      </c>
      <c r="B1887" s="55">
        <v>50.0</v>
      </c>
      <c r="C1887" s="55" t="s">
        <v>917</v>
      </c>
      <c r="E1887" s="55"/>
      <c r="F1887" s="55"/>
      <c r="G1887" s="55"/>
    </row>
    <row r="1888">
      <c r="A1888" s="55" t="s">
        <v>223</v>
      </c>
      <c r="B1888" s="55">
        <v>192.0</v>
      </c>
      <c r="C1888" s="55" t="s">
        <v>918</v>
      </c>
      <c r="E1888" s="55"/>
      <c r="F1888" s="55"/>
      <c r="G1888" s="55"/>
    </row>
    <row r="1889">
      <c r="A1889" s="55" t="s">
        <v>189</v>
      </c>
      <c r="B1889" s="55">
        <v>60.0</v>
      </c>
      <c r="C1889" s="55" t="s">
        <v>918</v>
      </c>
      <c r="E1889" s="55"/>
      <c r="F1889" s="55"/>
      <c r="G1889" s="55"/>
    </row>
    <row r="1890">
      <c r="A1890" s="55" t="s">
        <v>321</v>
      </c>
      <c r="B1890" s="55">
        <v>30.0</v>
      </c>
      <c r="C1890" s="55" t="s">
        <v>932</v>
      </c>
      <c r="E1890" s="55"/>
      <c r="F1890" s="55"/>
      <c r="G1890" s="55"/>
    </row>
    <row r="1891">
      <c r="A1891" s="55" t="s">
        <v>350</v>
      </c>
      <c r="B1891" s="55">
        <v>40.0</v>
      </c>
      <c r="C1891" s="55" t="s">
        <v>918</v>
      </c>
      <c r="E1891" s="55"/>
      <c r="F1891" s="55"/>
      <c r="G1891" s="55"/>
    </row>
    <row r="1892" hidden="1">
      <c r="A1892" s="55" t="s">
        <v>239</v>
      </c>
      <c r="B1892" s="55">
        <v>200.0</v>
      </c>
      <c r="C1892" s="55" t="s">
        <v>917</v>
      </c>
      <c r="E1892" s="55"/>
      <c r="F1892" s="55"/>
      <c r="G1892" s="55"/>
    </row>
    <row r="1893">
      <c r="A1893" s="55" t="s">
        <v>230</v>
      </c>
      <c r="B1893" s="55">
        <v>300.0</v>
      </c>
      <c r="C1893" s="55" t="s">
        <v>922</v>
      </c>
      <c r="E1893" s="55"/>
      <c r="F1893" s="55"/>
      <c r="G1893" s="55"/>
    </row>
    <row r="1894">
      <c r="A1894" s="55" t="s">
        <v>231</v>
      </c>
      <c r="B1894" s="55">
        <v>120.0</v>
      </c>
      <c r="C1894" s="55" t="s">
        <v>918</v>
      </c>
      <c r="E1894" s="55"/>
      <c r="F1894" s="55"/>
      <c r="G1894" s="55"/>
    </row>
    <row r="1895" hidden="1">
      <c r="A1895" s="55" t="s">
        <v>273</v>
      </c>
      <c r="B1895" s="55">
        <v>160.0</v>
      </c>
      <c r="C1895" s="55" t="s">
        <v>917</v>
      </c>
      <c r="E1895" s="55"/>
      <c r="F1895" s="55"/>
      <c r="G1895" s="55"/>
    </row>
    <row r="1896" hidden="1">
      <c r="A1896" s="55" t="s">
        <v>247</v>
      </c>
      <c r="B1896" s="55">
        <v>20.0</v>
      </c>
      <c r="C1896" s="55" t="s">
        <v>917</v>
      </c>
      <c r="E1896" s="55"/>
      <c r="F1896" s="55"/>
      <c r="G1896" s="55"/>
    </row>
    <row r="1897" hidden="1">
      <c r="A1897" s="55" t="s">
        <v>309</v>
      </c>
      <c r="B1897" s="55">
        <v>250.0</v>
      </c>
      <c r="C1897" s="55" t="s">
        <v>917</v>
      </c>
      <c r="E1897" s="55"/>
      <c r="F1897" s="55"/>
      <c r="G1897" s="55"/>
    </row>
    <row r="1898">
      <c r="A1898" s="55" t="s">
        <v>212</v>
      </c>
      <c r="B1898" s="55">
        <v>20.0</v>
      </c>
      <c r="C1898" s="55" t="s">
        <v>918</v>
      </c>
      <c r="E1898" s="55"/>
      <c r="F1898" s="55"/>
      <c r="G1898" s="55"/>
    </row>
    <row r="1899" hidden="1">
      <c r="A1899" s="55" t="s">
        <v>293</v>
      </c>
      <c r="B1899" s="55">
        <v>60.0</v>
      </c>
      <c r="C1899" s="55" t="s">
        <v>917</v>
      </c>
      <c r="E1899" s="55"/>
      <c r="F1899" s="55"/>
      <c r="G1899" s="55"/>
    </row>
    <row r="1900" hidden="1">
      <c r="A1900" s="55" t="s">
        <v>376</v>
      </c>
      <c r="B1900" s="55">
        <v>40.0</v>
      </c>
      <c r="C1900" s="55" t="s">
        <v>917</v>
      </c>
      <c r="E1900" s="55"/>
      <c r="F1900" s="55"/>
      <c r="G1900" s="55"/>
    </row>
    <row r="1901" hidden="1">
      <c r="A1901" s="55" t="s">
        <v>205</v>
      </c>
      <c r="B1901" s="55">
        <v>265.0</v>
      </c>
      <c r="C1901" s="55" t="s">
        <v>917</v>
      </c>
      <c r="E1901" s="55"/>
      <c r="F1901" s="55"/>
      <c r="G1901" s="55"/>
    </row>
    <row r="1902">
      <c r="A1902" s="55" t="s">
        <v>206</v>
      </c>
      <c r="B1902" s="55">
        <v>16.0</v>
      </c>
      <c r="C1902" s="55" t="s">
        <v>918</v>
      </c>
      <c r="E1902" s="55"/>
      <c r="F1902" s="55"/>
      <c r="G1902" s="55"/>
    </row>
    <row r="1903">
      <c r="A1903" s="55" t="s">
        <v>207</v>
      </c>
      <c r="B1903" s="55">
        <v>300.0</v>
      </c>
      <c r="C1903" s="55" t="s">
        <v>918</v>
      </c>
      <c r="E1903" s="55"/>
      <c r="F1903" s="55"/>
      <c r="G1903" s="55"/>
    </row>
    <row r="1904" hidden="1">
      <c r="A1904" s="55" t="s">
        <v>170</v>
      </c>
      <c r="B1904" s="55">
        <v>39.0</v>
      </c>
      <c r="C1904" s="55" t="s">
        <v>917</v>
      </c>
      <c r="E1904" s="55"/>
      <c r="F1904" s="55"/>
      <c r="G1904" s="55"/>
    </row>
    <row r="1905" hidden="1">
      <c r="A1905" s="55" t="s">
        <v>168</v>
      </c>
      <c r="B1905" s="55">
        <v>6.0</v>
      </c>
      <c r="C1905" s="55" t="s">
        <v>917</v>
      </c>
      <c r="E1905" s="55"/>
      <c r="F1905" s="55"/>
      <c r="G1905" s="55"/>
    </row>
    <row r="1906" hidden="1">
      <c r="A1906" s="55" t="s">
        <v>347</v>
      </c>
      <c r="B1906" s="55">
        <v>21.0</v>
      </c>
      <c r="C1906" s="55" t="s">
        <v>917</v>
      </c>
      <c r="E1906" s="55"/>
      <c r="F1906" s="55"/>
      <c r="G1906" s="55"/>
    </row>
    <row r="1907" hidden="1">
      <c r="A1907" s="55" t="s">
        <v>266</v>
      </c>
      <c r="B1907" s="55">
        <v>17.0</v>
      </c>
      <c r="C1907" s="55" t="s">
        <v>917</v>
      </c>
      <c r="E1907" s="55"/>
      <c r="F1907" s="55"/>
      <c r="G1907" s="55"/>
    </row>
    <row r="1908" hidden="1">
      <c r="A1908" s="55" t="s">
        <v>275</v>
      </c>
      <c r="B1908" s="55">
        <v>16.0</v>
      </c>
      <c r="C1908" s="55" t="s">
        <v>917</v>
      </c>
      <c r="E1908" s="55"/>
      <c r="F1908" s="55"/>
      <c r="G1908" s="55"/>
    </row>
    <row r="1909" hidden="1">
      <c r="A1909" s="55" t="s">
        <v>315</v>
      </c>
      <c r="B1909" s="55">
        <v>9.0</v>
      </c>
      <c r="C1909" s="55" t="s">
        <v>917</v>
      </c>
      <c r="E1909" s="55"/>
      <c r="F1909" s="55"/>
      <c r="G1909" s="55"/>
    </row>
    <row r="1910" hidden="1">
      <c r="A1910" s="55" t="s">
        <v>374</v>
      </c>
      <c r="B1910" s="55">
        <v>96.0</v>
      </c>
      <c r="C1910" s="55" t="s">
        <v>917</v>
      </c>
      <c r="E1910" s="55"/>
      <c r="F1910" s="55"/>
      <c r="G1910" s="55"/>
    </row>
    <row r="1911">
      <c r="A1911" s="55" t="s">
        <v>226</v>
      </c>
      <c r="B1911" s="55">
        <v>16.0</v>
      </c>
      <c r="C1911" s="55" t="s">
        <v>922</v>
      </c>
      <c r="E1911" s="55"/>
      <c r="F1911" s="55"/>
      <c r="G1911" s="55"/>
    </row>
    <row r="1912" hidden="1">
      <c r="A1912" s="55" t="s">
        <v>203</v>
      </c>
      <c r="B1912" s="55">
        <v>14.0</v>
      </c>
      <c r="C1912" s="55" t="s">
        <v>917</v>
      </c>
      <c r="E1912" s="55"/>
      <c r="F1912" s="55"/>
      <c r="G1912" s="55"/>
    </row>
    <row r="1913" hidden="1">
      <c r="A1913" s="55" t="s">
        <v>236</v>
      </c>
      <c r="B1913" s="55">
        <v>184.0</v>
      </c>
      <c r="C1913" s="55" t="s">
        <v>917</v>
      </c>
      <c r="E1913" s="55"/>
      <c r="F1913" s="55"/>
      <c r="G1913" s="55"/>
    </row>
    <row r="1914" hidden="1">
      <c r="A1914" s="55" t="s">
        <v>164</v>
      </c>
      <c r="B1914" s="55">
        <v>100.0</v>
      </c>
      <c r="C1914" s="55" t="s">
        <v>917</v>
      </c>
      <c r="E1914" s="55"/>
      <c r="F1914" s="55"/>
      <c r="G1914" s="55"/>
    </row>
    <row r="1915">
      <c r="A1915" s="55" t="s">
        <v>166</v>
      </c>
      <c r="B1915" s="55">
        <v>37.0</v>
      </c>
      <c r="C1915" s="55" t="s">
        <v>918</v>
      </c>
      <c r="E1915" s="55"/>
      <c r="F1915" s="55"/>
      <c r="G1915" s="55"/>
    </row>
    <row r="1916" hidden="1">
      <c r="A1916" s="55" t="s">
        <v>167</v>
      </c>
      <c r="B1916" s="55">
        <v>65.0</v>
      </c>
      <c r="C1916" s="55" t="s">
        <v>917</v>
      </c>
      <c r="E1916" s="55"/>
      <c r="F1916" s="55"/>
      <c r="G1916" s="55"/>
    </row>
    <row r="1917" hidden="1">
      <c r="A1917" s="55" t="s">
        <v>306</v>
      </c>
      <c r="B1917" s="55">
        <v>26.0</v>
      </c>
      <c r="C1917" s="55" t="s">
        <v>917</v>
      </c>
      <c r="E1917" s="55"/>
      <c r="F1917" s="55"/>
      <c r="G1917" s="55"/>
    </row>
    <row r="1918">
      <c r="A1918" s="55" t="s">
        <v>307</v>
      </c>
      <c r="B1918" s="55">
        <v>14.0</v>
      </c>
      <c r="C1918" s="55" t="s">
        <v>918</v>
      </c>
      <c r="E1918" s="55"/>
      <c r="F1918" s="55"/>
      <c r="G1918" s="55"/>
    </row>
    <row r="1919" hidden="1">
      <c r="A1919" s="55" t="s">
        <v>366</v>
      </c>
      <c r="B1919" s="55">
        <v>29.0</v>
      </c>
      <c r="C1919" s="55" t="s">
        <v>917</v>
      </c>
      <c r="E1919" s="55"/>
      <c r="F1919" s="55"/>
      <c r="G1919" s="55"/>
    </row>
    <row r="1920">
      <c r="A1920" s="55" t="s">
        <v>340</v>
      </c>
      <c r="B1920" s="55">
        <v>25.0</v>
      </c>
      <c r="C1920" s="55" t="s">
        <v>918</v>
      </c>
      <c r="E1920" s="55"/>
      <c r="F1920" s="55"/>
      <c r="G1920" s="55"/>
    </row>
    <row r="1921" hidden="1">
      <c r="A1921" s="55" t="s">
        <v>947</v>
      </c>
      <c r="B1921" s="55">
        <v>9.0</v>
      </c>
      <c r="C1921" s="55" t="s">
        <v>917</v>
      </c>
      <c r="E1921" s="55"/>
      <c r="F1921" s="55"/>
      <c r="G1921" s="55"/>
    </row>
    <row r="1922">
      <c r="A1922" s="55" t="s">
        <v>325</v>
      </c>
      <c r="B1922" s="55">
        <v>38.0</v>
      </c>
      <c r="C1922" s="55" t="s">
        <v>918</v>
      </c>
      <c r="E1922" s="55"/>
      <c r="F1922" s="55"/>
      <c r="G1922" s="55"/>
    </row>
    <row r="1923" hidden="1">
      <c r="A1923" s="55" t="s">
        <v>334</v>
      </c>
      <c r="B1923" s="55">
        <v>31.0</v>
      </c>
      <c r="C1923" s="55" t="s">
        <v>917</v>
      </c>
      <c r="E1923" s="55"/>
      <c r="F1923" s="55"/>
      <c r="G1923" s="55"/>
    </row>
    <row r="1924" hidden="1">
      <c r="A1924" s="55" t="s">
        <v>335</v>
      </c>
      <c r="B1924" s="55">
        <v>23.0</v>
      </c>
      <c r="C1924" s="55" t="s">
        <v>917</v>
      </c>
      <c r="E1924" s="55"/>
      <c r="F1924" s="55"/>
      <c r="G1924" s="55"/>
    </row>
    <row r="1925">
      <c r="A1925" s="55" t="s">
        <v>228</v>
      </c>
      <c r="B1925" s="55">
        <v>48.0</v>
      </c>
      <c r="C1925" s="55" t="s">
        <v>922</v>
      </c>
      <c r="E1925" s="55"/>
      <c r="F1925" s="55"/>
      <c r="G1925" s="55"/>
    </row>
    <row r="1926">
      <c r="A1926" s="55" t="s">
        <v>264</v>
      </c>
      <c r="B1926" s="55">
        <v>19.0</v>
      </c>
      <c r="C1926" s="55" t="s">
        <v>918</v>
      </c>
      <c r="E1926" s="55"/>
      <c r="F1926" s="55"/>
      <c r="G1926" s="55"/>
    </row>
    <row r="1927">
      <c r="A1927" s="55" t="s">
        <v>196</v>
      </c>
      <c r="B1927" s="55">
        <v>7.0</v>
      </c>
      <c r="C1927" s="55" t="s">
        <v>918</v>
      </c>
      <c r="E1927" s="55"/>
      <c r="F1927" s="55"/>
      <c r="G1927" s="55"/>
    </row>
    <row r="1928">
      <c r="A1928" s="55" t="s">
        <v>241</v>
      </c>
      <c r="B1928" s="55">
        <v>143.0</v>
      </c>
      <c r="C1928" s="55" t="s">
        <v>918</v>
      </c>
      <c r="E1928" s="55"/>
      <c r="F1928" s="55"/>
      <c r="G1928" s="55"/>
    </row>
    <row r="1929" hidden="1">
      <c r="A1929" s="55" t="s">
        <v>292</v>
      </c>
      <c r="B1929" s="55">
        <v>85.0</v>
      </c>
      <c r="C1929" s="55" t="s">
        <v>917</v>
      </c>
      <c r="E1929" s="55"/>
      <c r="F1929" s="55"/>
      <c r="G1929" s="55"/>
    </row>
    <row r="1930" hidden="1">
      <c r="A1930" s="55" t="s">
        <v>294</v>
      </c>
      <c r="B1930" s="55">
        <v>6.0</v>
      </c>
      <c r="C1930" s="55" t="s">
        <v>917</v>
      </c>
      <c r="E1930" s="55"/>
      <c r="F1930" s="55"/>
      <c r="G1930" s="55"/>
    </row>
    <row r="1931" hidden="1">
      <c r="A1931" s="55" t="s">
        <v>351</v>
      </c>
      <c r="B1931" s="55">
        <v>5.0</v>
      </c>
      <c r="C1931" s="55" t="s">
        <v>917</v>
      </c>
      <c r="E1931" s="55"/>
      <c r="F1931" s="55"/>
      <c r="G1931" s="55"/>
    </row>
    <row r="1932" hidden="1">
      <c r="A1932" s="55" t="s">
        <v>355</v>
      </c>
      <c r="B1932" s="55">
        <v>14.0</v>
      </c>
      <c r="C1932" s="55" t="s">
        <v>917</v>
      </c>
      <c r="E1932" s="55"/>
      <c r="F1932" s="55"/>
      <c r="G1932" s="55"/>
    </row>
    <row r="1933" hidden="1">
      <c r="A1933" s="55" t="s">
        <v>364</v>
      </c>
      <c r="B1933" s="55">
        <v>6.0</v>
      </c>
      <c r="C1933" s="55" t="s">
        <v>917</v>
      </c>
      <c r="E1933" s="55"/>
      <c r="F1933" s="55"/>
      <c r="G1933" s="55"/>
    </row>
    <row r="1934" hidden="1">
      <c r="A1934" s="55" t="s">
        <v>244</v>
      </c>
      <c r="B1934" s="55">
        <v>8.0</v>
      </c>
      <c r="C1934" s="55" t="s">
        <v>917</v>
      </c>
      <c r="E1934" s="55"/>
      <c r="F1934" s="55"/>
      <c r="G1934" s="55"/>
    </row>
    <row r="1935">
      <c r="A1935" s="55" t="s">
        <v>252</v>
      </c>
      <c r="B1935" s="55">
        <v>11.0</v>
      </c>
      <c r="C1935" s="55" t="s">
        <v>918</v>
      </c>
      <c r="E1935" s="55"/>
      <c r="F1935" s="55"/>
      <c r="G1935" s="55"/>
    </row>
    <row r="1936">
      <c r="A1936" s="55" t="s">
        <v>372</v>
      </c>
      <c r="B1936" s="55">
        <v>30.0</v>
      </c>
      <c r="C1936" s="55" t="s">
        <v>918</v>
      </c>
      <c r="E1936" s="55"/>
      <c r="F1936" s="55"/>
      <c r="G1936" s="55"/>
    </row>
    <row r="1937">
      <c r="A1937" s="55" t="s">
        <v>373</v>
      </c>
      <c r="B1937" s="55">
        <v>45.0</v>
      </c>
      <c r="C1937" s="55" t="s">
        <v>925</v>
      </c>
      <c r="E1937" s="55"/>
      <c r="F1937" s="55"/>
      <c r="G1937" s="55"/>
    </row>
    <row r="1938">
      <c r="A1938" s="55" t="s">
        <v>371</v>
      </c>
      <c r="B1938" s="55">
        <v>60.0</v>
      </c>
      <c r="C1938" s="55" t="s">
        <v>918</v>
      </c>
      <c r="E1938" s="55"/>
      <c r="F1938" s="55"/>
      <c r="G1938" s="55"/>
    </row>
    <row r="1939">
      <c r="A1939" s="55" t="s">
        <v>369</v>
      </c>
      <c r="B1939" s="55">
        <v>36.0</v>
      </c>
      <c r="C1939" s="55" t="s">
        <v>918</v>
      </c>
      <c r="E1939" s="55"/>
      <c r="F1939" s="55"/>
      <c r="G1939" s="55"/>
    </row>
    <row r="1940" hidden="1">
      <c r="A1940" s="55" t="s">
        <v>175</v>
      </c>
      <c r="B1940" s="55">
        <v>93.0</v>
      </c>
      <c r="C1940" s="55" t="s">
        <v>917</v>
      </c>
      <c r="E1940" s="55"/>
      <c r="F1940" s="55"/>
      <c r="G1940" s="55"/>
    </row>
    <row r="1941" hidden="1">
      <c r="A1941" s="55" t="s">
        <v>352</v>
      </c>
      <c r="B1941" s="55">
        <v>15.0</v>
      </c>
      <c r="C1941" s="55" t="s">
        <v>917</v>
      </c>
      <c r="E1941" s="55"/>
      <c r="F1941" s="55"/>
      <c r="G1941" s="55"/>
    </row>
    <row r="1942" hidden="1">
      <c r="A1942" s="55" t="s">
        <v>337</v>
      </c>
      <c r="B1942" s="55">
        <v>16.0</v>
      </c>
      <c r="C1942" s="55" t="s">
        <v>917</v>
      </c>
      <c r="E1942" s="55"/>
      <c r="F1942" s="55"/>
      <c r="G1942" s="55"/>
    </row>
    <row r="1943" hidden="1">
      <c r="A1943" s="55" t="s">
        <v>354</v>
      </c>
      <c r="B1943" s="55">
        <v>50.0</v>
      </c>
      <c r="C1943" s="55" t="s">
        <v>917</v>
      </c>
      <c r="E1943" s="55"/>
      <c r="F1943" s="55"/>
      <c r="G1943" s="55"/>
    </row>
    <row r="1944" hidden="1">
      <c r="A1944" s="55" t="s">
        <v>185</v>
      </c>
      <c r="B1944" s="55">
        <v>85.0</v>
      </c>
      <c r="C1944" s="55" t="s">
        <v>917</v>
      </c>
      <c r="E1944" s="55"/>
      <c r="F1944" s="55"/>
      <c r="G1944" s="55"/>
    </row>
    <row r="1945">
      <c r="A1945" s="55" t="s">
        <v>223</v>
      </c>
      <c r="B1945" s="55">
        <v>43.0</v>
      </c>
      <c r="C1945" s="55" t="s">
        <v>918</v>
      </c>
      <c r="E1945" s="55"/>
      <c r="F1945" s="55"/>
      <c r="G1945" s="55"/>
    </row>
    <row r="1946">
      <c r="A1946" s="55" t="s">
        <v>313</v>
      </c>
      <c r="B1946" s="55">
        <v>6.0</v>
      </c>
      <c r="C1946" s="55" t="s">
        <v>922</v>
      </c>
      <c r="E1946" s="55"/>
      <c r="F1946" s="55"/>
      <c r="G1946" s="55"/>
    </row>
    <row r="1947">
      <c r="A1947" s="55" t="s">
        <v>221</v>
      </c>
      <c r="B1947" s="55">
        <v>21.0</v>
      </c>
      <c r="C1947" s="55" t="s">
        <v>922</v>
      </c>
      <c r="E1947" s="55"/>
      <c r="F1947" s="55"/>
      <c r="G1947" s="55"/>
    </row>
    <row r="1948" hidden="1">
      <c r="A1948" s="55" t="s">
        <v>239</v>
      </c>
      <c r="B1948" s="55">
        <v>114.0</v>
      </c>
      <c r="C1948" s="55" t="s">
        <v>917</v>
      </c>
      <c r="E1948" s="55"/>
      <c r="F1948" s="55"/>
      <c r="G1948" s="55"/>
    </row>
    <row r="1949">
      <c r="A1949" s="55" t="s">
        <v>230</v>
      </c>
      <c r="B1949" s="55">
        <v>170.0</v>
      </c>
      <c r="C1949" s="55" t="s">
        <v>922</v>
      </c>
      <c r="E1949" s="55"/>
      <c r="F1949" s="55"/>
      <c r="G1949" s="55"/>
    </row>
    <row r="1950">
      <c r="A1950" s="55" t="s">
        <v>231</v>
      </c>
      <c r="B1950" s="55">
        <v>68.0</v>
      </c>
      <c r="C1950" s="55" t="s">
        <v>918</v>
      </c>
      <c r="E1950" s="55"/>
      <c r="F1950" s="55"/>
      <c r="G1950" s="55"/>
    </row>
    <row r="1951" hidden="1">
      <c r="A1951" s="55" t="s">
        <v>273</v>
      </c>
      <c r="B1951" s="55">
        <v>35.0</v>
      </c>
      <c r="C1951" s="55" t="s">
        <v>917</v>
      </c>
      <c r="E1951" s="55"/>
      <c r="F1951" s="55"/>
      <c r="G1951" s="55"/>
    </row>
    <row r="1952" hidden="1">
      <c r="A1952" s="55" t="s">
        <v>309</v>
      </c>
      <c r="B1952" s="55">
        <v>101.0</v>
      </c>
      <c r="C1952" s="55" t="s">
        <v>917</v>
      </c>
      <c r="E1952" s="55"/>
      <c r="F1952" s="55"/>
      <c r="G1952" s="55"/>
    </row>
    <row r="1953">
      <c r="A1953" s="55" t="s">
        <v>212</v>
      </c>
      <c r="B1953" s="55">
        <v>5.0</v>
      </c>
      <c r="C1953" s="55" t="s">
        <v>918</v>
      </c>
      <c r="E1953" s="55"/>
      <c r="F1953" s="55"/>
      <c r="G1953" s="55"/>
    </row>
    <row r="1954" hidden="1">
      <c r="A1954" s="55" t="s">
        <v>293</v>
      </c>
      <c r="B1954" s="55">
        <v>5.0</v>
      </c>
      <c r="C1954" s="55" t="s">
        <v>917</v>
      </c>
      <c r="E1954" s="55"/>
      <c r="F1954" s="55"/>
      <c r="G1954" s="55"/>
    </row>
    <row r="1955" hidden="1">
      <c r="A1955" s="55" t="s">
        <v>176</v>
      </c>
      <c r="B1955" s="55">
        <v>151.0</v>
      </c>
      <c r="C1955" s="55" t="s">
        <v>917</v>
      </c>
      <c r="E1955" s="55"/>
      <c r="F1955" s="55"/>
      <c r="G1955" s="55"/>
    </row>
    <row r="1956">
      <c r="A1956" s="55" t="s">
        <v>340</v>
      </c>
      <c r="B1956" s="55">
        <v>288.0</v>
      </c>
      <c r="C1956" s="55" t="s">
        <v>918</v>
      </c>
      <c r="E1956" s="55"/>
      <c r="F1956" s="55"/>
      <c r="G1956" s="55"/>
    </row>
    <row r="1957">
      <c r="A1957" s="55" t="s">
        <v>231</v>
      </c>
      <c r="B1957" s="55">
        <v>48.0</v>
      </c>
      <c r="C1957" s="55" t="s">
        <v>918</v>
      </c>
      <c r="E1957" s="55"/>
      <c r="F1957" s="55"/>
      <c r="G1957" s="55"/>
    </row>
    <row r="1958" hidden="1">
      <c r="A1958" s="55" t="s">
        <v>259</v>
      </c>
      <c r="B1958" s="55">
        <v>200.0</v>
      </c>
      <c r="C1958" s="55" t="s">
        <v>917</v>
      </c>
      <c r="E1958" s="55"/>
      <c r="F1958" s="55"/>
      <c r="G1958" s="55"/>
    </row>
    <row r="1959">
      <c r="A1959" s="55" t="s">
        <v>264</v>
      </c>
      <c r="B1959" s="55">
        <v>100.0</v>
      </c>
      <c r="C1959" s="55" t="s">
        <v>918</v>
      </c>
      <c r="E1959" s="55"/>
      <c r="F1959" s="55"/>
      <c r="G1959" s="55"/>
    </row>
    <row r="1960" hidden="1">
      <c r="A1960" s="55" t="s">
        <v>185</v>
      </c>
      <c r="B1960" s="55">
        <v>100.0</v>
      </c>
      <c r="C1960" s="55" t="s">
        <v>917</v>
      </c>
      <c r="E1960" s="55"/>
      <c r="F1960" s="55"/>
      <c r="G1960" s="55"/>
    </row>
    <row r="1961">
      <c r="A1961" s="55" t="s">
        <v>355</v>
      </c>
      <c r="B1961" s="55">
        <v>568.0</v>
      </c>
      <c r="C1961" s="55" t="s">
        <v>918</v>
      </c>
      <c r="E1961" s="55"/>
      <c r="F1961" s="55"/>
      <c r="G1961" s="55"/>
    </row>
    <row r="1962" hidden="1">
      <c r="E1962" s="55"/>
      <c r="F1962" s="55"/>
      <c r="G1962" s="55"/>
    </row>
    <row r="1963">
      <c r="A1963" s="316" t="s">
        <v>951</v>
      </c>
      <c r="B1963" s="317"/>
      <c r="C1963" s="318" t="s">
        <v>943</v>
      </c>
      <c r="E1963" s="55"/>
      <c r="F1963" s="55"/>
      <c r="G1963" s="55"/>
    </row>
    <row r="1964" hidden="1">
      <c r="A1964" s="27" t="s">
        <v>113</v>
      </c>
      <c r="B1964" s="132">
        <v>40.0</v>
      </c>
      <c r="C1964" s="27" t="s">
        <v>917</v>
      </c>
      <c r="E1964" s="55"/>
      <c r="F1964" s="55"/>
      <c r="G1964" s="55"/>
    </row>
    <row r="1965" hidden="1">
      <c r="A1965" s="27" t="s">
        <v>57</v>
      </c>
      <c r="B1965" s="132">
        <v>12.0</v>
      </c>
      <c r="C1965" s="27" t="s">
        <v>917</v>
      </c>
      <c r="E1965" s="55"/>
      <c r="F1965" s="55"/>
      <c r="G1965" s="55"/>
    </row>
    <row r="1966">
      <c r="A1966" s="27" t="s">
        <v>20</v>
      </c>
      <c r="B1966" s="132">
        <v>200.0</v>
      </c>
      <c r="C1966" s="314" t="s">
        <v>949</v>
      </c>
      <c r="E1966" s="55"/>
      <c r="F1966" s="55"/>
      <c r="G1966" s="55"/>
    </row>
    <row r="1967">
      <c r="A1967" s="27" t="s">
        <v>96</v>
      </c>
      <c r="B1967" s="132">
        <v>148.0</v>
      </c>
      <c r="C1967" s="27" t="s">
        <v>918</v>
      </c>
      <c r="E1967" s="55"/>
      <c r="F1967" s="55"/>
      <c r="G1967" s="55"/>
    </row>
    <row r="1968" hidden="1">
      <c r="A1968" s="27" t="s">
        <v>102</v>
      </c>
      <c r="B1968" s="132">
        <v>200.0</v>
      </c>
      <c r="C1968" s="27" t="s">
        <v>917</v>
      </c>
      <c r="E1968" s="55"/>
      <c r="F1968" s="55"/>
      <c r="G1968" s="55"/>
    </row>
    <row r="1969" hidden="1">
      <c r="A1969" s="27" t="s">
        <v>86</v>
      </c>
      <c r="B1969" s="132">
        <v>110.0</v>
      </c>
      <c r="C1969" s="27" t="s">
        <v>917</v>
      </c>
      <c r="E1969" s="55"/>
      <c r="F1969" s="55"/>
      <c r="G1969" s="55"/>
    </row>
    <row r="1970" hidden="1">
      <c r="A1970" s="27" t="s">
        <v>72</v>
      </c>
      <c r="B1970" s="132">
        <v>186.0</v>
      </c>
      <c r="C1970" s="315"/>
      <c r="E1970" s="55"/>
      <c r="F1970" s="55"/>
      <c r="G1970" s="55"/>
    </row>
    <row r="1971">
      <c r="A1971" s="27" t="s">
        <v>42</v>
      </c>
      <c r="B1971" s="132">
        <v>240.0</v>
      </c>
      <c r="C1971" s="27" t="s">
        <v>918</v>
      </c>
      <c r="E1971" s="55"/>
      <c r="F1971" s="55"/>
      <c r="G1971" s="55"/>
    </row>
    <row r="1972">
      <c r="A1972" s="27" t="s">
        <v>70</v>
      </c>
      <c r="B1972" s="132">
        <v>200.0</v>
      </c>
      <c r="C1972" s="27" t="s">
        <v>918</v>
      </c>
      <c r="E1972" s="55"/>
      <c r="F1972" s="55"/>
      <c r="G1972" s="55"/>
    </row>
    <row r="1973">
      <c r="A1973" s="27" t="s">
        <v>61</v>
      </c>
      <c r="B1973" s="132">
        <v>144.0</v>
      </c>
      <c r="C1973" s="27" t="s">
        <v>918</v>
      </c>
      <c r="E1973" s="55"/>
      <c r="F1973" s="55"/>
      <c r="G1973" s="55"/>
    </row>
    <row r="1974">
      <c r="A1974" s="27" t="s">
        <v>122</v>
      </c>
      <c r="B1974" s="132">
        <v>144.0</v>
      </c>
      <c r="C1974" s="27" t="s">
        <v>918</v>
      </c>
      <c r="E1974" s="55"/>
      <c r="F1974" s="55"/>
      <c r="G1974" s="55"/>
    </row>
    <row r="1975">
      <c r="A1975" s="27" t="s">
        <v>123</v>
      </c>
      <c r="B1975" s="132">
        <v>288.0</v>
      </c>
      <c r="C1975" s="27" t="s">
        <v>918</v>
      </c>
      <c r="E1975" s="55"/>
      <c r="F1975" s="55"/>
      <c r="G1975" s="55"/>
    </row>
    <row r="1976">
      <c r="A1976" s="27" t="s">
        <v>124</v>
      </c>
      <c r="B1976" s="132">
        <v>288.0</v>
      </c>
      <c r="C1976" s="27" t="s">
        <v>918</v>
      </c>
      <c r="E1976" s="55"/>
      <c r="F1976" s="55"/>
      <c r="G1976" s="55"/>
    </row>
    <row r="1977">
      <c r="A1977" s="27" t="s">
        <v>69</v>
      </c>
      <c r="B1977" s="132">
        <v>40.0</v>
      </c>
      <c r="C1977" s="27" t="s">
        <v>918</v>
      </c>
      <c r="E1977" s="55"/>
      <c r="F1977" s="55"/>
      <c r="G1977" s="55"/>
    </row>
    <row r="1978" hidden="1">
      <c r="A1978" s="55" t="s">
        <v>376</v>
      </c>
      <c r="B1978" s="55">
        <v>30.0</v>
      </c>
      <c r="C1978" s="55" t="s">
        <v>917</v>
      </c>
      <c r="E1978" s="55"/>
      <c r="F1978" s="55"/>
      <c r="G1978" s="55"/>
    </row>
    <row r="1979" hidden="1">
      <c r="A1979" s="55" t="s">
        <v>205</v>
      </c>
      <c r="B1979" s="55">
        <v>151.0</v>
      </c>
      <c r="C1979" s="55" t="s">
        <v>917</v>
      </c>
      <c r="E1979" s="55"/>
      <c r="F1979" s="55"/>
      <c r="G1979" s="55"/>
    </row>
    <row r="1980">
      <c r="A1980" s="55" t="s">
        <v>207</v>
      </c>
      <c r="B1980" s="55">
        <v>142.0</v>
      </c>
      <c r="C1980" s="55" t="s">
        <v>918</v>
      </c>
      <c r="E1980" s="55"/>
      <c r="F1980" s="55"/>
      <c r="G1980" s="55"/>
    </row>
    <row r="1981" hidden="1">
      <c r="A1981" s="55" t="s">
        <v>170</v>
      </c>
      <c r="B1981" s="55">
        <v>54.0</v>
      </c>
      <c r="C1981" s="55" t="s">
        <v>917</v>
      </c>
      <c r="E1981" s="55"/>
      <c r="F1981" s="55"/>
      <c r="G1981" s="55"/>
    </row>
    <row r="1982">
      <c r="A1982" s="55" t="s">
        <v>173</v>
      </c>
      <c r="B1982" s="55">
        <v>28.0</v>
      </c>
      <c r="C1982" s="55" t="s">
        <v>918</v>
      </c>
      <c r="E1982" s="55"/>
      <c r="F1982" s="55"/>
      <c r="G1982" s="55"/>
    </row>
    <row r="1983" hidden="1">
      <c r="A1983" s="55" t="s">
        <v>219</v>
      </c>
      <c r="B1983" s="55">
        <v>40.0</v>
      </c>
      <c r="C1983" s="55" t="s">
        <v>917</v>
      </c>
      <c r="E1983" s="55"/>
      <c r="F1983" s="55"/>
      <c r="G1983" s="55"/>
    </row>
    <row r="1984" hidden="1">
      <c r="A1984" s="55" t="s">
        <v>347</v>
      </c>
      <c r="B1984" s="55">
        <v>18.0</v>
      </c>
      <c r="C1984" s="55" t="s">
        <v>917</v>
      </c>
      <c r="E1984" s="55"/>
      <c r="F1984" s="55"/>
      <c r="G1984" s="55"/>
    </row>
    <row r="1985">
      <c r="A1985" s="55" t="s">
        <v>199</v>
      </c>
      <c r="B1985" s="55">
        <v>23.0</v>
      </c>
      <c r="C1985" s="55" t="s">
        <v>931</v>
      </c>
      <c r="E1985" s="55"/>
      <c r="F1985" s="55"/>
      <c r="G1985" s="55"/>
    </row>
    <row r="1986" hidden="1">
      <c r="A1986" s="55" t="s">
        <v>315</v>
      </c>
      <c r="B1986" s="55">
        <v>20.0</v>
      </c>
      <c r="C1986" s="55" t="s">
        <v>917</v>
      </c>
      <c r="E1986" s="55"/>
      <c r="F1986" s="55"/>
      <c r="G1986" s="55"/>
    </row>
    <row r="1987" hidden="1">
      <c r="A1987" s="55" t="s">
        <v>344</v>
      </c>
      <c r="B1987" s="55">
        <v>53.0</v>
      </c>
      <c r="C1987" s="55" t="s">
        <v>917</v>
      </c>
      <c r="E1987" s="55"/>
      <c r="F1987" s="55"/>
      <c r="G1987" s="55"/>
    </row>
    <row r="1988">
      <c r="A1988" s="55" t="s">
        <v>226</v>
      </c>
      <c r="B1988" s="55">
        <v>36.0</v>
      </c>
      <c r="C1988" s="55" t="s">
        <v>922</v>
      </c>
      <c r="E1988" s="55"/>
      <c r="F1988" s="55"/>
      <c r="G1988" s="55"/>
    </row>
    <row r="1989" hidden="1">
      <c r="A1989" s="55" t="s">
        <v>203</v>
      </c>
      <c r="B1989" s="55">
        <v>11.0</v>
      </c>
      <c r="C1989" s="55" t="s">
        <v>917</v>
      </c>
      <c r="E1989" s="55"/>
      <c r="F1989" s="55"/>
      <c r="G1989" s="55"/>
    </row>
    <row r="1990" hidden="1">
      <c r="A1990" s="55" t="s">
        <v>200</v>
      </c>
      <c r="B1990" s="55">
        <v>36.0</v>
      </c>
      <c r="C1990" s="55" t="s">
        <v>917</v>
      </c>
      <c r="E1990" s="55"/>
      <c r="F1990" s="55"/>
      <c r="G1990" s="55"/>
    </row>
    <row r="1991" hidden="1">
      <c r="A1991" s="55" t="s">
        <v>318</v>
      </c>
      <c r="B1991" s="55">
        <v>37.0</v>
      </c>
      <c r="C1991" s="55" t="s">
        <v>917</v>
      </c>
      <c r="E1991" s="55"/>
      <c r="F1991" s="55"/>
      <c r="G1991" s="55"/>
    </row>
    <row r="1992">
      <c r="A1992" s="55" t="s">
        <v>320</v>
      </c>
      <c r="B1992" s="55">
        <v>27.0</v>
      </c>
      <c r="C1992" s="55" t="s">
        <v>918</v>
      </c>
      <c r="E1992" s="55"/>
      <c r="F1992" s="55"/>
      <c r="G1992" s="55"/>
    </row>
    <row r="1993" hidden="1">
      <c r="A1993" s="55" t="s">
        <v>164</v>
      </c>
      <c r="B1993" s="55">
        <v>75.0</v>
      </c>
      <c r="C1993" s="55" t="s">
        <v>917</v>
      </c>
      <c r="E1993" s="55"/>
      <c r="F1993" s="55"/>
      <c r="G1993" s="55"/>
    </row>
    <row r="1994">
      <c r="A1994" s="55" t="s">
        <v>166</v>
      </c>
      <c r="B1994" s="55">
        <v>51.0</v>
      </c>
      <c r="C1994" s="55" t="s">
        <v>918</v>
      </c>
      <c r="E1994" s="55"/>
      <c r="F1994" s="55"/>
      <c r="G1994" s="55"/>
    </row>
    <row r="1995">
      <c r="A1995" s="55" t="s">
        <v>340</v>
      </c>
      <c r="B1995" s="55">
        <v>26.0</v>
      </c>
      <c r="C1995" s="55" t="s">
        <v>918</v>
      </c>
      <c r="E1995" s="55"/>
      <c r="F1995" s="55"/>
      <c r="G1995" s="55"/>
    </row>
    <row r="1996">
      <c r="A1996" s="55" t="s">
        <v>377</v>
      </c>
      <c r="B1996" s="55">
        <v>40.0</v>
      </c>
      <c r="C1996" s="55" t="s">
        <v>918</v>
      </c>
      <c r="E1996" s="55"/>
      <c r="F1996" s="55"/>
      <c r="G1996" s="55"/>
    </row>
    <row r="1997">
      <c r="A1997" s="55" t="s">
        <v>325</v>
      </c>
      <c r="B1997" s="55">
        <v>50.0</v>
      </c>
      <c r="C1997" s="55" t="s">
        <v>918</v>
      </c>
      <c r="E1997" s="55"/>
      <c r="F1997" s="55"/>
      <c r="G1997" s="55"/>
    </row>
    <row r="1998" hidden="1">
      <c r="A1998" s="55" t="s">
        <v>335</v>
      </c>
      <c r="B1998" s="55">
        <v>23.0</v>
      </c>
      <c r="C1998" s="55" t="s">
        <v>917</v>
      </c>
      <c r="E1998" s="55"/>
      <c r="F1998" s="55"/>
      <c r="G1998" s="55"/>
    </row>
    <row r="1999">
      <c r="A1999" s="55" t="s">
        <v>370</v>
      </c>
      <c r="B1999" s="55">
        <v>28.0</v>
      </c>
      <c r="C1999" s="55" t="s">
        <v>918</v>
      </c>
      <c r="E1999" s="55"/>
      <c r="F1999" s="55"/>
      <c r="G1999" s="55"/>
    </row>
    <row r="2000">
      <c r="A2000" s="55" t="s">
        <v>235</v>
      </c>
      <c r="B2000" s="55">
        <v>27.0</v>
      </c>
      <c r="C2000" s="55" t="s">
        <v>918</v>
      </c>
      <c r="E2000" s="55"/>
      <c r="F2000" s="55"/>
      <c r="G2000" s="55"/>
    </row>
    <row r="2001">
      <c r="A2001" s="55" t="s">
        <v>228</v>
      </c>
      <c r="B2001" s="55">
        <v>50.0</v>
      </c>
      <c r="C2001" s="55" t="s">
        <v>922</v>
      </c>
      <c r="E2001" s="55"/>
      <c r="F2001" s="55"/>
      <c r="G2001" s="55"/>
    </row>
    <row r="2002">
      <c r="A2002" s="55" t="s">
        <v>264</v>
      </c>
      <c r="B2002" s="55">
        <v>10.0</v>
      </c>
      <c r="C2002" s="55" t="s">
        <v>918</v>
      </c>
      <c r="E2002" s="55"/>
      <c r="F2002" s="55"/>
      <c r="G2002" s="55"/>
    </row>
    <row r="2003">
      <c r="A2003" s="55" t="s">
        <v>241</v>
      </c>
      <c r="B2003" s="55">
        <v>86.0</v>
      </c>
      <c r="C2003" s="55" t="s">
        <v>918</v>
      </c>
      <c r="E2003" s="55"/>
      <c r="F2003" s="55"/>
      <c r="G2003" s="55"/>
    </row>
    <row r="2004" hidden="1">
      <c r="A2004" s="55" t="s">
        <v>291</v>
      </c>
      <c r="B2004" s="55">
        <v>10.0</v>
      </c>
      <c r="C2004" s="55" t="s">
        <v>917</v>
      </c>
      <c r="E2004" s="55"/>
      <c r="F2004" s="55"/>
      <c r="G2004" s="55"/>
    </row>
    <row r="2005" hidden="1">
      <c r="A2005" s="55" t="s">
        <v>355</v>
      </c>
      <c r="B2005" s="55">
        <v>24.0</v>
      </c>
      <c r="C2005" s="55" t="s">
        <v>917</v>
      </c>
      <c r="E2005" s="55"/>
      <c r="F2005" s="55"/>
      <c r="G2005" s="55"/>
    </row>
    <row r="2006" hidden="1">
      <c r="A2006" s="55" t="s">
        <v>364</v>
      </c>
      <c r="B2006" s="55">
        <v>6.0</v>
      </c>
      <c r="C2006" s="55" t="s">
        <v>917</v>
      </c>
      <c r="E2006" s="55"/>
      <c r="F2006" s="55"/>
      <c r="G2006" s="55"/>
    </row>
    <row r="2007">
      <c r="A2007" s="55" t="s">
        <v>251</v>
      </c>
      <c r="B2007" s="55">
        <v>17.0</v>
      </c>
      <c r="C2007" s="55" t="s">
        <v>922</v>
      </c>
      <c r="E2007" s="55"/>
      <c r="F2007" s="55"/>
      <c r="G2007" s="55"/>
    </row>
    <row r="2008" hidden="1">
      <c r="A2008" s="55" t="s">
        <v>243</v>
      </c>
      <c r="B2008" s="55">
        <v>20.0</v>
      </c>
      <c r="C2008" s="55" t="s">
        <v>917</v>
      </c>
      <c r="E2008" s="55"/>
      <c r="F2008" s="55"/>
      <c r="G2008" s="55"/>
    </row>
    <row r="2009" hidden="1">
      <c r="A2009" s="55" t="s">
        <v>244</v>
      </c>
      <c r="B2009" s="55">
        <v>19.0</v>
      </c>
      <c r="C2009" s="55" t="s">
        <v>917</v>
      </c>
      <c r="E2009" s="55"/>
      <c r="F2009" s="55"/>
      <c r="G2009" s="55"/>
    </row>
    <row r="2010">
      <c r="A2010" s="55" t="s">
        <v>252</v>
      </c>
      <c r="B2010" s="55">
        <v>331.0</v>
      </c>
      <c r="C2010" s="55" t="s">
        <v>918</v>
      </c>
      <c r="E2010" s="55"/>
      <c r="F2010" s="55"/>
      <c r="G2010" s="55"/>
    </row>
    <row r="2011">
      <c r="A2011" s="55" t="s">
        <v>373</v>
      </c>
      <c r="B2011" s="55">
        <v>144.0</v>
      </c>
      <c r="C2011" s="55" t="s">
        <v>925</v>
      </c>
      <c r="E2011" s="55"/>
      <c r="F2011" s="55"/>
      <c r="G2011" s="55"/>
    </row>
    <row r="2012">
      <c r="A2012" s="55" t="s">
        <v>356</v>
      </c>
      <c r="B2012" s="55">
        <v>12.0</v>
      </c>
      <c r="C2012" s="55" t="s">
        <v>918</v>
      </c>
      <c r="E2012" s="55"/>
      <c r="F2012" s="55"/>
      <c r="G2012" s="55"/>
    </row>
    <row r="2013" hidden="1">
      <c r="A2013" s="55" t="s">
        <v>354</v>
      </c>
      <c r="B2013" s="55">
        <v>60.0</v>
      </c>
      <c r="C2013" s="55" t="s">
        <v>917</v>
      </c>
      <c r="E2013" s="55"/>
      <c r="F2013" s="55"/>
      <c r="G2013" s="55"/>
    </row>
    <row r="2014" hidden="1">
      <c r="A2014" s="55" t="s">
        <v>259</v>
      </c>
      <c r="B2014" s="55">
        <v>80.0</v>
      </c>
      <c r="C2014" s="55" t="s">
        <v>917</v>
      </c>
      <c r="E2014" s="55"/>
      <c r="F2014" s="55"/>
      <c r="G2014" s="55"/>
    </row>
    <row r="2015" hidden="1">
      <c r="A2015" s="55" t="s">
        <v>185</v>
      </c>
      <c r="B2015" s="55">
        <v>180.0</v>
      </c>
      <c r="C2015" s="55" t="s">
        <v>917</v>
      </c>
      <c r="E2015" s="55"/>
      <c r="F2015" s="55"/>
      <c r="G2015" s="55"/>
    </row>
    <row r="2016">
      <c r="A2016" s="55" t="s">
        <v>223</v>
      </c>
      <c r="B2016" s="55">
        <v>46.0</v>
      </c>
      <c r="C2016" s="55" t="s">
        <v>918</v>
      </c>
      <c r="E2016" s="55"/>
      <c r="F2016" s="55"/>
      <c r="G2016" s="55"/>
    </row>
    <row r="2017">
      <c r="A2017" s="55" t="s">
        <v>189</v>
      </c>
      <c r="B2017" s="55">
        <v>16.0</v>
      </c>
      <c r="C2017" s="55" t="s">
        <v>918</v>
      </c>
      <c r="E2017" s="55"/>
      <c r="F2017" s="55"/>
      <c r="G2017" s="55"/>
    </row>
    <row r="2018" hidden="1">
      <c r="A2018" s="55" t="s">
        <v>359</v>
      </c>
      <c r="B2018" s="55">
        <v>16.0</v>
      </c>
      <c r="C2018" s="55" t="s">
        <v>917</v>
      </c>
      <c r="E2018" s="55"/>
      <c r="F2018" s="55"/>
      <c r="G2018" s="55"/>
    </row>
    <row r="2019">
      <c r="A2019" s="55" t="s">
        <v>350</v>
      </c>
      <c r="B2019" s="55">
        <v>34.0</v>
      </c>
      <c r="C2019" s="55" t="s">
        <v>918</v>
      </c>
      <c r="E2019" s="55"/>
      <c r="F2019" s="55"/>
      <c r="G2019" s="55"/>
    </row>
    <row r="2020">
      <c r="A2020" s="55" t="s">
        <v>230</v>
      </c>
      <c r="B2020" s="55">
        <v>218.0</v>
      </c>
      <c r="C2020" s="55" t="s">
        <v>922</v>
      </c>
      <c r="E2020" s="55"/>
      <c r="F2020" s="55"/>
      <c r="G2020" s="55"/>
    </row>
    <row r="2021">
      <c r="A2021" s="55" t="s">
        <v>231</v>
      </c>
      <c r="B2021" s="55">
        <v>100.0</v>
      </c>
      <c r="C2021" s="55" t="s">
        <v>918</v>
      </c>
      <c r="E2021" s="55"/>
      <c r="F2021" s="55"/>
      <c r="G2021" s="55"/>
    </row>
    <row r="2022" hidden="1">
      <c r="A2022" s="55" t="s">
        <v>273</v>
      </c>
      <c r="B2022" s="55">
        <v>47.0</v>
      </c>
      <c r="C2022" s="55" t="s">
        <v>917</v>
      </c>
      <c r="E2022" s="55"/>
      <c r="F2022" s="55"/>
      <c r="G2022" s="55"/>
    </row>
    <row r="2023" hidden="1">
      <c r="A2023" s="55" t="s">
        <v>247</v>
      </c>
      <c r="B2023" s="55">
        <v>10.0</v>
      </c>
      <c r="C2023" s="55" t="s">
        <v>917</v>
      </c>
      <c r="E2023" s="55"/>
      <c r="F2023" s="55"/>
      <c r="G2023" s="55"/>
    </row>
    <row r="2024">
      <c r="A2024" s="55" t="s">
        <v>250</v>
      </c>
      <c r="B2024" s="55">
        <v>20.0</v>
      </c>
      <c r="C2024" s="55" t="s">
        <v>932</v>
      </c>
      <c r="E2024" s="55"/>
      <c r="F2024" s="55"/>
      <c r="G2024" s="55"/>
    </row>
    <row r="2025" hidden="1">
      <c r="A2025" s="55" t="s">
        <v>293</v>
      </c>
      <c r="B2025" s="55">
        <v>18.0</v>
      </c>
      <c r="C2025" s="55" t="s">
        <v>917</v>
      </c>
      <c r="E2025" s="55"/>
      <c r="F2025" s="55"/>
      <c r="G2025" s="55"/>
    </row>
    <row r="2026" hidden="1">
      <c r="A2026" s="55" t="s">
        <v>176</v>
      </c>
      <c r="B2026" s="55">
        <v>102.0</v>
      </c>
      <c r="C2026" s="55" t="s">
        <v>917</v>
      </c>
      <c r="E2026" s="55"/>
      <c r="F2026" s="55"/>
      <c r="G2026" s="55"/>
    </row>
    <row r="2027">
      <c r="A2027" s="55" t="s">
        <v>207</v>
      </c>
      <c r="B2027" s="55">
        <v>284.0</v>
      </c>
      <c r="C2027" s="55" t="s">
        <v>918</v>
      </c>
      <c r="E2027" s="55"/>
      <c r="F2027" s="55"/>
      <c r="G2027" s="55"/>
    </row>
    <row r="2028" hidden="1">
      <c r="A2028" s="55" t="s">
        <v>170</v>
      </c>
      <c r="B2028" s="55">
        <v>196.0</v>
      </c>
      <c r="C2028" s="55" t="s">
        <v>917</v>
      </c>
      <c r="E2028" s="55"/>
      <c r="F2028" s="55"/>
      <c r="G2028" s="55"/>
    </row>
    <row r="2029">
      <c r="A2029" s="55" t="s">
        <v>173</v>
      </c>
      <c r="B2029" s="55">
        <v>60.0</v>
      </c>
      <c r="C2029" s="55" t="s">
        <v>918</v>
      </c>
      <c r="E2029" s="55"/>
      <c r="F2029" s="55"/>
      <c r="G2029" s="55"/>
    </row>
    <row r="2030" hidden="1">
      <c r="A2030" s="55" t="s">
        <v>329</v>
      </c>
      <c r="B2030" s="55">
        <v>105.0</v>
      </c>
      <c r="C2030" s="55" t="s">
        <v>917</v>
      </c>
      <c r="E2030" s="55"/>
      <c r="F2030" s="55"/>
      <c r="G2030" s="55"/>
    </row>
    <row r="2031" hidden="1">
      <c r="A2031" s="55" t="s">
        <v>287</v>
      </c>
      <c r="B2031" s="55">
        <v>19.0</v>
      </c>
      <c r="C2031" s="55" t="s">
        <v>917</v>
      </c>
      <c r="E2031" s="55"/>
      <c r="F2031" s="55"/>
      <c r="G2031" s="55"/>
    </row>
    <row r="2032" hidden="1">
      <c r="A2032" s="55" t="s">
        <v>315</v>
      </c>
      <c r="B2032" s="55">
        <v>14.0</v>
      </c>
      <c r="C2032" s="55" t="s">
        <v>917</v>
      </c>
      <c r="E2032" s="55"/>
      <c r="F2032" s="55"/>
      <c r="G2032" s="55"/>
    </row>
    <row r="2033" hidden="1">
      <c r="A2033" s="55" t="s">
        <v>344</v>
      </c>
      <c r="B2033" s="55">
        <v>156.0</v>
      </c>
      <c r="C2033" s="55" t="s">
        <v>917</v>
      </c>
      <c r="E2033" s="55"/>
      <c r="F2033" s="55"/>
      <c r="G2033" s="55"/>
    </row>
    <row r="2034" hidden="1">
      <c r="A2034" s="55" t="s">
        <v>318</v>
      </c>
      <c r="B2034" s="55">
        <v>152.0</v>
      </c>
      <c r="C2034" s="55" t="s">
        <v>917</v>
      </c>
      <c r="E2034" s="55"/>
      <c r="F2034" s="55"/>
      <c r="G2034" s="55"/>
    </row>
    <row r="2035" hidden="1">
      <c r="A2035" s="55" t="s">
        <v>164</v>
      </c>
      <c r="B2035" s="55">
        <v>200.0</v>
      </c>
      <c r="C2035" s="55" t="s">
        <v>917</v>
      </c>
      <c r="E2035" s="55"/>
      <c r="F2035" s="55"/>
      <c r="G2035" s="55"/>
    </row>
    <row r="2036">
      <c r="A2036" s="55" t="s">
        <v>166</v>
      </c>
      <c r="B2036" s="55">
        <v>61.0</v>
      </c>
      <c r="C2036" s="55" t="s">
        <v>918</v>
      </c>
      <c r="E2036" s="55"/>
      <c r="F2036" s="55"/>
      <c r="G2036" s="55"/>
    </row>
    <row r="2037" hidden="1">
      <c r="A2037" s="55" t="s">
        <v>306</v>
      </c>
      <c r="B2037" s="55">
        <v>81.0</v>
      </c>
      <c r="C2037" s="55" t="s">
        <v>917</v>
      </c>
      <c r="E2037" s="55"/>
      <c r="F2037" s="55"/>
      <c r="G2037" s="55"/>
    </row>
    <row r="2038">
      <c r="A2038" s="55" t="s">
        <v>340</v>
      </c>
      <c r="B2038" s="55">
        <v>194.0</v>
      </c>
      <c r="C2038" s="55" t="s">
        <v>918</v>
      </c>
      <c r="E2038" s="55"/>
      <c r="F2038" s="55"/>
      <c r="G2038" s="55"/>
    </row>
    <row r="2039">
      <c r="A2039" s="55" t="s">
        <v>370</v>
      </c>
      <c r="B2039" s="55">
        <v>80.0</v>
      </c>
      <c r="C2039" s="55" t="s">
        <v>918</v>
      </c>
      <c r="E2039" s="55"/>
      <c r="F2039" s="55"/>
      <c r="G2039" s="55"/>
    </row>
    <row r="2040">
      <c r="A2040" s="55" t="s">
        <v>264</v>
      </c>
      <c r="B2040" s="55">
        <v>73.0</v>
      </c>
      <c r="C2040" s="55" t="s">
        <v>918</v>
      </c>
      <c r="E2040" s="55"/>
      <c r="F2040" s="55"/>
      <c r="G2040" s="55"/>
    </row>
    <row r="2041">
      <c r="A2041" s="55" t="s">
        <v>241</v>
      </c>
      <c r="B2041" s="55">
        <v>288.0</v>
      </c>
      <c r="C2041" s="55" t="s">
        <v>918</v>
      </c>
      <c r="E2041" s="55"/>
      <c r="F2041" s="55"/>
      <c r="G2041" s="55"/>
    </row>
    <row r="2042" hidden="1">
      <c r="A2042" s="55" t="s">
        <v>311</v>
      </c>
      <c r="B2042" s="55">
        <v>20.0</v>
      </c>
      <c r="C2042" s="55" t="s">
        <v>917</v>
      </c>
      <c r="E2042" s="55"/>
      <c r="F2042" s="55"/>
      <c r="G2042" s="55"/>
    </row>
    <row r="2043" hidden="1">
      <c r="A2043" s="55" t="s">
        <v>294</v>
      </c>
      <c r="B2043" s="55">
        <v>40.0</v>
      </c>
      <c r="C2043" s="55" t="s">
        <v>917</v>
      </c>
      <c r="E2043" s="55"/>
      <c r="F2043" s="55"/>
      <c r="G2043" s="55"/>
    </row>
    <row r="2044" hidden="1">
      <c r="A2044" s="55" t="s">
        <v>291</v>
      </c>
      <c r="B2044" s="55">
        <v>20.0</v>
      </c>
      <c r="C2044" s="55" t="s">
        <v>917</v>
      </c>
      <c r="E2044" s="55"/>
      <c r="F2044" s="55"/>
      <c r="G2044" s="55"/>
    </row>
    <row r="2045" hidden="1">
      <c r="A2045" s="55" t="s">
        <v>355</v>
      </c>
      <c r="B2045" s="55">
        <v>160.0</v>
      </c>
      <c r="C2045" s="55" t="s">
        <v>917</v>
      </c>
      <c r="E2045" s="55"/>
      <c r="F2045" s="55"/>
      <c r="G2045" s="55"/>
    </row>
    <row r="2046">
      <c r="A2046" s="55" t="s">
        <v>251</v>
      </c>
      <c r="B2046" s="55">
        <v>32.0</v>
      </c>
      <c r="C2046" s="55" t="s">
        <v>922</v>
      </c>
      <c r="E2046" s="55"/>
      <c r="F2046" s="55"/>
      <c r="G2046" s="55"/>
    </row>
    <row r="2047" hidden="1">
      <c r="A2047" s="55" t="s">
        <v>414</v>
      </c>
      <c r="B2047" s="55">
        <v>10.0</v>
      </c>
      <c r="C2047" s="55" t="s">
        <v>917</v>
      </c>
      <c r="E2047" s="55"/>
      <c r="F2047" s="55"/>
      <c r="G2047" s="55"/>
    </row>
    <row r="2048">
      <c r="A2048" s="55" t="s">
        <v>369</v>
      </c>
      <c r="B2048" s="55">
        <v>124.0</v>
      </c>
      <c r="C2048" s="55" t="s">
        <v>918</v>
      </c>
      <c r="E2048" s="55"/>
      <c r="F2048" s="55"/>
      <c r="G2048" s="55"/>
    </row>
    <row r="2049" hidden="1">
      <c r="A2049" s="55" t="s">
        <v>175</v>
      </c>
      <c r="B2049" s="55">
        <v>50.0</v>
      </c>
      <c r="C2049" s="55" t="s">
        <v>917</v>
      </c>
      <c r="E2049" s="55"/>
      <c r="F2049" s="55"/>
      <c r="G2049" s="55"/>
    </row>
    <row r="2050" hidden="1">
      <c r="A2050" s="55" t="s">
        <v>352</v>
      </c>
      <c r="B2050" s="55">
        <v>55.0</v>
      </c>
      <c r="C2050" s="55" t="s">
        <v>917</v>
      </c>
      <c r="E2050" s="55"/>
      <c r="F2050" s="55"/>
      <c r="G2050" s="55"/>
    </row>
    <row r="2051">
      <c r="A2051" s="55" t="s">
        <v>256</v>
      </c>
      <c r="B2051" s="55">
        <v>17.0</v>
      </c>
      <c r="C2051" s="55" t="s">
        <v>918</v>
      </c>
      <c r="E2051" s="55"/>
      <c r="F2051" s="55"/>
      <c r="G2051" s="55"/>
    </row>
    <row r="2052">
      <c r="A2052" s="55" t="s">
        <v>356</v>
      </c>
      <c r="B2052" s="55">
        <v>99.0</v>
      </c>
      <c r="C2052" s="55" t="s">
        <v>918</v>
      </c>
      <c r="E2052" s="55"/>
      <c r="F2052" s="55"/>
      <c r="G2052" s="55"/>
    </row>
    <row r="2053" hidden="1">
      <c r="A2053" s="55" t="s">
        <v>354</v>
      </c>
      <c r="B2053" s="55">
        <v>100.0</v>
      </c>
      <c r="C2053" s="55" t="s">
        <v>917</v>
      </c>
      <c r="E2053" s="55"/>
      <c r="F2053" s="55"/>
      <c r="G2053" s="55"/>
    </row>
    <row r="2054" hidden="1">
      <c r="A2054" s="55" t="s">
        <v>163</v>
      </c>
      <c r="B2054" s="55">
        <v>20.0</v>
      </c>
      <c r="C2054" s="55" t="s">
        <v>917</v>
      </c>
      <c r="E2054" s="55"/>
      <c r="F2054" s="55"/>
      <c r="G2054" s="55"/>
    </row>
    <row r="2055" hidden="1">
      <c r="A2055" s="55" t="s">
        <v>259</v>
      </c>
      <c r="B2055" s="55">
        <v>39.0</v>
      </c>
      <c r="C2055" s="55" t="s">
        <v>917</v>
      </c>
      <c r="E2055" s="55"/>
      <c r="F2055" s="55"/>
      <c r="G2055" s="55"/>
    </row>
    <row r="2056" hidden="1">
      <c r="A2056" s="55" t="s">
        <v>185</v>
      </c>
      <c r="B2056" s="55">
        <v>200.0</v>
      </c>
      <c r="C2056" s="55" t="s">
        <v>917</v>
      </c>
      <c r="E2056" s="55"/>
      <c r="F2056" s="55"/>
      <c r="G2056" s="55"/>
    </row>
    <row r="2057">
      <c r="A2057" s="55" t="s">
        <v>189</v>
      </c>
      <c r="B2057" s="55">
        <v>45.0</v>
      </c>
      <c r="C2057" s="55" t="s">
        <v>918</v>
      </c>
      <c r="E2057" s="55"/>
      <c r="F2057" s="55"/>
      <c r="G2057" s="55"/>
    </row>
    <row r="2058">
      <c r="A2058" s="55" t="s">
        <v>321</v>
      </c>
      <c r="B2058" s="55">
        <v>34.0</v>
      </c>
      <c r="C2058" s="55" t="s">
        <v>932</v>
      </c>
      <c r="E2058" s="55"/>
      <c r="F2058" s="55"/>
      <c r="G2058" s="55"/>
    </row>
    <row r="2059">
      <c r="A2059" s="55" t="s">
        <v>350</v>
      </c>
      <c r="B2059" s="55">
        <v>87.0</v>
      </c>
      <c r="C2059" s="55" t="s">
        <v>918</v>
      </c>
      <c r="E2059" s="55"/>
      <c r="F2059" s="55"/>
      <c r="G2059" s="55"/>
    </row>
    <row r="2060">
      <c r="A2060" s="55" t="s">
        <v>231</v>
      </c>
      <c r="B2060" s="55">
        <v>57.0</v>
      </c>
      <c r="C2060" s="55" t="s">
        <v>918</v>
      </c>
      <c r="E2060" s="55"/>
      <c r="F2060" s="55"/>
      <c r="G2060" s="55"/>
    </row>
    <row r="2061" hidden="1">
      <c r="A2061" s="55" t="s">
        <v>247</v>
      </c>
      <c r="B2061" s="55">
        <v>20.0</v>
      </c>
      <c r="C2061" s="55" t="s">
        <v>917</v>
      </c>
      <c r="E2061" s="55"/>
      <c r="F2061" s="55"/>
      <c r="G2061" s="55"/>
    </row>
    <row r="2062">
      <c r="A2062" s="55" t="s">
        <v>250</v>
      </c>
      <c r="B2062" s="55">
        <v>50.0</v>
      </c>
      <c r="C2062" s="55" t="s">
        <v>932</v>
      </c>
      <c r="E2062" s="55"/>
      <c r="F2062" s="55"/>
      <c r="G2062" s="55"/>
    </row>
    <row r="2063" hidden="1">
      <c r="A2063" s="55" t="s">
        <v>293</v>
      </c>
      <c r="B2063" s="55">
        <v>30.0</v>
      </c>
      <c r="C2063" s="55" t="s">
        <v>917</v>
      </c>
      <c r="E2063" s="55"/>
      <c r="F2063" s="55"/>
      <c r="G2063" s="55"/>
    </row>
    <row r="2064" hidden="1">
      <c r="A2064" s="55" t="s">
        <v>176</v>
      </c>
      <c r="B2064" s="55">
        <v>300.0</v>
      </c>
      <c r="C2064" s="55" t="s">
        <v>917</v>
      </c>
      <c r="E2064" s="55"/>
      <c r="F2064" s="55"/>
      <c r="G2064" s="55"/>
    </row>
    <row r="2065">
      <c r="A2065" s="55" t="s">
        <v>257</v>
      </c>
      <c r="B2065" s="55">
        <v>84.0</v>
      </c>
      <c r="C2065" s="55" t="s">
        <v>932</v>
      </c>
      <c r="E2065" s="55"/>
      <c r="F2065" s="55"/>
      <c r="G2065" s="55"/>
    </row>
    <row r="2066" hidden="1">
      <c r="A2066" s="55" t="s">
        <v>72</v>
      </c>
      <c r="B2066" s="55">
        <v>612.0</v>
      </c>
      <c r="E2066" s="55"/>
      <c r="F2066" s="55"/>
      <c r="G2066" s="55"/>
    </row>
    <row r="2067" hidden="1">
      <c r="A2067" s="55" t="s">
        <v>72</v>
      </c>
      <c r="B2067" s="55">
        <v>216.0</v>
      </c>
      <c r="E2067" s="55"/>
      <c r="F2067" s="55"/>
      <c r="G2067" s="55"/>
    </row>
    <row r="2068" hidden="1">
      <c r="A2068" s="55" t="s">
        <v>72</v>
      </c>
      <c r="B2068" s="55">
        <v>216.0</v>
      </c>
      <c r="E2068" s="55"/>
      <c r="F2068" s="55"/>
      <c r="G2068" s="55"/>
    </row>
    <row r="2069" hidden="1">
      <c r="A2069" s="55" t="s">
        <v>72</v>
      </c>
      <c r="B2069" s="55">
        <v>216.0</v>
      </c>
      <c r="E2069" s="55"/>
      <c r="F2069" s="55"/>
      <c r="G2069" s="55"/>
    </row>
    <row r="2070" hidden="1">
      <c r="A2070" s="55" t="s">
        <v>72</v>
      </c>
      <c r="B2070" s="55">
        <v>180.0</v>
      </c>
      <c r="E2070" s="55"/>
      <c r="F2070" s="55"/>
      <c r="G2070" s="55"/>
    </row>
    <row r="2071" hidden="1">
      <c r="A2071" s="55" t="s">
        <v>72</v>
      </c>
      <c r="B2071" s="55">
        <v>162.0</v>
      </c>
      <c r="E2071" s="55"/>
      <c r="F2071" s="55"/>
      <c r="G2071" s="55"/>
    </row>
    <row r="2072" hidden="1">
      <c r="A2072" s="55" t="s">
        <v>236</v>
      </c>
      <c r="B2072" s="55">
        <v>54.0</v>
      </c>
      <c r="C2072" s="55" t="s">
        <v>934</v>
      </c>
      <c r="E2072" s="55"/>
      <c r="F2072" s="55"/>
      <c r="G2072" s="55"/>
    </row>
    <row r="2073" hidden="1">
      <c r="A2073" s="55" t="s">
        <v>205</v>
      </c>
      <c r="B2073" s="55">
        <v>20.0</v>
      </c>
      <c r="C2073" s="55" t="s">
        <v>926</v>
      </c>
      <c r="E2073" s="55"/>
      <c r="F2073" s="55"/>
      <c r="G2073" s="55"/>
    </row>
    <row r="2074">
      <c r="A2074" s="55" t="s">
        <v>131</v>
      </c>
      <c r="B2074" s="55">
        <v>5184.0</v>
      </c>
      <c r="C2074" s="55" t="s">
        <v>918</v>
      </c>
      <c r="E2074" s="55"/>
      <c r="F2074" s="55"/>
      <c r="G2074" s="55"/>
    </row>
    <row r="2075">
      <c r="A2075" s="55" t="s">
        <v>154</v>
      </c>
      <c r="B2075" s="55">
        <v>5184.0</v>
      </c>
      <c r="C2075" s="55" t="s">
        <v>918</v>
      </c>
      <c r="E2075" s="55"/>
      <c r="F2075" s="55"/>
      <c r="G2075" s="55"/>
    </row>
    <row r="2076">
      <c r="A2076" s="55" t="s">
        <v>129</v>
      </c>
      <c r="B2076" s="55">
        <v>1008.0</v>
      </c>
      <c r="C2076" s="55" t="s">
        <v>918</v>
      </c>
      <c r="E2076" s="55"/>
      <c r="F2076" s="55"/>
      <c r="G2076" s="55"/>
    </row>
    <row r="2077">
      <c r="A2077" s="55" t="s">
        <v>70</v>
      </c>
      <c r="B2077" s="55">
        <v>600.0</v>
      </c>
      <c r="C2077" s="55" t="s">
        <v>918</v>
      </c>
      <c r="E2077" s="55"/>
      <c r="F2077" s="55"/>
      <c r="G2077" s="55"/>
    </row>
    <row r="2078">
      <c r="A2078" s="55" t="s">
        <v>347</v>
      </c>
      <c r="B2078" s="55">
        <v>1800.0</v>
      </c>
      <c r="C2078" s="55" t="s">
        <v>918</v>
      </c>
      <c r="E2078" s="55"/>
      <c r="F2078" s="55"/>
      <c r="G2078" s="55"/>
    </row>
    <row r="2079">
      <c r="A2079" s="55" t="s">
        <v>305</v>
      </c>
      <c r="B2079" s="55">
        <v>256.0</v>
      </c>
      <c r="C2079" s="55" t="s">
        <v>918</v>
      </c>
      <c r="E2079" s="55"/>
      <c r="F2079" s="55"/>
      <c r="G2079" s="55"/>
    </row>
    <row r="2080">
      <c r="A2080" s="55" t="s">
        <v>340</v>
      </c>
      <c r="B2080" s="55">
        <v>576.0</v>
      </c>
      <c r="C2080" s="55" t="s">
        <v>918</v>
      </c>
      <c r="E2080" s="55"/>
      <c r="F2080" s="55"/>
      <c r="G2080" s="55"/>
    </row>
    <row r="2081">
      <c r="A2081" s="55" t="s">
        <v>162</v>
      </c>
      <c r="B2081" s="55">
        <v>800.0</v>
      </c>
      <c r="C2081" s="55" t="s">
        <v>918</v>
      </c>
      <c r="E2081" s="55"/>
      <c r="F2081" s="55"/>
      <c r="G2081" s="55"/>
    </row>
    <row r="2082">
      <c r="A2082" s="55" t="s">
        <v>947</v>
      </c>
      <c r="B2082" s="55">
        <v>400.0</v>
      </c>
      <c r="C2082" s="55" t="s">
        <v>918</v>
      </c>
      <c r="E2082" s="55"/>
      <c r="F2082" s="55"/>
      <c r="G2082" s="55"/>
    </row>
    <row r="2083">
      <c r="A2083" s="55" t="s">
        <v>325</v>
      </c>
      <c r="B2083" s="55">
        <v>1728.0</v>
      </c>
      <c r="C2083" s="55" t="s">
        <v>918</v>
      </c>
      <c r="E2083" s="55"/>
      <c r="F2083" s="55"/>
      <c r="G2083" s="55"/>
    </row>
    <row r="2084">
      <c r="A2084" s="55" t="s">
        <v>183</v>
      </c>
      <c r="B2084" s="55">
        <v>576.0</v>
      </c>
      <c r="C2084" s="55" t="s">
        <v>918</v>
      </c>
      <c r="E2084" s="55"/>
      <c r="F2084" s="55"/>
      <c r="G2084" s="55"/>
    </row>
    <row r="2085">
      <c r="A2085" s="55" t="s">
        <v>355</v>
      </c>
      <c r="B2085" s="55">
        <v>1200.0</v>
      </c>
      <c r="C2085" s="55" t="s">
        <v>918</v>
      </c>
      <c r="E2085" s="55"/>
      <c r="F2085" s="55"/>
      <c r="G2085" s="55"/>
    </row>
    <row r="2086">
      <c r="A2086" s="55" t="s">
        <v>352</v>
      </c>
      <c r="B2086" s="55">
        <v>600.0</v>
      </c>
      <c r="C2086" s="55" t="s">
        <v>918</v>
      </c>
      <c r="E2086" s="55"/>
      <c r="F2086" s="55"/>
      <c r="G2086" s="55"/>
    </row>
    <row r="2087">
      <c r="A2087" s="55" t="s">
        <v>216</v>
      </c>
      <c r="B2087" s="55">
        <v>300.0</v>
      </c>
      <c r="C2087" s="55" t="s">
        <v>918</v>
      </c>
      <c r="E2087" s="55"/>
      <c r="F2087" s="55"/>
      <c r="G2087" s="55"/>
    </row>
    <row r="2088" hidden="1">
      <c r="A2088" s="55" t="s">
        <v>72</v>
      </c>
      <c r="B2088" s="55">
        <v>864.0</v>
      </c>
      <c r="C2088" s="315"/>
      <c r="E2088" s="55"/>
      <c r="F2088" s="55"/>
      <c r="G2088" s="55"/>
    </row>
    <row r="2089" hidden="1">
      <c r="A2089" s="55" t="s">
        <v>154</v>
      </c>
      <c r="B2089" s="55">
        <v>300.0</v>
      </c>
      <c r="C2089" s="27" t="s">
        <v>917</v>
      </c>
      <c r="E2089" s="55"/>
      <c r="F2089" s="55"/>
      <c r="G2089" s="55"/>
    </row>
    <row r="2090">
      <c r="A2090" s="55" t="s">
        <v>134</v>
      </c>
      <c r="B2090" s="55">
        <v>1200.0</v>
      </c>
      <c r="C2090" s="314" t="s">
        <v>939</v>
      </c>
      <c r="E2090" s="55"/>
      <c r="F2090" s="55"/>
      <c r="G2090" s="55"/>
    </row>
    <row r="2091">
      <c r="A2091" s="55" t="s">
        <v>262</v>
      </c>
      <c r="B2091" s="55">
        <v>20.0</v>
      </c>
      <c r="C2091" s="55" t="s">
        <v>922</v>
      </c>
      <c r="E2091" s="55"/>
      <c r="F2091" s="55"/>
      <c r="G2091" s="55"/>
    </row>
    <row r="2092">
      <c r="A2092" s="55" t="s">
        <v>207</v>
      </c>
      <c r="B2092" s="55">
        <v>80.0</v>
      </c>
      <c r="C2092" s="55" t="s">
        <v>918</v>
      </c>
      <c r="E2092" s="55"/>
      <c r="F2092" s="55"/>
      <c r="G2092" s="55"/>
    </row>
    <row r="2093" hidden="1">
      <c r="A2093" s="55" t="s">
        <v>170</v>
      </c>
      <c r="B2093" s="55">
        <v>149.0</v>
      </c>
      <c r="C2093" s="55" t="s">
        <v>917</v>
      </c>
      <c r="E2093" s="55"/>
      <c r="F2093" s="55"/>
      <c r="G2093" s="55"/>
    </row>
    <row r="2094">
      <c r="A2094" s="55" t="s">
        <v>173</v>
      </c>
      <c r="B2094" s="55">
        <v>67.0</v>
      </c>
      <c r="C2094" s="55" t="s">
        <v>918</v>
      </c>
      <c r="E2094" s="55"/>
      <c r="F2094" s="55"/>
      <c r="G2094" s="55"/>
    </row>
    <row r="2095" hidden="1">
      <c r="A2095" s="55" t="s">
        <v>168</v>
      </c>
      <c r="B2095" s="55">
        <v>29.0</v>
      </c>
      <c r="C2095" s="55" t="s">
        <v>917</v>
      </c>
      <c r="E2095" s="55"/>
      <c r="F2095" s="55"/>
      <c r="G2095" s="55"/>
    </row>
    <row r="2096" hidden="1">
      <c r="A2096" s="55" t="s">
        <v>219</v>
      </c>
      <c r="B2096" s="55">
        <v>23.0</v>
      </c>
      <c r="C2096" s="55" t="s">
        <v>917</v>
      </c>
      <c r="E2096" s="55"/>
      <c r="F2096" s="55"/>
      <c r="G2096" s="55"/>
    </row>
    <row r="2097" hidden="1">
      <c r="A2097" s="55" t="s">
        <v>347</v>
      </c>
      <c r="B2097" s="55">
        <v>112.0</v>
      </c>
      <c r="C2097" s="55" t="s">
        <v>917</v>
      </c>
      <c r="E2097" s="55"/>
      <c r="F2097" s="55"/>
      <c r="G2097" s="55"/>
    </row>
    <row r="2098" hidden="1">
      <c r="A2098" s="55" t="s">
        <v>266</v>
      </c>
      <c r="B2098" s="55">
        <v>49.0</v>
      </c>
      <c r="C2098" s="55" t="s">
        <v>917</v>
      </c>
      <c r="E2098" s="55"/>
      <c r="F2098" s="55"/>
      <c r="G2098" s="55"/>
    </row>
    <row r="2099" hidden="1">
      <c r="A2099" s="55" t="s">
        <v>344</v>
      </c>
      <c r="B2099" s="55">
        <v>151.0</v>
      </c>
      <c r="C2099" s="55" t="s">
        <v>917</v>
      </c>
      <c r="E2099" s="55"/>
      <c r="F2099" s="55"/>
      <c r="G2099" s="55"/>
    </row>
    <row r="2100">
      <c r="A2100" s="55" t="s">
        <v>226</v>
      </c>
      <c r="B2100" s="55">
        <v>20.0</v>
      </c>
      <c r="C2100" s="55" t="s">
        <v>922</v>
      </c>
      <c r="E2100" s="55"/>
      <c r="F2100" s="55"/>
      <c r="G2100" s="55"/>
    </row>
    <row r="2101" hidden="1">
      <c r="A2101" s="55" t="s">
        <v>303</v>
      </c>
      <c r="B2101" s="55">
        <v>9.0</v>
      </c>
      <c r="C2101" s="55" t="s">
        <v>917</v>
      </c>
      <c r="E2101" s="55"/>
      <c r="F2101" s="55"/>
      <c r="G2101" s="55"/>
    </row>
    <row r="2102" hidden="1">
      <c r="A2102" s="55" t="s">
        <v>318</v>
      </c>
      <c r="B2102" s="55">
        <v>82.0</v>
      </c>
      <c r="C2102" s="55" t="s">
        <v>917</v>
      </c>
      <c r="E2102" s="55"/>
      <c r="F2102" s="55"/>
      <c r="G2102" s="55"/>
    </row>
    <row r="2103">
      <c r="A2103" s="55" t="s">
        <v>320</v>
      </c>
      <c r="B2103" s="55">
        <v>49.0</v>
      </c>
      <c r="C2103" s="55" t="s">
        <v>918</v>
      </c>
      <c r="E2103" s="55"/>
      <c r="F2103" s="55"/>
      <c r="G2103" s="55"/>
    </row>
    <row r="2104" hidden="1">
      <c r="A2104" s="55" t="s">
        <v>164</v>
      </c>
      <c r="B2104" s="55">
        <v>80.0</v>
      </c>
      <c r="C2104" s="55" t="s">
        <v>917</v>
      </c>
      <c r="E2104" s="55"/>
      <c r="F2104" s="55"/>
      <c r="G2104" s="55"/>
    </row>
    <row r="2105">
      <c r="A2105" s="55" t="s">
        <v>166</v>
      </c>
      <c r="B2105" s="55">
        <v>121.0</v>
      </c>
      <c r="C2105" s="55" t="s">
        <v>918</v>
      </c>
      <c r="E2105" s="55"/>
      <c r="F2105" s="55"/>
      <c r="G2105" s="55"/>
    </row>
    <row r="2106">
      <c r="A2106" s="55" t="s">
        <v>282</v>
      </c>
      <c r="B2106" s="55">
        <v>100.0</v>
      </c>
      <c r="C2106" s="55" t="s">
        <v>932</v>
      </c>
      <c r="E2106" s="55"/>
      <c r="F2106" s="55"/>
      <c r="G2106" s="55"/>
    </row>
    <row r="2107" hidden="1">
      <c r="A2107" s="55" t="s">
        <v>366</v>
      </c>
      <c r="B2107" s="55">
        <v>88.0</v>
      </c>
      <c r="C2107" s="55" t="s">
        <v>917</v>
      </c>
      <c r="E2107" s="55"/>
      <c r="F2107" s="55"/>
      <c r="G2107" s="55"/>
    </row>
    <row r="2108">
      <c r="A2108" s="55" t="s">
        <v>340</v>
      </c>
      <c r="B2108" s="55">
        <v>126.0</v>
      </c>
      <c r="C2108" s="55" t="s">
        <v>918</v>
      </c>
      <c r="E2108" s="55"/>
      <c r="F2108" s="55"/>
      <c r="G2108" s="55"/>
    </row>
    <row r="2109">
      <c r="A2109" s="55" t="s">
        <v>377</v>
      </c>
      <c r="B2109" s="55">
        <v>200.0</v>
      </c>
      <c r="C2109" s="55" t="s">
        <v>918</v>
      </c>
      <c r="E2109" s="55"/>
      <c r="F2109" s="55"/>
      <c r="G2109" s="55"/>
    </row>
    <row r="2110" hidden="1">
      <c r="A2110" s="55" t="s">
        <v>947</v>
      </c>
      <c r="B2110" s="55">
        <v>17.0</v>
      </c>
      <c r="C2110" s="55" t="s">
        <v>917</v>
      </c>
      <c r="E2110" s="55"/>
      <c r="F2110" s="55"/>
      <c r="G2110" s="55"/>
    </row>
    <row r="2111">
      <c r="A2111" s="55" t="s">
        <v>325</v>
      </c>
      <c r="B2111" s="55">
        <v>98.0</v>
      </c>
      <c r="C2111" s="55" t="s">
        <v>918</v>
      </c>
      <c r="E2111" s="55"/>
      <c r="F2111" s="55"/>
      <c r="G2111" s="55"/>
    </row>
    <row r="2112" hidden="1">
      <c r="A2112" s="55" t="s">
        <v>335</v>
      </c>
      <c r="B2112" s="55">
        <v>73.0</v>
      </c>
      <c r="C2112" s="55" t="s">
        <v>917</v>
      </c>
      <c r="E2112" s="55"/>
      <c r="F2112" s="55"/>
      <c r="G2112" s="55"/>
    </row>
    <row r="2113">
      <c r="A2113" s="55" t="s">
        <v>370</v>
      </c>
      <c r="B2113" s="55">
        <v>144.0</v>
      </c>
      <c r="C2113" s="55" t="s">
        <v>918</v>
      </c>
      <c r="E2113" s="55"/>
      <c r="F2113" s="55"/>
      <c r="G2113" s="55"/>
    </row>
    <row r="2114">
      <c r="A2114" s="55" t="s">
        <v>234</v>
      </c>
      <c r="B2114" s="55">
        <v>18.0</v>
      </c>
      <c r="C2114" s="55" t="s">
        <v>918</v>
      </c>
      <c r="E2114" s="55"/>
      <c r="F2114" s="55"/>
      <c r="G2114" s="55"/>
    </row>
    <row r="2115">
      <c r="A2115" s="55" t="s">
        <v>264</v>
      </c>
      <c r="B2115" s="55">
        <v>43.0</v>
      </c>
      <c r="C2115" s="55" t="s">
        <v>918</v>
      </c>
      <c r="E2115" s="55"/>
      <c r="F2115" s="55"/>
      <c r="G2115" s="55"/>
    </row>
    <row r="2116">
      <c r="A2116" s="55" t="s">
        <v>241</v>
      </c>
      <c r="B2116" s="55">
        <v>288.0</v>
      </c>
      <c r="C2116" s="55" t="s">
        <v>918</v>
      </c>
      <c r="E2116" s="55"/>
      <c r="F2116" s="55"/>
      <c r="G2116" s="55"/>
    </row>
    <row r="2117" hidden="1">
      <c r="A2117" s="55" t="s">
        <v>286</v>
      </c>
      <c r="B2117" s="55">
        <v>117.0</v>
      </c>
      <c r="C2117" s="55" t="s">
        <v>917</v>
      </c>
      <c r="E2117" s="55"/>
      <c r="F2117" s="55"/>
      <c r="G2117" s="55"/>
    </row>
    <row r="2118" hidden="1">
      <c r="A2118" s="55" t="s">
        <v>294</v>
      </c>
      <c r="B2118" s="55">
        <v>20.0</v>
      </c>
      <c r="C2118" s="55" t="s">
        <v>917</v>
      </c>
      <c r="E2118" s="55"/>
      <c r="F2118" s="55"/>
      <c r="G2118" s="55"/>
    </row>
    <row r="2119" hidden="1">
      <c r="A2119" s="55" t="s">
        <v>355</v>
      </c>
      <c r="B2119" s="55">
        <v>90.0</v>
      </c>
      <c r="C2119" s="55" t="s">
        <v>917</v>
      </c>
      <c r="E2119" s="55"/>
      <c r="F2119" s="55"/>
      <c r="G2119" s="55"/>
    </row>
    <row r="2120" hidden="1">
      <c r="A2120" s="55" t="s">
        <v>364</v>
      </c>
      <c r="B2120" s="55">
        <v>38.0</v>
      </c>
      <c r="C2120" s="55" t="s">
        <v>917</v>
      </c>
      <c r="E2120" s="55"/>
      <c r="F2120" s="55"/>
      <c r="G2120" s="55"/>
    </row>
    <row r="2121">
      <c r="A2121" s="55" t="s">
        <v>251</v>
      </c>
      <c r="B2121" s="55">
        <v>22.0</v>
      </c>
      <c r="C2121" s="55" t="s">
        <v>922</v>
      </c>
      <c r="E2121" s="55"/>
      <c r="F2121" s="55"/>
      <c r="G2121" s="55"/>
    </row>
    <row r="2122">
      <c r="A2122" s="55" t="s">
        <v>252</v>
      </c>
      <c r="B2122" s="55">
        <v>695.0</v>
      </c>
      <c r="C2122" s="55" t="s">
        <v>918</v>
      </c>
      <c r="E2122" s="55"/>
      <c r="F2122" s="55"/>
      <c r="G2122" s="55"/>
    </row>
    <row r="2123" hidden="1">
      <c r="A2123" s="55" t="s">
        <v>175</v>
      </c>
      <c r="B2123" s="55">
        <v>120.0</v>
      </c>
      <c r="C2123" s="55" t="s">
        <v>917</v>
      </c>
      <c r="E2123" s="55"/>
      <c r="F2123" s="55"/>
      <c r="G2123" s="55"/>
    </row>
    <row r="2124" hidden="1">
      <c r="A2124" s="55" t="s">
        <v>337</v>
      </c>
      <c r="B2124" s="55">
        <v>63.0</v>
      </c>
      <c r="C2124" s="55" t="s">
        <v>917</v>
      </c>
      <c r="E2124" s="55"/>
      <c r="F2124" s="55"/>
      <c r="G2124" s="55"/>
    </row>
    <row r="2125" hidden="1">
      <c r="A2125" s="55" t="s">
        <v>354</v>
      </c>
      <c r="B2125" s="55">
        <v>100.0</v>
      </c>
      <c r="C2125" s="55" t="s">
        <v>917</v>
      </c>
      <c r="E2125" s="55"/>
      <c r="F2125" s="55"/>
      <c r="G2125" s="55"/>
    </row>
    <row r="2126" hidden="1">
      <c r="A2126" s="55" t="s">
        <v>259</v>
      </c>
      <c r="B2126" s="55">
        <v>18.0</v>
      </c>
      <c r="C2126" s="55" t="s">
        <v>917</v>
      </c>
      <c r="E2126" s="55"/>
      <c r="F2126" s="55"/>
      <c r="G2126" s="55"/>
    </row>
    <row r="2127" hidden="1">
      <c r="A2127" s="55" t="s">
        <v>185</v>
      </c>
      <c r="B2127" s="55">
        <v>230.0</v>
      </c>
      <c r="C2127" s="55" t="s">
        <v>917</v>
      </c>
      <c r="E2127" s="55"/>
      <c r="F2127" s="55"/>
      <c r="G2127" s="55"/>
    </row>
    <row r="2128">
      <c r="A2128" s="55" t="s">
        <v>223</v>
      </c>
      <c r="B2128" s="55">
        <v>96.0</v>
      </c>
      <c r="C2128" s="55" t="s">
        <v>918</v>
      </c>
      <c r="E2128" s="55"/>
      <c r="F2128" s="55"/>
      <c r="G2128" s="55"/>
    </row>
    <row r="2129" hidden="1">
      <c r="A2129" s="55" t="s">
        <v>359</v>
      </c>
      <c r="B2129" s="55">
        <v>20.0</v>
      </c>
      <c r="C2129" s="55" t="s">
        <v>917</v>
      </c>
      <c r="E2129" s="55"/>
      <c r="F2129" s="55"/>
      <c r="G2129" s="55"/>
    </row>
    <row r="2130">
      <c r="A2130" s="55" t="s">
        <v>350</v>
      </c>
      <c r="B2130" s="55">
        <v>51.0</v>
      </c>
      <c r="C2130" s="55" t="s">
        <v>918</v>
      </c>
      <c r="E2130" s="55"/>
      <c r="F2130" s="55"/>
      <c r="G2130" s="55"/>
    </row>
    <row r="2131">
      <c r="A2131" s="55" t="s">
        <v>313</v>
      </c>
      <c r="B2131" s="55">
        <v>6.0</v>
      </c>
      <c r="C2131" s="55" t="s">
        <v>922</v>
      </c>
      <c r="E2131" s="55"/>
      <c r="F2131" s="55"/>
      <c r="G2131" s="55"/>
    </row>
    <row r="2132">
      <c r="A2132" s="55" t="s">
        <v>230</v>
      </c>
      <c r="B2132" s="55">
        <v>100.0</v>
      </c>
      <c r="C2132" s="55" t="s">
        <v>922</v>
      </c>
      <c r="E2132" s="55"/>
      <c r="F2132" s="55"/>
      <c r="G2132" s="55"/>
    </row>
    <row r="2133">
      <c r="A2133" s="55" t="s">
        <v>231</v>
      </c>
      <c r="B2133" s="55">
        <v>38.0</v>
      </c>
      <c r="C2133" s="55" t="s">
        <v>918</v>
      </c>
      <c r="E2133" s="55"/>
      <c r="F2133" s="55"/>
      <c r="G2133" s="55"/>
    </row>
    <row r="2134" hidden="1">
      <c r="A2134" s="55" t="s">
        <v>247</v>
      </c>
      <c r="B2134" s="55">
        <v>20.0</v>
      </c>
      <c r="C2134" s="55" t="s">
        <v>917</v>
      </c>
      <c r="E2134" s="55"/>
      <c r="F2134" s="55"/>
      <c r="G2134" s="55"/>
    </row>
    <row r="2135">
      <c r="A2135" s="55" t="s">
        <v>250</v>
      </c>
      <c r="B2135" s="55">
        <v>5.0</v>
      </c>
      <c r="C2135" s="55" t="s">
        <v>932</v>
      </c>
      <c r="E2135" s="55"/>
      <c r="F2135" s="55"/>
      <c r="G2135" s="55"/>
    </row>
    <row r="2136" hidden="1">
      <c r="A2136" s="55" t="s">
        <v>309</v>
      </c>
      <c r="B2136" s="55">
        <v>60.0</v>
      </c>
      <c r="C2136" s="55" t="s">
        <v>917</v>
      </c>
      <c r="E2136" s="55"/>
      <c r="F2136" s="55"/>
      <c r="G2136" s="55"/>
    </row>
    <row r="2137" hidden="1">
      <c r="A2137" s="55" t="s">
        <v>293</v>
      </c>
      <c r="B2137" s="55">
        <v>10.0</v>
      </c>
      <c r="C2137" s="55" t="s">
        <v>917</v>
      </c>
      <c r="E2137" s="55"/>
      <c r="F2137" s="55"/>
      <c r="G2137" s="55"/>
    </row>
    <row r="2138" hidden="1">
      <c r="A2138" s="55" t="s">
        <v>176</v>
      </c>
      <c r="B2138" s="55">
        <v>181.0</v>
      </c>
      <c r="C2138" s="55" t="s">
        <v>917</v>
      </c>
      <c r="E2138" s="55"/>
      <c r="F2138" s="55"/>
      <c r="G2138" s="55"/>
    </row>
    <row r="2139">
      <c r="A2139" s="55" t="s">
        <v>257</v>
      </c>
      <c r="B2139" s="55">
        <v>11.0</v>
      </c>
      <c r="C2139" s="55" t="s">
        <v>932</v>
      </c>
      <c r="E2139" s="55"/>
      <c r="F2139" s="55"/>
      <c r="G2139" s="55"/>
    </row>
    <row r="2140">
      <c r="A2140" s="55" t="s">
        <v>262</v>
      </c>
      <c r="B2140" s="55">
        <v>20.0</v>
      </c>
      <c r="C2140" s="55" t="s">
        <v>922</v>
      </c>
      <c r="E2140" s="55"/>
      <c r="F2140" s="55"/>
      <c r="G2140" s="55"/>
    </row>
    <row r="2141" hidden="1">
      <c r="A2141" s="55" t="s">
        <v>205</v>
      </c>
      <c r="B2141" s="55">
        <v>100.0</v>
      </c>
      <c r="C2141" s="55" t="s">
        <v>917</v>
      </c>
      <c r="E2141" s="55"/>
      <c r="F2141" s="55"/>
      <c r="G2141" s="55"/>
    </row>
    <row r="2142">
      <c r="A2142" s="55" t="s">
        <v>207</v>
      </c>
      <c r="B2142" s="55">
        <v>60.0</v>
      </c>
      <c r="C2142" s="55" t="s">
        <v>918</v>
      </c>
      <c r="E2142" s="55"/>
      <c r="F2142" s="55"/>
      <c r="G2142" s="55"/>
    </row>
    <row r="2143" hidden="1">
      <c r="A2143" s="55" t="s">
        <v>170</v>
      </c>
      <c r="B2143" s="55">
        <v>100.0</v>
      </c>
      <c r="C2143" s="55" t="s">
        <v>917</v>
      </c>
      <c r="E2143" s="55"/>
      <c r="F2143" s="55"/>
      <c r="G2143" s="55"/>
    </row>
    <row r="2144">
      <c r="A2144" s="55" t="s">
        <v>173</v>
      </c>
      <c r="B2144" s="55">
        <v>30.0</v>
      </c>
      <c r="C2144" s="55" t="s">
        <v>918</v>
      </c>
      <c r="E2144" s="55"/>
      <c r="F2144" s="55"/>
      <c r="G2144" s="55"/>
    </row>
    <row r="2145" hidden="1">
      <c r="A2145" s="55" t="s">
        <v>219</v>
      </c>
      <c r="B2145" s="55">
        <v>30.0</v>
      </c>
      <c r="C2145" s="55" t="s">
        <v>917</v>
      </c>
      <c r="E2145" s="55"/>
      <c r="F2145" s="55"/>
      <c r="G2145" s="55"/>
    </row>
    <row r="2146" hidden="1">
      <c r="A2146" s="55" t="s">
        <v>192</v>
      </c>
      <c r="B2146" s="55">
        <v>30.0</v>
      </c>
      <c r="C2146" s="55" t="s">
        <v>917</v>
      </c>
      <c r="E2146" s="55"/>
      <c r="F2146" s="55"/>
      <c r="G2146" s="55"/>
    </row>
    <row r="2147">
      <c r="A2147" s="55" t="s">
        <v>300</v>
      </c>
      <c r="B2147" s="55">
        <v>10.0</v>
      </c>
      <c r="C2147" s="55" t="s">
        <v>932</v>
      </c>
      <c r="E2147" s="55"/>
      <c r="F2147" s="55"/>
      <c r="G2147" s="55"/>
    </row>
    <row r="2148" hidden="1">
      <c r="A2148" s="55" t="s">
        <v>418</v>
      </c>
      <c r="B2148" s="55">
        <v>20.0</v>
      </c>
      <c r="C2148" s="55" t="s">
        <v>917</v>
      </c>
      <c r="E2148" s="55"/>
      <c r="F2148" s="55"/>
      <c r="G2148" s="55"/>
    </row>
    <row r="2149" hidden="1">
      <c r="A2149" s="55" t="s">
        <v>347</v>
      </c>
      <c r="B2149" s="55">
        <v>30.0</v>
      </c>
      <c r="C2149" s="55" t="s">
        <v>917</v>
      </c>
      <c r="E2149" s="55"/>
      <c r="F2149" s="55"/>
      <c r="G2149" s="55"/>
    </row>
    <row r="2150">
      <c r="A2150" s="55" t="s">
        <v>199</v>
      </c>
      <c r="B2150" s="55">
        <v>10.0</v>
      </c>
      <c r="C2150" s="55" t="s">
        <v>931</v>
      </c>
      <c r="E2150" s="55"/>
      <c r="F2150" s="55"/>
      <c r="G2150" s="55"/>
    </row>
    <row r="2151">
      <c r="A2151" s="55" t="s">
        <v>301</v>
      </c>
      <c r="B2151" s="55">
        <v>20.0</v>
      </c>
      <c r="C2151" s="55" t="s">
        <v>932</v>
      </c>
      <c r="E2151" s="55"/>
      <c r="F2151" s="55"/>
      <c r="G2151" s="55"/>
    </row>
    <row r="2152" hidden="1">
      <c r="A2152" s="55" t="s">
        <v>315</v>
      </c>
      <c r="B2152" s="55">
        <v>10.0</v>
      </c>
      <c r="C2152" s="55" t="s">
        <v>917</v>
      </c>
      <c r="E2152" s="55"/>
      <c r="F2152" s="55"/>
      <c r="G2152" s="55"/>
    </row>
    <row r="2153" hidden="1">
      <c r="A2153" s="55" t="s">
        <v>344</v>
      </c>
      <c r="B2153" s="55">
        <v>40.0</v>
      </c>
      <c r="C2153" s="55" t="s">
        <v>917</v>
      </c>
      <c r="E2153" s="55"/>
      <c r="F2153" s="55"/>
      <c r="G2153" s="55"/>
    </row>
    <row r="2154" hidden="1">
      <c r="A2154" s="55" t="s">
        <v>374</v>
      </c>
      <c r="B2154" s="55">
        <v>30.0</v>
      </c>
      <c r="C2154" s="55" t="s">
        <v>917</v>
      </c>
      <c r="E2154" s="55"/>
      <c r="F2154" s="55"/>
      <c r="G2154" s="55"/>
    </row>
    <row r="2155">
      <c r="A2155" s="55" t="s">
        <v>242</v>
      </c>
      <c r="B2155" s="55">
        <v>20.0</v>
      </c>
      <c r="C2155" s="55" t="s">
        <v>918</v>
      </c>
      <c r="E2155" s="55"/>
      <c r="F2155" s="55"/>
      <c r="G2155" s="55"/>
    </row>
    <row r="2156">
      <c r="A2156" s="55" t="s">
        <v>226</v>
      </c>
      <c r="B2156" s="55">
        <v>40.0</v>
      </c>
      <c r="C2156" s="55" t="s">
        <v>922</v>
      </c>
      <c r="E2156" s="55"/>
      <c r="F2156" s="55"/>
      <c r="G2156" s="55"/>
    </row>
    <row r="2157" hidden="1">
      <c r="A2157" s="55" t="s">
        <v>200</v>
      </c>
      <c r="B2157" s="55">
        <v>30.0</v>
      </c>
      <c r="C2157" s="55" t="s">
        <v>917</v>
      </c>
      <c r="E2157" s="55"/>
      <c r="F2157" s="55"/>
      <c r="G2157" s="55"/>
    </row>
    <row r="2158" hidden="1">
      <c r="A2158" s="55" t="s">
        <v>236</v>
      </c>
      <c r="B2158" s="55">
        <v>40.0</v>
      </c>
      <c r="C2158" s="55" t="s">
        <v>917</v>
      </c>
      <c r="E2158" s="55"/>
      <c r="F2158" s="55"/>
      <c r="G2158" s="55"/>
    </row>
    <row r="2159" hidden="1">
      <c r="A2159" s="55" t="s">
        <v>318</v>
      </c>
      <c r="B2159" s="55">
        <v>80.0</v>
      </c>
      <c r="C2159" s="55" t="s">
        <v>917</v>
      </c>
      <c r="E2159" s="55"/>
      <c r="F2159" s="55"/>
      <c r="G2159" s="55"/>
    </row>
    <row r="2160" hidden="1">
      <c r="A2160" s="55" t="s">
        <v>164</v>
      </c>
      <c r="B2160" s="55">
        <v>60.0</v>
      </c>
      <c r="C2160" s="55" t="s">
        <v>917</v>
      </c>
      <c r="E2160" s="55"/>
      <c r="F2160" s="55"/>
      <c r="G2160" s="55"/>
    </row>
    <row r="2161">
      <c r="A2161" s="55" t="s">
        <v>166</v>
      </c>
      <c r="B2161" s="55">
        <v>30.0</v>
      </c>
      <c r="C2161" s="55" t="s">
        <v>918</v>
      </c>
      <c r="E2161" s="55"/>
      <c r="F2161" s="55"/>
      <c r="G2161" s="55"/>
    </row>
    <row r="2162">
      <c r="A2162" s="55" t="s">
        <v>307</v>
      </c>
      <c r="B2162" s="55">
        <v>20.0</v>
      </c>
      <c r="C2162" s="55" t="s">
        <v>918</v>
      </c>
      <c r="E2162" s="55"/>
      <c r="F2162" s="55"/>
      <c r="G2162" s="55"/>
    </row>
    <row r="2163">
      <c r="A2163" s="55" t="s">
        <v>282</v>
      </c>
      <c r="B2163" s="55">
        <v>20.0</v>
      </c>
      <c r="C2163" s="55" t="s">
        <v>932</v>
      </c>
      <c r="E2163" s="55"/>
      <c r="F2163" s="55"/>
      <c r="G2163" s="55"/>
    </row>
    <row r="2164">
      <c r="A2164" s="55" t="s">
        <v>340</v>
      </c>
      <c r="B2164" s="55">
        <v>32.0</v>
      </c>
      <c r="C2164" s="55" t="s">
        <v>918</v>
      </c>
      <c r="E2164" s="55"/>
      <c r="F2164" s="55"/>
      <c r="G2164" s="55"/>
    </row>
    <row r="2165">
      <c r="A2165" s="55" t="s">
        <v>377</v>
      </c>
      <c r="B2165" s="55">
        <v>40.0</v>
      </c>
      <c r="C2165" s="55" t="s">
        <v>918</v>
      </c>
      <c r="E2165" s="55"/>
      <c r="F2165" s="55"/>
      <c r="G2165" s="55"/>
    </row>
    <row r="2166" hidden="1">
      <c r="A2166" s="55" t="s">
        <v>947</v>
      </c>
      <c r="B2166" s="55">
        <v>32.0</v>
      </c>
      <c r="C2166" s="55" t="s">
        <v>917</v>
      </c>
      <c r="E2166" s="55"/>
      <c r="F2166" s="55"/>
      <c r="G2166" s="55"/>
    </row>
    <row r="2167">
      <c r="A2167" s="55" t="s">
        <v>325</v>
      </c>
      <c r="B2167" s="55">
        <v>60.0</v>
      </c>
      <c r="C2167" s="55" t="s">
        <v>918</v>
      </c>
      <c r="E2167" s="55"/>
      <c r="F2167" s="55"/>
      <c r="G2167" s="55"/>
    </row>
    <row r="2168" hidden="1">
      <c r="A2168" s="55" t="s">
        <v>334</v>
      </c>
      <c r="B2168" s="55">
        <v>32.0</v>
      </c>
      <c r="C2168" s="55" t="s">
        <v>917</v>
      </c>
      <c r="E2168" s="55"/>
      <c r="F2168" s="55"/>
      <c r="G2168" s="55"/>
    </row>
    <row r="2169" hidden="1">
      <c r="A2169" s="55" t="s">
        <v>335</v>
      </c>
      <c r="B2169" s="55">
        <v>36.0</v>
      </c>
      <c r="C2169" s="55" t="s">
        <v>917</v>
      </c>
      <c r="E2169" s="55"/>
      <c r="F2169" s="55"/>
      <c r="G2169" s="55"/>
    </row>
    <row r="2170">
      <c r="A2170" s="55" t="s">
        <v>370</v>
      </c>
      <c r="B2170" s="55">
        <v>15.0</v>
      </c>
      <c r="C2170" s="55" t="s">
        <v>918</v>
      </c>
      <c r="E2170" s="55"/>
      <c r="F2170" s="55"/>
      <c r="G2170" s="55"/>
    </row>
    <row r="2171">
      <c r="A2171" s="55" t="s">
        <v>196</v>
      </c>
      <c r="B2171" s="55">
        <v>30.0</v>
      </c>
      <c r="C2171" s="55" t="s">
        <v>918</v>
      </c>
      <c r="E2171" s="55"/>
      <c r="F2171" s="55"/>
      <c r="G2171" s="55"/>
    </row>
    <row r="2172">
      <c r="A2172" s="55" t="s">
        <v>241</v>
      </c>
      <c r="B2172" s="55">
        <v>40.0</v>
      </c>
      <c r="C2172" s="55" t="s">
        <v>918</v>
      </c>
      <c r="E2172" s="55"/>
      <c r="F2172" s="55"/>
      <c r="G2172" s="55"/>
    </row>
    <row r="2173" hidden="1">
      <c r="A2173" s="55" t="s">
        <v>292</v>
      </c>
      <c r="B2173" s="55">
        <v>20.0</v>
      </c>
      <c r="C2173" s="55" t="s">
        <v>917</v>
      </c>
      <c r="E2173" s="55"/>
      <c r="F2173" s="55"/>
      <c r="G2173" s="55"/>
    </row>
    <row r="2174" hidden="1">
      <c r="A2174" s="55" t="s">
        <v>286</v>
      </c>
      <c r="B2174" s="55">
        <v>27.0</v>
      </c>
      <c r="C2174" s="55" t="s">
        <v>917</v>
      </c>
      <c r="E2174" s="55"/>
      <c r="F2174" s="55"/>
      <c r="G2174" s="55"/>
    </row>
    <row r="2175" hidden="1">
      <c r="A2175" s="55" t="s">
        <v>294</v>
      </c>
      <c r="B2175" s="55">
        <v>20.0</v>
      </c>
      <c r="C2175" s="55" t="s">
        <v>917</v>
      </c>
      <c r="E2175" s="55"/>
      <c r="F2175" s="55"/>
      <c r="G2175" s="55"/>
    </row>
    <row r="2176" hidden="1">
      <c r="A2176" s="55" t="s">
        <v>291</v>
      </c>
      <c r="B2176" s="55">
        <v>20.0</v>
      </c>
      <c r="C2176" s="55" t="s">
        <v>917</v>
      </c>
      <c r="E2176" s="55"/>
      <c r="F2176" s="55"/>
      <c r="G2176" s="55"/>
    </row>
    <row r="2177" hidden="1">
      <c r="A2177" s="55" t="s">
        <v>355</v>
      </c>
      <c r="B2177" s="55">
        <v>20.0</v>
      </c>
      <c r="C2177" s="55" t="s">
        <v>917</v>
      </c>
      <c r="E2177" s="55"/>
      <c r="F2177" s="55"/>
      <c r="G2177" s="55"/>
    </row>
    <row r="2178">
      <c r="A2178" s="55" t="s">
        <v>251</v>
      </c>
      <c r="B2178" s="55">
        <v>20.0</v>
      </c>
      <c r="C2178" s="55" t="s">
        <v>922</v>
      </c>
      <c r="E2178" s="55"/>
      <c r="F2178" s="55"/>
      <c r="G2178" s="55"/>
    </row>
    <row r="2179" hidden="1">
      <c r="A2179" s="55" t="s">
        <v>243</v>
      </c>
      <c r="B2179" s="55">
        <v>20.0</v>
      </c>
      <c r="C2179" s="55" t="s">
        <v>917</v>
      </c>
      <c r="E2179" s="55"/>
      <c r="F2179" s="55"/>
      <c r="G2179" s="55"/>
    </row>
    <row r="2180">
      <c r="A2180" s="55" t="s">
        <v>252</v>
      </c>
      <c r="B2180" s="55">
        <v>144.0</v>
      </c>
      <c r="C2180" s="55" t="s">
        <v>918</v>
      </c>
      <c r="E2180" s="55"/>
      <c r="F2180" s="55"/>
      <c r="G2180" s="55"/>
    </row>
    <row r="2181">
      <c r="A2181" s="55" t="s">
        <v>373</v>
      </c>
      <c r="B2181" s="55">
        <v>80.0</v>
      </c>
      <c r="C2181" s="55" t="s">
        <v>925</v>
      </c>
      <c r="E2181" s="55"/>
      <c r="F2181" s="55"/>
      <c r="G2181" s="55"/>
    </row>
    <row r="2182">
      <c r="A2182" s="55" t="s">
        <v>369</v>
      </c>
      <c r="B2182" s="55">
        <v>30.0</v>
      </c>
      <c r="C2182" s="55" t="s">
        <v>918</v>
      </c>
      <c r="E2182" s="55"/>
      <c r="F2182" s="55"/>
      <c r="G2182" s="55"/>
    </row>
    <row r="2183">
      <c r="A2183" s="55" t="s">
        <v>256</v>
      </c>
      <c r="B2183" s="55">
        <v>20.0</v>
      </c>
      <c r="C2183" s="55" t="s">
        <v>918</v>
      </c>
      <c r="E2183" s="55"/>
      <c r="F2183" s="55"/>
      <c r="G2183" s="55"/>
    </row>
    <row r="2184">
      <c r="A2184" s="55" t="s">
        <v>356</v>
      </c>
      <c r="B2184" s="55">
        <v>20.0</v>
      </c>
      <c r="C2184" s="55" t="s">
        <v>918</v>
      </c>
      <c r="E2184" s="55"/>
      <c r="F2184" s="55"/>
      <c r="G2184" s="55"/>
    </row>
    <row r="2185" hidden="1">
      <c r="A2185" s="55" t="s">
        <v>354</v>
      </c>
      <c r="B2185" s="55">
        <v>20.0</v>
      </c>
      <c r="C2185" s="55" t="s">
        <v>917</v>
      </c>
      <c r="E2185" s="55"/>
      <c r="F2185" s="55"/>
      <c r="G2185" s="55"/>
    </row>
    <row r="2186" hidden="1">
      <c r="A2186" s="55" t="s">
        <v>259</v>
      </c>
      <c r="B2186" s="55">
        <v>20.0</v>
      </c>
      <c r="C2186" s="55" t="s">
        <v>917</v>
      </c>
      <c r="E2186" s="55"/>
      <c r="F2186" s="55"/>
      <c r="G2186" s="55"/>
    </row>
    <row r="2187" hidden="1">
      <c r="A2187" s="55" t="s">
        <v>185</v>
      </c>
      <c r="B2187" s="55">
        <v>100.0</v>
      </c>
      <c r="C2187" s="55" t="s">
        <v>917</v>
      </c>
      <c r="E2187" s="55"/>
      <c r="F2187" s="55"/>
      <c r="G2187" s="55"/>
    </row>
    <row r="2188">
      <c r="A2188" s="55" t="s">
        <v>223</v>
      </c>
      <c r="B2188" s="55">
        <v>32.0</v>
      </c>
      <c r="C2188" s="55" t="s">
        <v>918</v>
      </c>
      <c r="E2188" s="55"/>
      <c r="F2188" s="55"/>
      <c r="G2188" s="55"/>
    </row>
    <row r="2189" hidden="1">
      <c r="A2189" s="55" t="s">
        <v>179</v>
      </c>
      <c r="B2189" s="55">
        <v>30.0</v>
      </c>
      <c r="C2189" s="55" t="s">
        <v>917</v>
      </c>
      <c r="E2189" s="55"/>
      <c r="F2189" s="55"/>
      <c r="G2189" s="55"/>
    </row>
    <row r="2190">
      <c r="A2190" s="55" t="s">
        <v>350</v>
      </c>
      <c r="B2190" s="55">
        <v>20.0</v>
      </c>
      <c r="C2190" s="55" t="s">
        <v>918</v>
      </c>
      <c r="E2190" s="55"/>
      <c r="F2190" s="55"/>
      <c r="G2190" s="55"/>
    </row>
    <row r="2191" hidden="1">
      <c r="A2191" s="55" t="s">
        <v>239</v>
      </c>
      <c r="B2191" s="55">
        <v>60.0</v>
      </c>
      <c r="C2191" s="55" t="s">
        <v>917</v>
      </c>
      <c r="E2191" s="55"/>
      <c r="F2191" s="55"/>
      <c r="G2191" s="55"/>
    </row>
    <row r="2192">
      <c r="A2192" s="55" t="s">
        <v>230</v>
      </c>
      <c r="B2192" s="55">
        <v>150.0</v>
      </c>
      <c r="C2192" s="55" t="s">
        <v>922</v>
      </c>
      <c r="E2192" s="55"/>
      <c r="F2192" s="55"/>
      <c r="G2192" s="55"/>
    </row>
    <row r="2193">
      <c r="A2193" s="55" t="s">
        <v>231</v>
      </c>
      <c r="B2193" s="55">
        <v>30.0</v>
      </c>
      <c r="C2193" s="55" t="s">
        <v>918</v>
      </c>
      <c r="E2193" s="55"/>
      <c r="F2193" s="55"/>
      <c r="G2193" s="55"/>
    </row>
    <row r="2194" hidden="1">
      <c r="A2194" s="55" t="s">
        <v>273</v>
      </c>
      <c r="B2194" s="55">
        <v>20.0</v>
      </c>
      <c r="C2194" s="55" t="s">
        <v>917</v>
      </c>
      <c r="E2194" s="55"/>
      <c r="F2194" s="55"/>
      <c r="G2194" s="55"/>
    </row>
    <row r="2195" hidden="1">
      <c r="A2195" s="55" t="s">
        <v>293</v>
      </c>
      <c r="B2195" s="55">
        <v>10.0</v>
      </c>
      <c r="C2195" s="55" t="s">
        <v>917</v>
      </c>
      <c r="E2195" s="55"/>
      <c r="F2195" s="55"/>
      <c r="G2195" s="55"/>
    </row>
    <row r="2196" hidden="1">
      <c r="A2196" s="55" t="s">
        <v>176</v>
      </c>
      <c r="B2196" s="55">
        <v>80.0</v>
      </c>
      <c r="C2196" s="55" t="s">
        <v>917</v>
      </c>
      <c r="E2196" s="55"/>
      <c r="F2196" s="55"/>
      <c r="G2196" s="55"/>
    </row>
    <row r="2197">
      <c r="A2197" s="55" t="s">
        <v>347</v>
      </c>
      <c r="B2197" s="55">
        <v>600.0</v>
      </c>
      <c r="C2197" s="55" t="s">
        <v>918</v>
      </c>
      <c r="E2197" s="55"/>
      <c r="F2197" s="55"/>
      <c r="G2197" s="55"/>
    </row>
    <row r="2198">
      <c r="A2198" s="55" t="s">
        <v>275</v>
      </c>
      <c r="B2198" s="55">
        <v>768.0</v>
      </c>
      <c r="C2198" s="55" t="s">
        <v>918</v>
      </c>
      <c r="E2198" s="55"/>
      <c r="F2198" s="55"/>
      <c r="G2198" s="55"/>
    </row>
    <row r="2199">
      <c r="A2199" s="55" t="s">
        <v>374</v>
      </c>
      <c r="B2199" s="55">
        <v>500.0</v>
      </c>
      <c r="C2199" s="55" t="s">
        <v>918</v>
      </c>
      <c r="E2199" s="55"/>
      <c r="F2199" s="55"/>
      <c r="G2199" s="55"/>
    </row>
    <row r="2200">
      <c r="A2200" s="55" t="s">
        <v>366</v>
      </c>
      <c r="B2200" s="55">
        <v>200.0</v>
      </c>
      <c r="C2200" s="55" t="s">
        <v>918</v>
      </c>
      <c r="E2200" s="55"/>
      <c r="F2200" s="55"/>
      <c r="G2200" s="55"/>
    </row>
    <row r="2201">
      <c r="A2201" s="55" t="s">
        <v>340</v>
      </c>
      <c r="B2201" s="55">
        <v>288.0</v>
      </c>
      <c r="C2201" s="55" t="s">
        <v>918</v>
      </c>
      <c r="E2201" s="55"/>
      <c r="F2201" s="55"/>
      <c r="G2201" s="55"/>
    </row>
    <row r="2202">
      <c r="A2202" s="55" t="s">
        <v>162</v>
      </c>
      <c r="B2202" s="55">
        <v>600.0</v>
      </c>
      <c r="C2202" s="55" t="s">
        <v>918</v>
      </c>
      <c r="E2202" s="55"/>
      <c r="F2202" s="55"/>
      <c r="G2202" s="55"/>
    </row>
    <row r="2203">
      <c r="A2203" s="55" t="s">
        <v>947</v>
      </c>
      <c r="B2203" s="55">
        <v>600.0</v>
      </c>
      <c r="C2203" s="55" t="s">
        <v>918</v>
      </c>
      <c r="E2203" s="55"/>
      <c r="F2203" s="55"/>
      <c r="G2203" s="55"/>
    </row>
    <row r="2204">
      <c r="A2204" s="55" t="s">
        <v>325</v>
      </c>
      <c r="B2204" s="55">
        <v>1728.0</v>
      </c>
      <c r="C2204" s="55" t="s">
        <v>918</v>
      </c>
      <c r="E2204" s="55"/>
      <c r="F2204" s="55"/>
      <c r="G2204" s="55"/>
    </row>
    <row r="2205">
      <c r="A2205" s="55" t="s">
        <v>183</v>
      </c>
      <c r="B2205" s="55">
        <v>1152.0</v>
      </c>
      <c r="C2205" s="55" t="s">
        <v>918</v>
      </c>
      <c r="E2205" s="55"/>
      <c r="F2205" s="55"/>
      <c r="G2205" s="55"/>
    </row>
    <row r="2206">
      <c r="A2206" s="55" t="s">
        <v>355</v>
      </c>
      <c r="B2206" s="55">
        <v>1000.0</v>
      </c>
      <c r="C2206" s="55" t="s">
        <v>918</v>
      </c>
      <c r="E2206" s="55"/>
      <c r="F2206" s="55"/>
      <c r="G2206" s="55"/>
    </row>
    <row r="2207">
      <c r="A2207" s="55" t="s">
        <v>373</v>
      </c>
      <c r="B2207" s="55">
        <v>432.0</v>
      </c>
      <c r="C2207" s="55" t="s">
        <v>925</v>
      </c>
      <c r="E2207" s="55"/>
      <c r="F2207" s="55"/>
      <c r="G2207" s="55"/>
    </row>
    <row r="2208">
      <c r="A2208" s="55" t="s">
        <v>352</v>
      </c>
      <c r="B2208" s="55">
        <v>200.0</v>
      </c>
      <c r="C2208" s="55" t="s">
        <v>918</v>
      </c>
      <c r="E2208" s="55"/>
      <c r="F2208" s="55"/>
      <c r="G2208" s="55"/>
    </row>
    <row r="2209">
      <c r="A2209" s="55" t="s">
        <v>337</v>
      </c>
      <c r="B2209" s="55">
        <v>400.0</v>
      </c>
      <c r="C2209" s="55" t="s">
        <v>918</v>
      </c>
      <c r="E2209" s="55"/>
      <c r="F2209" s="55"/>
      <c r="G2209" s="55"/>
    </row>
    <row r="2210">
      <c r="A2210" s="55" t="s">
        <v>259</v>
      </c>
      <c r="B2210" s="55">
        <v>384.0</v>
      </c>
      <c r="C2210" s="55" t="s">
        <v>918</v>
      </c>
      <c r="E2210" s="55"/>
      <c r="F2210" s="55"/>
      <c r="G2210" s="55"/>
    </row>
    <row r="2211" hidden="1">
      <c r="A2211" s="55" t="s">
        <v>134</v>
      </c>
      <c r="B2211" s="55">
        <v>300.0</v>
      </c>
      <c r="C2211" s="55" t="s">
        <v>917</v>
      </c>
      <c r="E2211" s="55"/>
      <c r="F2211" s="55"/>
      <c r="G2211" s="55"/>
    </row>
    <row r="2212">
      <c r="A2212" s="55" t="s">
        <v>115</v>
      </c>
      <c r="B2212" s="55">
        <v>288.0</v>
      </c>
      <c r="C2212" s="55" t="s">
        <v>918</v>
      </c>
      <c r="E2212" s="55"/>
      <c r="F2212" s="55"/>
      <c r="G2212" s="55"/>
    </row>
    <row r="2213">
      <c r="A2213" s="55" t="s">
        <v>207</v>
      </c>
      <c r="B2213" s="55">
        <v>50.0</v>
      </c>
      <c r="C2213" s="55" t="s">
        <v>918</v>
      </c>
      <c r="E2213" s="55"/>
      <c r="F2213" s="55"/>
      <c r="G2213" s="55"/>
    </row>
    <row r="2214" hidden="1">
      <c r="A2214" s="55" t="s">
        <v>219</v>
      </c>
      <c r="B2214" s="55">
        <v>27.0</v>
      </c>
      <c r="C2214" s="55" t="s">
        <v>917</v>
      </c>
      <c r="E2214" s="55"/>
      <c r="F2214" s="55"/>
      <c r="G2214" s="55"/>
    </row>
    <row r="2215" hidden="1">
      <c r="A2215" s="55" t="s">
        <v>192</v>
      </c>
      <c r="B2215" s="55">
        <v>24.0</v>
      </c>
      <c r="C2215" s="55" t="s">
        <v>917</v>
      </c>
      <c r="E2215" s="55"/>
      <c r="F2215" s="55"/>
      <c r="G2215" s="55"/>
    </row>
    <row r="2216" hidden="1">
      <c r="A2216" s="55" t="s">
        <v>315</v>
      </c>
      <c r="B2216" s="55">
        <v>13.0</v>
      </c>
      <c r="C2216" s="55" t="s">
        <v>917</v>
      </c>
      <c r="E2216" s="55"/>
      <c r="F2216" s="55"/>
      <c r="G2216" s="55"/>
    </row>
    <row r="2217">
      <c r="A2217" s="55" t="s">
        <v>226</v>
      </c>
      <c r="B2217" s="55">
        <v>26.0</v>
      </c>
      <c r="C2217" s="55" t="s">
        <v>922</v>
      </c>
      <c r="E2217" s="55"/>
      <c r="F2217" s="55"/>
      <c r="G2217" s="55"/>
    </row>
    <row r="2218" hidden="1">
      <c r="A2218" s="55" t="s">
        <v>200</v>
      </c>
      <c r="B2218" s="55">
        <v>14.0</v>
      </c>
      <c r="C2218" s="55" t="s">
        <v>917</v>
      </c>
      <c r="E2218" s="55"/>
      <c r="F2218" s="55"/>
      <c r="G2218" s="55"/>
    </row>
    <row r="2219">
      <c r="A2219" s="55" t="s">
        <v>282</v>
      </c>
      <c r="B2219" s="55">
        <v>100.0</v>
      </c>
      <c r="C2219" s="55" t="s">
        <v>932</v>
      </c>
      <c r="E2219" s="55"/>
      <c r="F2219" s="55"/>
      <c r="G2219" s="55"/>
    </row>
    <row r="2220">
      <c r="A2220" s="55" t="s">
        <v>283</v>
      </c>
      <c r="B2220" s="55">
        <v>60.0</v>
      </c>
      <c r="C2220" s="55" t="s">
        <v>933</v>
      </c>
      <c r="E2220" s="55"/>
      <c r="F2220" s="55"/>
      <c r="G2220" s="55"/>
    </row>
    <row r="2221">
      <c r="A2221" s="55" t="s">
        <v>340</v>
      </c>
      <c r="B2221" s="55">
        <v>22.0</v>
      </c>
      <c r="C2221" s="55" t="s">
        <v>918</v>
      </c>
      <c r="E2221" s="55"/>
      <c r="F2221" s="55"/>
      <c r="G2221" s="55"/>
    </row>
    <row r="2222" hidden="1">
      <c r="A2222" s="55" t="s">
        <v>947</v>
      </c>
      <c r="B2222" s="55">
        <v>16.0</v>
      </c>
      <c r="C2222" s="55" t="s">
        <v>917</v>
      </c>
      <c r="E2222" s="55"/>
      <c r="F2222" s="55"/>
      <c r="G2222" s="55"/>
    </row>
    <row r="2223" hidden="1">
      <c r="A2223" s="55" t="s">
        <v>183</v>
      </c>
      <c r="B2223" s="55">
        <v>32.0</v>
      </c>
      <c r="C2223" s="55" t="s">
        <v>917</v>
      </c>
      <c r="E2223" s="55"/>
      <c r="F2223" s="55"/>
      <c r="G2223" s="55"/>
    </row>
    <row r="2224">
      <c r="A2224" s="55" t="s">
        <v>196</v>
      </c>
      <c r="B2224" s="55">
        <v>10.0</v>
      </c>
      <c r="C2224" s="55" t="s">
        <v>918</v>
      </c>
      <c r="E2224" s="55"/>
      <c r="F2224" s="55"/>
      <c r="G2224" s="55"/>
    </row>
    <row r="2225" hidden="1">
      <c r="A2225" s="55" t="s">
        <v>286</v>
      </c>
      <c r="B2225" s="55">
        <v>30.0</v>
      </c>
      <c r="C2225" s="55" t="s">
        <v>917</v>
      </c>
      <c r="E2225" s="55"/>
      <c r="F2225" s="55"/>
      <c r="G2225" s="55"/>
    </row>
    <row r="2226" hidden="1">
      <c r="A2226" s="55" t="s">
        <v>364</v>
      </c>
      <c r="B2226" s="55">
        <v>20.0</v>
      </c>
      <c r="C2226" s="55" t="s">
        <v>917</v>
      </c>
      <c r="E2226" s="55"/>
      <c r="F2226" s="55"/>
      <c r="G2226" s="55"/>
    </row>
    <row r="2227">
      <c r="A2227" s="55" t="s">
        <v>251</v>
      </c>
      <c r="B2227" s="55">
        <v>11.0</v>
      </c>
      <c r="C2227" s="55" t="s">
        <v>922</v>
      </c>
      <c r="E2227" s="55"/>
      <c r="F2227" s="55"/>
      <c r="G2227" s="55"/>
    </row>
    <row r="2228" hidden="1">
      <c r="A2228" s="55" t="s">
        <v>337</v>
      </c>
      <c r="B2228" s="55">
        <v>17.0</v>
      </c>
      <c r="C2228" s="55" t="s">
        <v>917</v>
      </c>
      <c r="E2228" s="55"/>
      <c r="F2228" s="55"/>
      <c r="G2228" s="55"/>
    </row>
    <row r="2229" hidden="1">
      <c r="A2229" s="55" t="s">
        <v>259</v>
      </c>
      <c r="B2229" s="55">
        <v>10.0</v>
      </c>
      <c r="C2229" s="55" t="s">
        <v>917</v>
      </c>
      <c r="E2229" s="55"/>
      <c r="F2229" s="55"/>
      <c r="G2229" s="55"/>
    </row>
    <row r="2230" hidden="1">
      <c r="A2230" s="55" t="s">
        <v>245</v>
      </c>
      <c r="B2230" s="55">
        <v>20.0</v>
      </c>
      <c r="C2230" s="55" t="s">
        <v>917</v>
      </c>
      <c r="E2230" s="55"/>
      <c r="F2230" s="55"/>
      <c r="G2230" s="55"/>
    </row>
    <row r="2231" hidden="1">
      <c r="A2231" s="55" t="s">
        <v>359</v>
      </c>
      <c r="B2231" s="55">
        <v>20.0</v>
      </c>
      <c r="C2231" s="55" t="s">
        <v>917</v>
      </c>
      <c r="E2231" s="55"/>
      <c r="F2231" s="55"/>
      <c r="G2231" s="55"/>
    </row>
    <row r="2232">
      <c r="A2232" s="55" t="s">
        <v>284</v>
      </c>
      <c r="B2232" s="55">
        <v>20.0</v>
      </c>
      <c r="C2232" s="55" t="s">
        <v>922</v>
      </c>
      <c r="E2232" s="55"/>
      <c r="F2232" s="55"/>
      <c r="G2232" s="55"/>
    </row>
    <row r="2233">
      <c r="A2233" s="55" t="s">
        <v>313</v>
      </c>
      <c r="B2233" s="55">
        <v>16.0</v>
      </c>
      <c r="C2233" s="55" t="s">
        <v>922</v>
      </c>
      <c r="E2233" s="55"/>
      <c r="F2233" s="55"/>
      <c r="G2233" s="55"/>
    </row>
    <row r="2234">
      <c r="A2234" s="55" t="s">
        <v>221</v>
      </c>
      <c r="B2234" s="55">
        <v>13.0</v>
      </c>
      <c r="C2234" s="55" t="s">
        <v>922</v>
      </c>
      <c r="E2234" s="55"/>
      <c r="F2234" s="55"/>
      <c r="G2234" s="55"/>
    </row>
    <row r="2235" hidden="1">
      <c r="A2235" s="55" t="s">
        <v>176</v>
      </c>
      <c r="B2235" s="55">
        <v>153.0</v>
      </c>
      <c r="C2235" s="55" t="s">
        <v>917</v>
      </c>
      <c r="E2235" s="55"/>
      <c r="F2235" s="55"/>
      <c r="G2235" s="55"/>
    </row>
    <row r="2236">
      <c r="A2236" s="55" t="s">
        <v>257</v>
      </c>
      <c r="B2236" s="55">
        <v>42.0</v>
      </c>
      <c r="C2236" s="55" t="s">
        <v>932</v>
      </c>
      <c r="E2236" s="55"/>
      <c r="F2236" s="55"/>
      <c r="G2236" s="55"/>
    </row>
    <row r="2237" hidden="1">
      <c r="A2237" s="55" t="s">
        <v>205</v>
      </c>
      <c r="B2237" s="55">
        <v>220.0</v>
      </c>
      <c r="C2237" s="55" t="s">
        <v>926</v>
      </c>
      <c r="E2237" s="55"/>
      <c r="F2237" s="55"/>
      <c r="G2237" s="55"/>
    </row>
    <row r="2238">
      <c r="A2238" s="55" t="s">
        <v>55</v>
      </c>
      <c r="B2238" s="55">
        <v>288.0</v>
      </c>
      <c r="C2238" s="55" t="s">
        <v>918</v>
      </c>
      <c r="E2238" s="55"/>
      <c r="F2238" s="55"/>
      <c r="G2238" s="55"/>
    </row>
    <row r="2239">
      <c r="A2239" s="55" t="s">
        <v>70</v>
      </c>
      <c r="B2239" s="55">
        <v>900.0</v>
      </c>
      <c r="C2239" s="55" t="s">
        <v>918</v>
      </c>
      <c r="E2239" s="55"/>
      <c r="F2239" s="55"/>
      <c r="G2239" s="55"/>
    </row>
    <row r="2240">
      <c r="A2240" s="55" t="s">
        <v>131</v>
      </c>
      <c r="B2240" s="55">
        <v>288.0</v>
      </c>
      <c r="C2240" s="55" t="s">
        <v>918</v>
      </c>
      <c r="E2240" s="55"/>
      <c r="F2240" s="55"/>
      <c r="G2240" s="55"/>
    </row>
    <row r="2241" hidden="1">
      <c r="A2241" s="55" t="s">
        <v>23</v>
      </c>
      <c r="B2241" s="55">
        <v>580.0</v>
      </c>
      <c r="C2241" s="55" t="s">
        <v>917</v>
      </c>
      <c r="E2241" s="55"/>
      <c r="F2241" s="55"/>
      <c r="G2241" s="55"/>
    </row>
    <row r="2242">
      <c r="A2242" s="55" t="s">
        <v>123</v>
      </c>
      <c r="B2242" s="55">
        <v>288.0</v>
      </c>
      <c r="C2242" s="55" t="s">
        <v>918</v>
      </c>
      <c r="E2242" s="55"/>
      <c r="F2242" s="55"/>
      <c r="G2242" s="55"/>
    </row>
    <row r="2243">
      <c r="A2243" s="55" t="s">
        <v>124</v>
      </c>
      <c r="B2243" s="55">
        <v>288.0</v>
      </c>
      <c r="C2243" s="55" t="s">
        <v>918</v>
      </c>
      <c r="E2243" s="55"/>
      <c r="F2243" s="55"/>
      <c r="G2243" s="55"/>
    </row>
    <row r="2244">
      <c r="A2244" s="55" t="s">
        <v>122</v>
      </c>
      <c r="B2244" s="55">
        <v>144.0</v>
      </c>
      <c r="C2244" s="55" t="s">
        <v>918</v>
      </c>
      <c r="E2244" s="55"/>
      <c r="F2244" s="55"/>
      <c r="G2244" s="55"/>
    </row>
    <row r="2245" hidden="1">
      <c r="A2245" s="55" t="s">
        <v>86</v>
      </c>
      <c r="B2245" s="55">
        <v>800.0</v>
      </c>
      <c r="C2245" s="55" t="s">
        <v>917</v>
      </c>
      <c r="E2245" s="55"/>
      <c r="F2245" s="55"/>
      <c r="G2245" s="55"/>
    </row>
    <row r="2246" hidden="1">
      <c r="A2246" s="55" t="s">
        <v>51</v>
      </c>
      <c r="B2246" s="55">
        <v>126.0</v>
      </c>
      <c r="C2246" s="55" t="s">
        <v>917</v>
      </c>
      <c r="E2246" s="55"/>
      <c r="F2246" s="55"/>
      <c r="G2246" s="55"/>
    </row>
    <row r="2247">
      <c r="A2247" s="55" t="s">
        <v>131</v>
      </c>
      <c r="B2247" s="55">
        <v>288.0</v>
      </c>
      <c r="C2247" s="55" t="s">
        <v>918</v>
      </c>
      <c r="E2247" s="55"/>
      <c r="F2247" s="55"/>
      <c r="G2247" s="55"/>
    </row>
    <row r="2248">
      <c r="A2248" s="55" t="s">
        <v>55</v>
      </c>
      <c r="B2248" s="55">
        <v>288.0</v>
      </c>
      <c r="C2248" s="55" t="s">
        <v>918</v>
      </c>
      <c r="E2248" s="55"/>
      <c r="F2248" s="55"/>
      <c r="G2248" s="55"/>
    </row>
    <row r="2249">
      <c r="A2249" s="55" t="s">
        <v>70</v>
      </c>
      <c r="B2249" s="55">
        <v>600.0</v>
      </c>
      <c r="C2249" s="55" t="s">
        <v>918</v>
      </c>
      <c r="E2249" s="55"/>
      <c r="F2249" s="55"/>
      <c r="G2249" s="55"/>
    </row>
    <row r="2250">
      <c r="A2250" s="55" t="s">
        <v>115</v>
      </c>
      <c r="B2250" s="55">
        <v>288.0</v>
      </c>
      <c r="C2250" s="55" t="s">
        <v>918</v>
      </c>
      <c r="E2250" s="55"/>
      <c r="F2250" s="55"/>
      <c r="G2250" s="55"/>
    </row>
    <row r="2251">
      <c r="A2251" s="55" t="s">
        <v>123</v>
      </c>
      <c r="B2251" s="55">
        <v>288.0</v>
      </c>
      <c r="C2251" s="55" t="s">
        <v>918</v>
      </c>
      <c r="E2251" s="55"/>
      <c r="F2251" s="55"/>
      <c r="G2251" s="55"/>
    </row>
    <row r="2252">
      <c r="A2252" s="55" t="s">
        <v>124</v>
      </c>
      <c r="B2252" s="55">
        <v>288.0</v>
      </c>
      <c r="C2252" s="55" t="s">
        <v>918</v>
      </c>
      <c r="E2252" s="55"/>
      <c r="F2252" s="55"/>
      <c r="G2252" s="55"/>
    </row>
    <row r="2253">
      <c r="A2253" s="55" t="s">
        <v>122</v>
      </c>
      <c r="B2253" s="55">
        <v>144.0</v>
      </c>
      <c r="C2253" s="55" t="s">
        <v>918</v>
      </c>
      <c r="E2253" s="55"/>
      <c r="F2253" s="55"/>
      <c r="G2253" s="55"/>
    </row>
    <row r="2254">
      <c r="A2254" s="55" t="s">
        <v>131</v>
      </c>
      <c r="B2254" s="55">
        <v>288.0</v>
      </c>
      <c r="C2254" s="55" t="s">
        <v>918</v>
      </c>
      <c r="E2254" s="55"/>
      <c r="F2254" s="55"/>
      <c r="G2254" s="55"/>
    </row>
    <row r="2255">
      <c r="A2255" s="55" t="s">
        <v>102</v>
      </c>
      <c r="B2255" s="55">
        <v>128.0</v>
      </c>
      <c r="C2255" s="55" t="s">
        <v>918</v>
      </c>
      <c r="E2255" s="55"/>
      <c r="F2255" s="55"/>
      <c r="G2255" s="55"/>
    </row>
    <row r="2256">
      <c r="A2256" s="55" t="s">
        <v>113</v>
      </c>
      <c r="B2256" s="55">
        <v>80.0</v>
      </c>
      <c r="C2256" s="55" t="s">
        <v>918</v>
      </c>
      <c r="E2256" s="55"/>
      <c r="F2256" s="55"/>
      <c r="G2256" s="55"/>
    </row>
    <row r="2257">
      <c r="A2257" s="55" t="s">
        <v>115</v>
      </c>
      <c r="B2257" s="55">
        <v>576.0</v>
      </c>
      <c r="C2257" s="55" t="s">
        <v>918</v>
      </c>
      <c r="E2257" s="55"/>
      <c r="F2257" s="55"/>
      <c r="G2257" s="55"/>
    </row>
    <row r="2258">
      <c r="A2258" s="55" t="s">
        <v>123</v>
      </c>
      <c r="B2258" s="55">
        <v>288.0</v>
      </c>
      <c r="C2258" s="55" t="s">
        <v>918</v>
      </c>
      <c r="E2258" s="55"/>
      <c r="F2258" s="55"/>
      <c r="G2258" s="55"/>
    </row>
    <row r="2259">
      <c r="A2259" s="55" t="s">
        <v>124</v>
      </c>
      <c r="B2259" s="55">
        <v>288.0</v>
      </c>
      <c r="C2259" s="55" t="s">
        <v>918</v>
      </c>
      <c r="E2259" s="55"/>
      <c r="F2259" s="55"/>
      <c r="G2259" s="55"/>
    </row>
    <row r="2260">
      <c r="A2260" s="55" t="s">
        <v>122</v>
      </c>
      <c r="B2260" s="55">
        <v>144.0</v>
      </c>
      <c r="C2260" s="55" t="s">
        <v>918</v>
      </c>
      <c r="E2260" s="55"/>
      <c r="F2260" s="55"/>
      <c r="G2260" s="55"/>
    </row>
    <row r="2261">
      <c r="A2261" s="55" t="s">
        <v>374</v>
      </c>
      <c r="B2261" s="55">
        <v>400.0</v>
      </c>
      <c r="C2261" s="55" t="s">
        <v>918</v>
      </c>
      <c r="E2261" s="55"/>
      <c r="F2261" s="55"/>
      <c r="G2261" s="55"/>
    </row>
    <row r="2262">
      <c r="A2262" s="55" t="s">
        <v>340</v>
      </c>
      <c r="B2262" s="55">
        <v>576.0</v>
      </c>
      <c r="C2262" s="55" t="s">
        <v>918</v>
      </c>
      <c r="E2262" s="55"/>
      <c r="F2262" s="55"/>
      <c r="G2262" s="55"/>
    </row>
    <row r="2263">
      <c r="A2263" s="55" t="s">
        <v>162</v>
      </c>
      <c r="B2263" s="55">
        <v>600.0</v>
      </c>
      <c r="C2263" s="55" t="s">
        <v>918</v>
      </c>
      <c r="E2263" s="55"/>
      <c r="F2263" s="55"/>
      <c r="G2263" s="55"/>
    </row>
    <row r="2264">
      <c r="A2264" s="55" t="s">
        <v>947</v>
      </c>
      <c r="B2264" s="55">
        <v>768.0</v>
      </c>
      <c r="C2264" s="55" t="s">
        <v>918</v>
      </c>
      <c r="E2264" s="55"/>
      <c r="F2264" s="55"/>
      <c r="G2264" s="55"/>
    </row>
    <row r="2265">
      <c r="A2265" s="55" t="s">
        <v>183</v>
      </c>
      <c r="B2265" s="55">
        <v>576.0</v>
      </c>
      <c r="C2265" s="55" t="s">
        <v>918</v>
      </c>
      <c r="E2265" s="55"/>
      <c r="F2265" s="55"/>
      <c r="G2265" s="55"/>
    </row>
    <row r="2266">
      <c r="A2266" s="55" t="s">
        <v>355</v>
      </c>
      <c r="B2266" s="55">
        <v>800.0</v>
      </c>
      <c r="C2266" s="55" t="s">
        <v>918</v>
      </c>
      <c r="E2266" s="55"/>
      <c r="F2266" s="55"/>
      <c r="G2266" s="55"/>
    </row>
    <row r="2267">
      <c r="A2267" s="55" t="s">
        <v>252</v>
      </c>
      <c r="B2267" s="55">
        <v>3456.0</v>
      </c>
      <c r="C2267" s="55" t="s">
        <v>918</v>
      </c>
      <c r="E2267" s="55"/>
      <c r="F2267" s="55"/>
      <c r="G2267" s="55"/>
    </row>
    <row r="2268">
      <c r="A2268" s="55" t="s">
        <v>337</v>
      </c>
      <c r="B2268" s="55">
        <v>1152.0</v>
      </c>
      <c r="C2268" s="55" t="s">
        <v>918</v>
      </c>
      <c r="E2268" s="55"/>
      <c r="F2268" s="55"/>
      <c r="G2268" s="55"/>
    </row>
    <row r="2269" hidden="1">
      <c r="A2269" s="55" t="s">
        <v>59</v>
      </c>
      <c r="B2269" s="55">
        <v>20.0</v>
      </c>
      <c r="C2269" s="55" t="s">
        <v>917</v>
      </c>
      <c r="E2269" s="55"/>
      <c r="F2269" s="55"/>
      <c r="G2269" s="55"/>
    </row>
    <row r="2270" hidden="1">
      <c r="A2270" s="55" t="s">
        <v>90</v>
      </c>
      <c r="B2270" s="55">
        <v>96.0</v>
      </c>
      <c r="C2270" s="55" t="s">
        <v>917</v>
      </c>
      <c r="E2270" s="55"/>
      <c r="F2270" s="55"/>
      <c r="G2270" s="55"/>
    </row>
    <row r="2271" hidden="1">
      <c r="A2271" s="55" t="s">
        <v>60</v>
      </c>
      <c r="B2271" s="55">
        <v>20.0</v>
      </c>
      <c r="C2271" s="55" t="s">
        <v>917</v>
      </c>
      <c r="E2271" s="55"/>
      <c r="F2271" s="55"/>
      <c r="G2271" s="55"/>
    </row>
    <row r="2272">
      <c r="A2272" s="55" t="s">
        <v>144</v>
      </c>
      <c r="B2272" s="55">
        <v>40.0</v>
      </c>
      <c r="C2272" s="55" t="s">
        <v>930</v>
      </c>
      <c r="E2272" s="55"/>
      <c r="F2272" s="55"/>
      <c r="G2272" s="55"/>
    </row>
    <row r="2273" hidden="1">
      <c r="A2273" s="55" t="s">
        <v>129</v>
      </c>
      <c r="B2273" s="55">
        <v>60.0</v>
      </c>
      <c r="C2273" s="55" t="s">
        <v>917</v>
      </c>
      <c r="E2273" s="55"/>
      <c r="F2273" s="55"/>
      <c r="G2273" s="55"/>
    </row>
    <row r="2274" hidden="1">
      <c r="A2274" s="55" t="s">
        <v>134</v>
      </c>
      <c r="B2274" s="55">
        <v>300.0</v>
      </c>
      <c r="C2274" s="55" t="s">
        <v>917</v>
      </c>
      <c r="E2274" s="55"/>
      <c r="F2274" s="55"/>
      <c r="G2274" s="55"/>
    </row>
    <row r="2275">
      <c r="A2275" s="55" t="s">
        <v>20</v>
      </c>
      <c r="B2275" s="55">
        <v>80.0</v>
      </c>
      <c r="C2275" s="55" t="s">
        <v>949</v>
      </c>
      <c r="E2275" s="55"/>
      <c r="F2275" s="55"/>
      <c r="G2275" s="55"/>
    </row>
    <row r="2276" hidden="1">
      <c r="A2276" s="55" t="s">
        <v>92</v>
      </c>
      <c r="B2276" s="55">
        <v>100.0</v>
      </c>
      <c r="C2276" s="55" t="s">
        <v>917</v>
      </c>
      <c r="E2276" s="55"/>
      <c r="F2276" s="55"/>
      <c r="G2276" s="55"/>
    </row>
    <row r="2277" hidden="1">
      <c r="A2277" s="55" t="s">
        <v>94</v>
      </c>
      <c r="B2277" s="55">
        <v>40.0</v>
      </c>
      <c r="C2277" s="55" t="s">
        <v>917</v>
      </c>
      <c r="E2277" s="55"/>
      <c r="F2277" s="55"/>
      <c r="G2277" s="55"/>
    </row>
    <row r="2278" hidden="1">
      <c r="A2278" s="55" t="s">
        <v>15</v>
      </c>
      <c r="B2278" s="55">
        <v>42.0</v>
      </c>
      <c r="C2278" s="55" t="s">
        <v>917</v>
      </c>
      <c r="E2278" s="55"/>
      <c r="F2278" s="55"/>
      <c r="G2278" s="55"/>
    </row>
    <row r="2279" hidden="1">
      <c r="A2279" s="55" t="s">
        <v>77</v>
      </c>
      <c r="B2279" s="55">
        <v>7.0</v>
      </c>
      <c r="C2279" s="55" t="s">
        <v>917</v>
      </c>
      <c r="E2279" s="55"/>
      <c r="F2279" s="55"/>
      <c r="G2279" s="55"/>
    </row>
    <row r="2280">
      <c r="A2280" s="55" t="s">
        <v>61</v>
      </c>
      <c r="B2280" s="55">
        <v>30.0</v>
      </c>
      <c r="C2280" s="55" t="s">
        <v>918</v>
      </c>
      <c r="E2280" s="55"/>
      <c r="F2280" s="55"/>
      <c r="G2280" s="55"/>
    </row>
    <row r="2281" hidden="1">
      <c r="A2281" s="55" t="s">
        <v>102</v>
      </c>
      <c r="B2281" s="55">
        <v>100.0</v>
      </c>
      <c r="C2281" s="55" t="s">
        <v>917</v>
      </c>
      <c r="E2281" s="55"/>
      <c r="F2281" s="55"/>
      <c r="G2281" s="55"/>
    </row>
    <row r="2282" hidden="1">
      <c r="A2282" s="55" t="s">
        <v>33</v>
      </c>
      <c r="B2282" s="55">
        <v>100.0</v>
      </c>
      <c r="C2282" s="55" t="s">
        <v>917</v>
      </c>
      <c r="E2282" s="55"/>
      <c r="F2282" s="55"/>
      <c r="G2282" s="55"/>
    </row>
    <row r="2283" hidden="1">
      <c r="A2283" s="55" t="s">
        <v>64</v>
      </c>
      <c r="B2283" s="55">
        <v>24.0</v>
      </c>
      <c r="C2283" s="55" t="s">
        <v>917</v>
      </c>
      <c r="E2283" s="55"/>
      <c r="F2283" s="55"/>
      <c r="G2283" s="55"/>
    </row>
    <row r="2284" hidden="1">
      <c r="A2284" s="55" t="s">
        <v>68</v>
      </c>
      <c r="B2284" s="55">
        <v>20.0</v>
      </c>
      <c r="C2284" s="55" t="s">
        <v>917</v>
      </c>
      <c r="E2284" s="55"/>
      <c r="F2284" s="55"/>
      <c r="G2284" s="55"/>
    </row>
    <row r="2285" hidden="1">
      <c r="A2285" s="55" t="s">
        <v>23</v>
      </c>
      <c r="B2285" s="55">
        <v>29.0</v>
      </c>
      <c r="C2285" s="55" t="s">
        <v>917</v>
      </c>
      <c r="E2285" s="55"/>
      <c r="F2285" s="55"/>
      <c r="G2285" s="55"/>
    </row>
    <row r="2286" hidden="1">
      <c r="A2286" s="55" t="s">
        <v>97</v>
      </c>
      <c r="B2286" s="55">
        <v>20.0</v>
      </c>
      <c r="C2286" s="55" t="s">
        <v>917</v>
      </c>
      <c r="E2286" s="55"/>
      <c r="F2286" s="55"/>
      <c r="G2286" s="55"/>
    </row>
    <row r="2287" hidden="1">
      <c r="A2287" s="55" t="s">
        <v>80</v>
      </c>
      <c r="B2287" s="55">
        <v>40.0</v>
      </c>
      <c r="C2287" s="55" t="s">
        <v>917</v>
      </c>
      <c r="E2287" s="55"/>
      <c r="F2287" s="55"/>
      <c r="G2287" s="55"/>
    </row>
    <row r="2288">
      <c r="A2288" s="55" t="s">
        <v>115</v>
      </c>
      <c r="B2288" s="55">
        <v>315.0</v>
      </c>
      <c r="C2288" s="55" t="s">
        <v>918</v>
      </c>
      <c r="E2288" s="55"/>
      <c r="F2288" s="55"/>
      <c r="G2288" s="55"/>
    </row>
    <row r="2289">
      <c r="A2289" s="55" t="s">
        <v>122</v>
      </c>
      <c r="B2289" s="55">
        <v>50.0</v>
      </c>
      <c r="C2289" s="55" t="s">
        <v>918</v>
      </c>
      <c r="E2289" s="55"/>
      <c r="F2289" s="55"/>
      <c r="G2289" s="55"/>
    </row>
    <row r="2290">
      <c r="A2290" s="55" t="s">
        <v>69</v>
      </c>
      <c r="B2290" s="55">
        <v>40.0</v>
      </c>
      <c r="C2290" s="55" t="s">
        <v>918</v>
      </c>
      <c r="E2290" s="55"/>
      <c r="F2290" s="55"/>
      <c r="G2290" s="55"/>
    </row>
    <row r="2291">
      <c r="A2291" s="55" t="s">
        <v>96</v>
      </c>
      <c r="B2291" s="55">
        <v>50.0</v>
      </c>
      <c r="C2291" s="55" t="s">
        <v>918</v>
      </c>
      <c r="E2291" s="55"/>
      <c r="F2291" s="55"/>
      <c r="G2291" s="55"/>
    </row>
    <row r="2292" hidden="1">
      <c r="A2292" s="55" t="s">
        <v>79</v>
      </c>
      <c r="B2292" s="55">
        <v>20.0</v>
      </c>
      <c r="C2292" s="55" t="s">
        <v>917</v>
      </c>
      <c r="E2292" s="55"/>
      <c r="F2292" s="55"/>
      <c r="G2292" s="55"/>
    </row>
    <row r="2293" hidden="1">
      <c r="A2293" s="55" t="s">
        <v>67</v>
      </c>
      <c r="B2293" s="55">
        <v>100.0</v>
      </c>
      <c r="C2293" s="55" t="s">
        <v>917</v>
      </c>
      <c r="E2293" s="55"/>
      <c r="F2293" s="55"/>
      <c r="G2293" s="55"/>
    </row>
    <row r="2294" hidden="1">
      <c r="A2294" s="55" t="s">
        <v>86</v>
      </c>
      <c r="B2294" s="55">
        <v>40.0</v>
      </c>
      <c r="C2294" s="55" t="s">
        <v>917</v>
      </c>
      <c r="E2294" s="55"/>
      <c r="F2294" s="55"/>
      <c r="G2294" s="55"/>
    </row>
    <row r="2295" hidden="1">
      <c r="A2295" s="55" t="s">
        <v>72</v>
      </c>
      <c r="B2295" s="55">
        <v>90.0</v>
      </c>
      <c r="E2295" s="55"/>
      <c r="F2295" s="55"/>
      <c r="G2295" s="55"/>
    </row>
    <row r="2296" hidden="1">
      <c r="A2296" s="55" t="s">
        <v>129</v>
      </c>
      <c r="B2296" s="55">
        <v>120.0</v>
      </c>
      <c r="C2296" s="55" t="s">
        <v>917</v>
      </c>
      <c r="E2296" s="55"/>
      <c r="F2296" s="55"/>
      <c r="G2296" s="55"/>
    </row>
    <row r="2297" hidden="1">
      <c r="A2297" s="55" t="s">
        <v>134</v>
      </c>
      <c r="B2297" s="55">
        <v>405.0</v>
      </c>
      <c r="C2297" s="55" t="s">
        <v>917</v>
      </c>
      <c r="E2297" s="55"/>
      <c r="F2297" s="55"/>
      <c r="G2297" s="55"/>
    </row>
    <row r="2298">
      <c r="A2298" s="55" t="s">
        <v>20</v>
      </c>
      <c r="B2298" s="55">
        <v>200.0</v>
      </c>
      <c r="C2298" s="55" t="s">
        <v>949</v>
      </c>
      <c r="E2298" s="55"/>
      <c r="F2298" s="55"/>
      <c r="G2298" s="55"/>
    </row>
    <row r="2299" hidden="1">
      <c r="A2299" s="55" t="s">
        <v>33</v>
      </c>
      <c r="B2299" s="55">
        <v>150.0</v>
      </c>
      <c r="C2299" s="55" t="s">
        <v>917</v>
      </c>
      <c r="E2299" s="55"/>
      <c r="F2299" s="55"/>
      <c r="G2299" s="55"/>
    </row>
    <row r="2300">
      <c r="A2300" s="55" t="s">
        <v>69</v>
      </c>
      <c r="B2300" s="55">
        <v>100.0</v>
      </c>
      <c r="C2300" s="55" t="s">
        <v>918</v>
      </c>
      <c r="E2300" s="55"/>
      <c r="F2300" s="55"/>
      <c r="G2300" s="55"/>
    </row>
    <row r="2301">
      <c r="A2301" s="55" t="s">
        <v>96</v>
      </c>
      <c r="B2301" s="55">
        <v>100.0</v>
      </c>
      <c r="C2301" s="55" t="s">
        <v>918</v>
      </c>
      <c r="E2301" s="55"/>
      <c r="F2301" s="55"/>
      <c r="G2301" s="55"/>
    </row>
    <row r="2302" hidden="1">
      <c r="A2302" s="55" t="s">
        <v>411</v>
      </c>
      <c r="B2302" s="55">
        <v>12.0</v>
      </c>
      <c r="C2302" s="55" t="s">
        <v>917</v>
      </c>
      <c r="E2302" s="55"/>
      <c r="F2302" s="55"/>
      <c r="G2302" s="55"/>
    </row>
    <row r="2303" hidden="1">
      <c r="A2303" s="55" t="s">
        <v>86</v>
      </c>
      <c r="B2303" s="55">
        <v>80.0</v>
      </c>
      <c r="C2303" s="55" t="s">
        <v>917</v>
      </c>
      <c r="E2303" s="55"/>
      <c r="F2303" s="55"/>
      <c r="G2303" s="55"/>
    </row>
    <row r="2304" hidden="1">
      <c r="A2304" s="55" t="s">
        <v>153</v>
      </c>
      <c r="B2304" s="55">
        <v>40.0</v>
      </c>
      <c r="C2304" s="55" t="s">
        <v>917</v>
      </c>
      <c r="E2304" s="55"/>
      <c r="F2304" s="55"/>
      <c r="G2304" s="55"/>
    </row>
    <row r="2305" hidden="1">
      <c r="A2305" s="55" t="s">
        <v>72</v>
      </c>
      <c r="B2305" s="55">
        <v>216.0</v>
      </c>
      <c r="E2305" s="55"/>
      <c r="F2305" s="55"/>
      <c r="G2305" s="55"/>
    </row>
    <row r="2306" hidden="1">
      <c r="A2306" s="55" t="s">
        <v>151</v>
      </c>
      <c r="B2306" s="55">
        <v>80.0</v>
      </c>
      <c r="C2306" s="55" t="s">
        <v>917</v>
      </c>
      <c r="E2306" s="55"/>
      <c r="F2306" s="55"/>
      <c r="G2306" s="55"/>
    </row>
    <row r="2307" hidden="1">
      <c r="A2307" s="55" t="s">
        <v>154</v>
      </c>
      <c r="B2307" s="55">
        <v>120.0</v>
      </c>
      <c r="C2307" s="55" t="s">
        <v>917</v>
      </c>
      <c r="E2307" s="55"/>
      <c r="F2307" s="55"/>
      <c r="G2307" s="55"/>
    </row>
    <row r="2308">
      <c r="A2308" s="55" t="s">
        <v>144</v>
      </c>
      <c r="B2308" s="55">
        <v>40.0</v>
      </c>
      <c r="C2308" s="55" t="s">
        <v>930</v>
      </c>
      <c r="E2308" s="55"/>
      <c r="F2308" s="55"/>
      <c r="G2308" s="55"/>
    </row>
    <row r="2309" hidden="1">
      <c r="A2309" s="55" t="s">
        <v>129</v>
      </c>
      <c r="B2309" s="55">
        <v>40.0</v>
      </c>
      <c r="C2309" s="55" t="s">
        <v>917</v>
      </c>
      <c r="E2309" s="55"/>
      <c r="F2309" s="55"/>
      <c r="G2309" s="55"/>
    </row>
    <row r="2310" hidden="1">
      <c r="A2310" s="55" t="s">
        <v>134</v>
      </c>
      <c r="B2310" s="55">
        <v>300.0</v>
      </c>
      <c r="C2310" s="55" t="s">
        <v>917</v>
      </c>
      <c r="E2310" s="55"/>
      <c r="F2310" s="55"/>
      <c r="G2310" s="55"/>
    </row>
    <row r="2311">
      <c r="A2311" s="55" t="s">
        <v>133</v>
      </c>
      <c r="B2311" s="55">
        <v>60.0</v>
      </c>
      <c r="C2311" s="55" t="s">
        <v>939</v>
      </c>
      <c r="E2311" s="55"/>
      <c r="F2311" s="55"/>
      <c r="G2311" s="55"/>
    </row>
    <row r="2312">
      <c r="A2312" s="55" t="s">
        <v>20</v>
      </c>
      <c r="B2312" s="55">
        <v>120.0</v>
      </c>
      <c r="C2312" s="55" t="s">
        <v>949</v>
      </c>
      <c r="E2312" s="55"/>
      <c r="F2312" s="55"/>
      <c r="G2312" s="55"/>
    </row>
    <row r="2313" hidden="1">
      <c r="A2313" s="55" t="s">
        <v>92</v>
      </c>
      <c r="B2313" s="55">
        <v>100.0</v>
      </c>
      <c r="C2313" s="55" t="s">
        <v>917</v>
      </c>
      <c r="E2313" s="55"/>
      <c r="F2313" s="55"/>
      <c r="G2313" s="55"/>
    </row>
    <row r="2314" hidden="1">
      <c r="A2314" s="55" t="s">
        <v>15</v>
      </c>
      <c r="B2314" s="55">
        <v>80.0</v>
      </c>
      <c r="C2314" s="55" t="s">
        <v>917</v>
      </c>
      <c r="E2314" s="55"/>
      <c r="F2314" s="55"/>
      <c r="G2314" s="55"/>
    </row>
    <row r="2315" hidden="1">
      <c r="A2315" s="55" t="s">
        <v>17</v>
      </c>
      <c r="B2315" s="55">
        <v>50.0</v>
      </c>
      <c r="C2315" s="55" t="s">
        <v>917</v>
      </c>
      <c r="E2315" s="55"/>
      <c r="F2315" s="55"/>
      <c r="G2315" s="55"/>
    </row>
    <row r="2316" hidden="1">
      <c r="A2316" s="55" t="s">
        <v>33</v>
      </c>
      <c r="B2316" s="55">
        <v>40.0</v>
      </c>
      <c r="C2316" s="55" t="s">
        <v>917</v>
      </c>
      <c r="E2316" s="55"/>
      <c r="F2316" s="55"/>
      <c r="G2316" s="55"/>
    </row>
    <row r="2317" hidden="1">
      <c r="A2317" s="55" t="s">
        <v>68</v>
      </c>
      <c r="B2317" s="55">
        <v>116.0</v>
      </c>
      <c r="C2317" s="55" t="s">
        <v>917</v>
      </c>
      <c r="E2317" s="55"/>
      <c r="F2317" s="55"/>
      <c r="G2317" s="55"/>
    </row>
    <row r="2318" hidden="1">
      <c r="A2318" s="55" t="s">
        <v>23</v>
      </c>
      <c r="B2318" s="55">
        <v>58.0</v>
      </c>
      <c r="C2318" s="55" t="s">
        <v>917</v>
      </c>
      <c r="E2318" s="55"/>
      <c r="F2318" s="55"/>
      <c r="G2318" s="55"/>
    </row>
    <row r="2319" hidden="1">
      <c r="A2319" s="55" t="s">
        <v>80</v>
      </c>
      <c r="B2319" s="55">
        <v>30.0</v>
      </c>
      <c r="C2319" s="55" t="s">
        <v>917</v>
      </c>
      <c r="E2319" s="55"/>
      <c r="F2319" s="55"/>
      <c r="G2319" s="55"/>
    </row>
    <row r="2320">
      <c r="A2320" s="55" t="s">
        <v>115</v>
      </c>
      <c r="B2320" s="55">
        <v>432.0</v>
      </c>
      <c r="C2320" s="55" t="s">
        <v>918</v>
      </c>
      <c r="E2320" s="55"/>
      <c r="F2320" s="55"/>
      <c r="G2320" s="55"/>
    </row>
    <row r="2321">
      <c r="A2321" s="55" t="s">
        <v>123</v>
      </c>
      <c r="B2321" s="55">
        <v>144.0</v>
      </c>
      <c r="C2321" s="55" t="s">
        <v>918</v>
      </c>
      <c r="E2321" s="55"/>
      <c r="F2321" s="55"/>
      <c r="G2321" s="55"/>
    </row>
    <row r="2322">
      <c r="A2322" s="55" t="s">
        <v>124</v>
      </c>
      <c r="B2322" s="55">
        <v>144.0</v>
      </c>
      <c r="C2322" s="55" t="s">
        <v>918</v>
      </c>
      <c r="E2322" s="55"/>
      <c r="F2322" s="55"/>
      <c r="G2322" s="55"/>
    </row>
    <row r="2323" hidden="1">
      <c r="A2323" s="55" t="s">
        <v>119</v>
      </c>
      <c r="B2323" s="55">
        <v>48.0</v>
      </c>
      <c r="C2323" s="55" t="s">
        <v>917</v>
      </c>
      <c r="E2323" s="55"/>
      <c r="F2323" s="55"/>
      <c r="G2323" s="55"/>
    </row>
    <row r="2324" hidden="1">
      <c r="A2324" s="55" t="s">
        <v>79</v>
      </c>
      <c r="B2324" s="55">
        <v>20.0</v>
      </c>
      <c r="C2324" s="55" t="s">
        <v>917</v>
      </c>
      <c r="E2324" s="55"/>
      <c r="F2324" s="55"/>
      <c r="G2324" s="55"/>
    </row>
    <row r="2325" hidden="1">
      <c r="A2325" s="55" t="s">
        <v>67</v>
      </c>
      <c r="B2325" s="55">
        <v>40.0</v>
      </c>
      <c r="C2325" s="55" t="s">
        <v>917</v>
      </c>
      <c r="E2325" s="55"/>
      <c r="F2325" s="55"/>
      <c r="G2325" s="55"/>
    </row>
    <row r="2326" hidden="1">
      <c r="A2326" s="55" t="s">
        <v>86</v>
      </c>
      <c r="B2326" s="55">
        <v>80.0</v>
      </c>
      <c r="C2326" s="55" t="s">
        <v>917</v>
      </c>
      <c r="E2326" s="55"/>
      <c r="F2326" s="55"/>
      <c r="G2326" s="55"/>
    </row>
    <row r="2327" hidden="1">
      <c r="A2327" s="55" t="s">
        <v>59</v>
      </c>
      <c r="B2327" s="55">
        <v>9.0</v>
      </c>
      <c r="C2327" s="55" t="s">
        <v>917</v>
      </c>
      <c r="E2327" s="55"/>
      <c r="F2327" s="55"/>
      <c r="G2327" s="55"/>
    </row>
    <row r="2328" hidden="1">
      <c r="A2328" s="55" t="s">
        <v>153</v>
      </c>
      <c r="B2328" s="55">
        <v>80.0</v>
      </c>
      <c r="C2328" s="55" t="s">
        <v>917</v>
      </c>
      <c r="E2328" s="55"/>
      <c r="F2328" s="55"/>
      <c r="G2328" s="55"/>
    </row>
    <row r="2329" hidden="1">
      <c r="A2329" s="55" t="s">
        <v>72</v>
      </c>
      <c r="B2329" s="55">
        <v>50.0</v>
      </c>
      <c r="E2329" s="55"/>
      <c r="F2329" s="55"/>
      <c r="G2329" s="55"/>
    </row>
    <row r="2330" hidden="1">
      <c r="A2330" s="55" t="s">
        <v>151</v>
      </c>
      <c r="B2330" s="55">
        <v>80.0</v>
      </c>
      <c r="C2330" s="55" t="s">
        <v>917</v>
      </c>
      <c r="E2330" s="55"/>
      <c r="F2330" s="55"/>
      <c r="G2330" s="55"/>
    </row>
    <row r="2331" hidden="1">
      <c r="A2331" s="55" t="s">
        <v>154</v>
      </c>
      <c r="B2331" s="55">
        <v>120.0</v>
      </c>
      <c r="C2331" s="55" t="s">
        <v>917</v>
      </c>
      <c r="E2331" s="55"/>
      <c r="F2331" s="55"/>
      <c r="G2331" s="55"/>
    </row>
    <row r="2332" hidden="1">
      <c r="A2332" s="55" t="s">
        <v>90</v>
      </c>
      <c r="B2332" s="55">
        <v>23.0</v>
      </c>
      <c r="C2332" s="55" t="s">
        <v>917</v>
      </c>
      <c r="E2332" s="55"/>
      <c r="F2332" s="55"/>
      <c r="G2332" s="55"/>
    </row>
    <row r="2333" hidden="1">
      <c r="A2333" s="55" t="s">
        <v>60</v>
      </c>
      <c r="B2333" s="55">
        <v>20.0</v>
      </c>
      <c r="C2333" s="55" t="s">
        <v>917</v>
      </c>
      <c r="E2333" s="55"/>
      <c r="F2333" s="55"/>
      <c r="G2333" s="55"/>
    </row>
    <row r="2334">
      <c r="A2334" s="55" t="s">
        <v>144</v>
      </c>
      <c r="B2334" s="55">
        <v>20.0</v>
      </c>
      <c r="C2334" s="55" t="s">
        <v>930</v>
      </c>
      <c r="E2334" s="55"/>
      <c r="F2334" s="55"/>
      <c r="G2334" s="55"/>
    </row>
    <row r="2335">
      <c r="A2335" s="55" t="s">
        <v>70</v>
      </c>
      <c r="B2335" s="55">
        <v>20.0</v>
      </c>
      <c r="C2335" s="55" t="s">
        <v>918</v>
      </c>
      <c r="E2335" s="55"/>
      <c r="F2335" s="55"/>
      <c r="G2335" s="55"/>
    </row>
    <row r="2336" hidden="1">
      <c r="A2336" s="55" t="s">
        <v>134</v>
      </c>
      <c r="B2336" s="55">
        <v>225.0</v>
      </c>
      <c r="C2336" s="55" t="s">
        <v>917</v>
      </c>
      <c r="E2336" s="55"/>
      <c r="F2336" s="55"/>
      <c r="G2336" s="55"/>
    </row>
    <row r="2337">
      <c r="A2337" s="55" t="s">
        <v>20</v>
      </c>
      <c r="B2337" s="55">
        <v>20.0</v>
      </c>
      <c r="C2337" s="55" t="s">
        <v>949</v>
      </c>
      <c r="E2337" s="55"/>
      <c r="F2337" s="55"/>
      <c r="G2337" s="55"/>
    </row>
    <row r="2338" hidden="1">
      <c r="A2338" s="55" t="s">
        <v>147</v>
      </c>
      <c r="B2338" s="55">
        <v>80.0</v>
      </c>
      <c r="C2338" s="55" t="s">
        <v>917</v>
      </c>
      <c r="E2338" s="55"/>
      <c r="F2338" s="55"/>
      <c r="G2338" s="55"/>
    </row>
    <row r="2339" hidden="1">
      <c r="A2339" s="55" t="s">
        <v>92</v>
      </c>
      <c r="B2339" s="55">
        <v>26.0</v>
      </c>
      <c r="C2339" s="55" t="s">
        <v>917</v>
      </c>
      <c r="E2339" s="55"/>
      <c r="F2339" s="55"/>
      <c r="G2339" s="55"/>
    </row>
    <row r="2340" hidden="1">
      <c r="A2340" s="55" t="s">
        <v>94</v>
      </c>
      <c r="B2340" s="55">
        <v>17.0</v>
      </c>
      <c r="C2340" s="55" t="s">
        <v>917</v>
      </c>
      <c r="E2340" s="55"/>
      <c r="F2340" s="55"/>
      <c r="G2340" s="55"/>
    </row>
    <row r="2341" hidden="1">
      <c r="A2341" s="55" t="s">
        <v>80</v>
      </c>
      <c r="B2341" s="55">
        <v>91.0</v>
      </c>
      <c r="C2341" s="55" t="s">
        <v>917</v>
      </c>
      <c r="E2341" s="55"/>
      <c r="F2341" s="55"/>
      <c r="G2341" s="55"/>
    </row>
    <row r="2342">
      <c r="A2342" s="55" t="s">
        <v>115</v>
      </c>
      <c r="B2342" s="55">
        <v>432.0</v>
      </c>
      <c r="C2342" s="55" t="s">
        <v>918</v>
      </c>
      <c r="E2342" s="55"/>
      <c r="F2342" s="55"/>
      <c r="G2342" s="55"/>
    </row>
    <row r="2343" hidden="1">
      <c r="A2343" s="55" t="s">
        <v>136</v>
      </c>
      <c r="B2343" s="55">
        <v>100.0</v>
      </c>
      <c r="C2343" s="55" t="s">
        <v>917</v>
      </c>
      <c r="E2343" s="55"/>
      <c r="F2343" s="55"/>
      <c r="G2343" s="55"/>
    </row>
    <row r="2344" hidden="1">
      <c r="A2344" s="55" t="s">
        <v>142</v>
      </c>
      <c r="B2344" s="55">
        <v>100.0</v>
      </c>
      <c r="C2344" s="55" t="s">
        <v>917</v>
      </c>
      <c r="E2344" s="55"/>
      <c r="F2344" s="55"/>
      <c r="G2344" s="55"/>
    </row>
    <row r="2345" hidden="1">
      <c r="A2345" s="55" t="s">
        <v>141</v>
      </c>
      <c r="B2345" s="55">
        <v>600.0</v>
      </c>
      <c r="C2345" s="55" t="s">
        <v>917</v>
      </c>
      <c r="E2345" s="55"/>
      <c r="F2345" s="55"/>
      <c r="G2345" s="55"/>
    </row>
    <row r="2346" hidden="1">
      <c r="A2346" s="55" t="s">
        <v>153</v>
      </c>
      <c r="B2346" s="55">
        <v>600.0</v>
      </c>
      <c r="C2346" s="55" t="s">
        <v>917</v>
      </c>
      <c r="E2346" s="55"/>
      <c r="F2346" s="55"/>
      <c r="G2346" s="55"/>
    </row>
    <row r="2347">
      <c r="A2347" s="55" t="s">
        <v>154</v>
      </c>
      <c r="B2347" s="55">
        <v>1728.0</v>
      </c>
      <c r="C2347" s="55" t="s">
        <v>918</v>
      </c>
      <c r="E2347" s="55"/>
      <c r="F2347" s="55"/>
      <c r="G2347" s="55"/>
    </row>
    <row r="2348">
      <c r="A2348" s="55" t="s">
        <v>90</v>
      </c>
      <c r="B2348" s="55">
        <v>720.0</v>
      </c>
      <c r="C2348" s="55" t="s">
        <v>918</v>
      </c>
      <c r="E2348" s="55"/>
      <c r="F2348" s="55"/>
      <c r="G2348" s="55"/>
    </row>
    <row r="2349">
      <c r="A2349" s="55" t="s">
        <v>144</v>
      </c>
      <c r="B2349" s="55">
        <v>200.0</v>
      </c>
      <c r="C2349" s="55" t="s">
        <v>952</v>
      </c>
      <c r="E2349" s="55"/>
      <c r="F2349" s="55"/>
      <c r="G2349" s="55"/>
    </row>
    <row r="2350">
      <c r="A2350" s="55" t="s">
        <v>134</v>
      </c>
      <c r="B2350" s="55">
        <v>1280.0</v>
      </c>
      <c r="C2350" s="55" t="s">
        <v>919</v>
      </c>
      <c r="E2350" s="55"/>
      <c r="F2350" s="55"/>
      <c r="G2350" s="55"/>
    </row>
    <row r="2351">
      <c r="A2351" s="55" t="s">
        <v>133</v>
      </c>
      <c r="B2351" s="55">
        <v>600.0</v>
      </c>
      <c r="C2351" s="55" t="s">
        <v>919</v>
      </c>
      <c r="E2351" s="55"/>
      <c r="F2351" s="55"/>
      <c r="G2351" s="55"/>
    </row>
    <row r="2352" hidden="1">
      <c r="A2352" s="55" t="s">
        <v>59</v>
      </c>
      <c r="B2352" s="55">
        <v>10.0</v>
      </c>
      <c r="C2352" s="55" t="s">
        <v>917</v>
      </c>
      <c r="E2352" s="55"/>
      <c r="F2352" s="55"/>
      <c r="G2352" s="55"/>
    </row>
    <row r="2353" hidden="1">
      <c r="A2353" s="55" t="s">
        <v>153</v>
      </c>
      <c r="B2353" s="55">
        <v>80.0</v>
      </c>
      <c r="C2353" s="55" t="s">
        <v>917</v>
      </c>
      <c r="E2353" s="55"/>
      <c r="F2353" s="55"/>
      <c r="G2353" s="55"/>
    </row>
    <row r="2354" hidden="1">
      <c r="A2354" s="55" t="s">
        <v>72</v>
      </c>
      <c r="B2354" s="55">
        <v>64.0</v>
      </c>
      <c r="E2354" s="55"/>
      <c r="F2354" s="55"/>
      <c r="G2354" s="55"/>
    </row>
    <row r="2355" hidden="1">
      <c r="A2355" s="55" t="s">
        <v>154</v>
      </c>
      <c r="B2355" s="55">
        <v>121.0</v>
      </c>
      <c r="C2355" s="55" t="s">
        <v>917</v>
      </c>
      <c r="E2355" s="55"/>
      <c r="F2355" s="55"/>
      <c r="G2355" s="55"/>
    </row>
    <row r="2356" hidden="1">
      <c r="A2356" s="55" t="s">
        <v>129</v>
      </c>
      <c r="B2356" s="55">
        <v>30.0</v>
      </c>
      <c r="C2356" s="55" t="s">
        <v>917</v>
      </c>
      <c r="E2356" s="55"/>
      <c r="F2356" s="55"/>
      <c r="G2356" s="55"/>
    </row>
    <row r="2357">
      <c r="A2357" s="55" t="s">
        <v>134</v>
      </c>
      <c r="B2357" s="55">
        <v>300.0</v>
      </c>
      <c r="C2357" s="55" t="s">
        <v>939</v>
      </c>
      <c r="E2357" s="55"/>
      <c r="F2357" s="55"/>
      <c r="G2357" s="55"/>
    </row>
    <row r="2358">
      <c r="A2358" s="55" t="s">
        <v>133</v>
      </c>
      <c r="B2358" s="55">
        <v>60.0</v>
      </c>
      <c r="C2358" s="55" t="s">
        <v>939</v>
      </c>
      <c r="E2358" s="55"/>
      <c r="F2358" s="55"/>
      <c r="G2358" s="55"/>
    </row>
    <row r="2359">
      <c r="A2359" s="55" t="s">
        <v>20</v>
      </c>
      <c r="B2359" s="55">
        <v>25.0</v>
      </c>
      <c r="C2359" s="55" t="s">
        <v>949</v>
      </c>
      <c r="E2359" s="55"/>
      <c r="F2359" s="55"/>
      <c r="G2359" s="55"/>
    </row>
    <row r="2360">
      <c r="A2360" s="55" t="s">
        <v>131</v>
      </c>
      <c r="B2360" s="55">
        <v>20.0</v>
      </c>
      <c r="C2360" s="55" t="s">
        <v>918</v>
      </c>
      <c r="E2360" s="55"/>
      <c r="F2360" s="55"/>
      <c r="G2360" s="55"/>
    </row>
    <row r="2361" hidden="1">
      <c r="A2361" s="55" t="s">
        <v>92</v>
      </c>
      <c r="B2361" s="55">
        <v>32.0</v>
      </c>
      <c r="C2361" s="55" t="s">
        <v>917</v>
      </c>
      <c r="E2361" s="55"/>
      <c r="F2361" s="55"/>
      <c r="G2361" s="55"/>
    </row>
    <row r="2362" hidden="1">
      <c r="A2362" s="55" t="s">
        <v>17</v>
      </c>
      <c r="B2362" s="55">
        <v>27.0</v>
      </c>
      <c r="C2362" s="55" t="s">
        <v>917</v>
      </c>
      <c r="E2362" s="55"/>
      <c r="F2362" s="55"/>
      <c r="G2362" s="55"/>
    </row>
    <row r="2363" hidden="1">
      <c r="A2363" s="55" t="s">
        <v>95</v>
      </c>
      <c r="B2363" s="55">
        <v>20.0</v>
      </c>
      <c r="C2363" s="55" t="s">
        <v>917</v>
      </c>
      <c r="E2363" s="55"/>
      <c r="F2363" s="55"/>
      <c r="G2363" s="55"/>
    </row>
    <row r="2364" hidden="1">
      <c r="A2364" s="55" t="s">
        <v>33</v>
      </c>
      <c r="B2364" s="55">
        <v>75.0</v>
      </c>
      <c r="C2364" s="55" t="s">
        <v>917</v>
      </c>
      <c r="E2364" s="55"/>
      <c r="F2364" s="55"/>
      <c r="G2364" s="55"/>
    </row>
    <row r="2365" hidden="1">
      <c r="A2365" s="55" t="s">
        <v>64</v>
      </c>
      <c r="B2365" s="55">
        <v>12.0</v>
      </c>
      <c r="C2365" s="55" t="s">
        <v>917</v>
      </c>
      <c r="E2365" s="55"/>
      <c r="F2365" s="55"/>
      <c r="G2365" s="55"/>
    </row>
    <row r="2366" hidden="1">
      <c r="A2366" s="55" t="s">
        <v>68</v>
      </c>
      <c r="B2366" s="55">
        <v>50.0</v>
      </c>
      <c r="C2366" s="55" t="s">
        <v>917</v>
      </c>
      <c r="E2366" s="55"/>
      <c r="F2366" s="55"/>
      <c r="G2366" s="55"/>
    </row>
    <row r="2367" hidden="1">
      <c r="A2367" s="55" t="s">
        <v>23</v>
      </c>
      <c r="B2367" s="55">
        <v>23.0</v>
      </c>
      <c r="C2367" s="55" t="s">
        <v>917</v>
      </c>
      <c r="E2367" s="55"/>
      <c r="F2367" s="55"/>
      <c r="G2367" s="55"/>
    </row>
    <row r="2368" hidden="1">
      <c r="A2368" s="55" t="s">
        <v>80</v>
      </c>
      <c r="B2368" s="55">
        <v>43.0</v>
      </c>
      <c r="C2368" s="55" t="s">
        <v>917</v>
      </c>
      <c r="E2368" s="55"/>
      <c r="F2368" s="55"/>
      <c r="G2368" s="55"/>
    </row>
    <row r="2369">
      <c r="A2369" s="55" t="s">
        <v>115</v>
      </c>
      <c r="B2369" s="55">
        <v>864.0</v>
      </c>
      <c r="C2369" s="55" t="s">
        <v>918</v>
      </c>
      <c r="E2369" s="55"/>
      <c r="F2369" s="55"/>
      <c r="G2369" s="55"/>
    </row>
    <row r="2370">
      <c r="A2370" s="55" t="s">
        <v>69</v>
      </c>
      <c r="B2370" s="55">
        <v>10.0</v>
      </c>
      <c r="C2370" s="55" t="s">
        <v>918</v>
      </c>
      <c r="E2370" s="55"/>
      <c r="F2370" s="55"/>
      <c r="G2370" s="55"/>
    </row>
    <row r="2371" hidden="1">
      <c r="A2371" s="55" t="s">
        <v>119</v>
      </c>
      <c r="B2371" s="55">
        <v>20.0</v>
      </c>
      <c r="C2371" s="55" t="s">
        <v>917</v>
      </c>
      <c r="E2371" s="55"/>
      <c r="F2371" s="55"/>
      <c r="G2371" s="55"/>
    </row>
    <row r="2372" hidden="1">
      <c r="A2372" s="55" t="s">
        <v>411</v>
      </c>
      <c r="B2372" s="55">
        <v>18.0</v>
      </c>
      <c r="C2372" s="55" t="s">
        <v>917</v>
      </c>
      <c r="E2372" s="55"/>
      <c r="F2372" s="55"/>
      <c r="G2372" s="55"/>
    </row>
    <row r="2373" hidden="1">
      <c r="A2373" s="55" t="s">
        <v>67</v>
      </c>
      <c r="B2373" s="55">
        <v>100.0</v>
      </c>
      <c r="C2373" s="55" t="s">
        <v>917</v>
      </c>
      <c r="E2373" s="55"/>
      <c r="F2373" s="55"/>
      <c r="G2373" s="55"/>
    </row>
    <row r="2374">
      <c r="A2374" s="55" t="s">
        <v>262</v>
      </c>
      <c r="B2374" s="55">
        <v>100.0</v>
      </c>
      <c r="C2374" s="55" t="s">
        <v>922</v>
      </c>
      <c r="E2374" s="55"/>
      <c r="F2374" s="55"/>
      <c r="G2374" s="55"/>
    </row>
    <row r="2375">
      <c r="A2375" s="55" t="s">
        <v>207</v>
      </c>
      <c r="B2375" s="55">
        <v>200.0</v>
      </c>
      <c r="C2375" s="55" t="s">
        <v>918</v>
      </c>
      <c r="E2375" s="55"/>
      <c r="F2375" s="55"/>
      <c r="G2375" s="55"/>
    </row>
    <row r="2376" hidden="1">
      <c r="A2376" s="55" t="s">
        <v>287</v>
      </c>
      <c r="B2376" s="55">
        <v>20.0</v>
      </c>
      <c r="C2376" s="55" t="s">
        <v>917</v>
      </c>
      <c r="E2376" s="55"/>
      <c r="F2376" s="55"/>
      <c r="G2376" s="55"/>
    </row>
    <row r="2377" hidden="1">
      <c r="A2377" s="55" t="s">
        <v>347</v>
      </c>
      <c r="B2377" s="55">
        <v>60.0</v>
      </c>
      <c r="C2377" s="55" t="s">
        <v>917</v>
      </c>
      <c r="E2377" s="55"/>
      <c r="F2377" s="55"/>
      <c r="G2377" s="55"/>
    </row>
    <row r="2378" hidden="1">
      <c r="A2378" s="55" t="s">
        <v>344</v>
      </c>
      <c r="B2378" s="55">
        <v>40.0</v>
      </c>
      <c r="C2378" s="55" t="s">
        <v>917</v>
      </c>
      <c r="E2378" s="55"/>
      <c r="F2378" s="55"/>
      <c r="G2378" s="55"/>
    </row>
    <row r="2379" hidden="1">
      <c r="A2379" s="55" t="s">
        <v>362</v>
      </c>
      <c r="B2379" s="55">
        <v>10.0</v>
      </c>
      <c r="C2379" s="55" t="s">
        <v>917</v>
      </c>
      <c r="E2379" s="55"/>
      <c r="F2379" s="55"/>
      <c r="G2379" s="55"/>
    </row>
    <row r="2380" hidden="1">
      <c r="A2380" s="55" t="s">
        <v>366</v>
      </c>
      <c r="B2380" s="55">
        <v>30.0</v>
      </c>
      <c r="C2380" s="55" t="s">
        <v>917</v>
      </c>
      <c r="E2380" s="55"/>
      <c r="F2380" s="55"/>
      <c r="G2380" s="55"/>
    </row>
    <row r="2381">
      <c r="A2381" s="55" t="s">
        <v>340</v>
      </c>
      <c r="B2381" s="55">
        <v>144.0</v>
      </c>
      <c r="C2381" s="55" t="s">
        <v>918</v>
      </c>
      <c r="E2381" s="55"/>
      <c r="F2381" s="55"/>
      <c r="G2381" s="55"/>
    </row>
    <row r="2382" hidden="1">
      <c r="A2382" s="55" t="s">
        <v>162</v>
      </c>
      <c r="B2382" s="55">
        <v>30.0</v>
      </c>
      <c r="C2382" s="55" t="s">
        <v>917</v>
      </c>
      <c r="E2382" s="55"/>
      <c r="F2382" s="55"/>
      <c r="G2382" s="55"/>
    </row>
    <row r="2383">
      <c r="A2383" s="55" t="s">
        <v>377</v>
      </c>
      <c r="B2383" s="55">
        <v>50.0</v>
      </c>
      <c r="C2383" s="55" t="s">
        <v>918</v>
      </c>
      <c r="E2383" s="55"/>
      <c r="F2383" s="55"/>
      <c r="G2383" s="55"/>
    </row>
    <row r="2384" hidden="1">
      <c r="A2384" s="55" t="s">
        <v>947</v>
      </c>
      <c r="B2384" s="55">
        <v>32.0</v>
      </c>
      <c r="C2384" s="55" t="s">
        <v>917</v>
      </c>
      <c r="E2384" s="55"/>
      <c r="F2384" s="55"/>
      <c r="G2384" s="55"/>
    </row>
    <row r="2385" hidden="1">
      <c r="A2385" s="55" t="s">
        <v>335</v>
      </c>
      <c r="B2385" s="55">
        <v>72.0</v>
      </c>
      <c r="C2385" s="55" t="s">
        <v>917</v>
      </c>
      <c r="E2385" s="55"/>
      <c r="F2385" s="55"/>
      <c r="G2385" s="55"/>
    </row>
    <row r="2386">
      <c r="A2386" s="55" t="s">
        <v>264</v>
      </c>
      <c r="B2386" s="55">
        <v>50.0</v>
      </c>
      <c r="C2386" s="55" t="s">
        <v>918</v>
      </c>
      <c r="E2386" s="55"/>
      <c r="F2386" s="55"/>
      <c r="G2386" s="55"/>
    </row>
    <row r="2387" hidden="1">
      <c r="A2387" s="55" t="s">
        <v>294</v>
      </c>
      <c r="B2387" s="55">
        <v>20.0</v>
      </c>
      <c r="C2387" s="55" t="s">
        <v>917</v>
      </c>
      <c r="E2387" s="55"/>
      <c r="F2387" s="55"/>
      <c r="G2387" s="55"/>
    </row>
    <row r="2388" hidden="1">
      <c r="A2388" s="55" t="s">
        <v>364</v>
      </c>
      <c r="B2388" s="55">
        <v>20.0</v>
      </c>
      <c r="C2388" s="55" t="s">
        <v>917</v>
      </c>
      <c r="E2388" s="55"/>
      <c r="F2388" s="55"/>
      <c r="G2388" s="55"/>
    </row>
    <row r="2389">
      <c r="A2389" s="55" t="s">
        <v>251</v>
      </c>
      <c r="B2389" s="55">
        <v>30.0</v>
      </c>
      <c r="C2389" s="55" t="s">
        <v>922</v>
      </c>
      <c r="E2389" s="55"/>
      <c r="F2389" s="55"/>
      <c r="G2389" s="55"/>
    </row>
    <row r="2390">
      <c r="A2390" s="55" t="s">
        <v>252</v>
      </c>
      <c r="B2390" s="55">
        <v>432.0</v>
      </c>
      <c r="C2390" s="55" t="s">
        <v>918</v>
      </c>
      <c r="E2390" s="55"/>
      <c r="F2390" s="55"/>
      <c r="G2390" s="55"/>
    </row>
    <row r="2391" hidden="1">
      <c r="A2391" s="55" t="s">
        <v>259</v>
      </c>
      <c r="B2391" s="55">
        <v>120.0</v>
      </c>
      <c r="C2391" s="55" t="s">
        <v>917</v>
      </c>
      <c r="E2391" s="55"/>
      <c r="F2391" s="55"/>
      <c r="G2391" s="55"/>
    </row>
    <row r="2392" hidden="1">
      <c r="A2392" s="55" t="s">
        <v>185</v>
      </c>
      <c r="B2392" s="55">
        <v>250.0</v>
      </c>
      <c r="C2392" s="55" t="s">
        <v>917</v>
      </c>
      <c r="E2392" s="55"/>
      <c r="F2392" s="55"/>
      <c r="G2392" s="55"/>
    </row>
    <row r="2393">
      <c r="A2393" s="55" t="s">
        <v>321</v>
      </c>
      <c r="B2393" s="55">
        <v>20.0</v>
      </c>
      <c r="C2393" s="55" t="s">
        <v>922</v>
      </c>
      <c r="E2393" s="55"/>
      <c r="F2393" s="55"/>
      <c r="G2393" s="55"/>
    </row>
    <row r="2394" hidden="1">
      <c r="A2394" s="55" t="s">
        <v>359</v>
      </c>
      <c r="B2394" s="55">
        <v>20.0</v>
      </c>
      <c r="C2394" s="55" t="s">
        <v>917</v>
      </c>
      <c r="E2394" s="55"/>
      <c r="F2394" s="55"/>
      <c r="G2394" s="55"/>
    </row>
    <row r="2395">
      <c r="A2395" s="55" t="s">
        <v>284</v>
      </c>
      <c r="B2395" s="55">
        <v>10.0</v>
      </c>
      <c r="C2395" s="55" t="s">
        <v>922</v>
      </c>
      <c r="E2395" s="55"/>
      <c r="F2395" s="55"/>
      <c r="G2395" s="55"/>
    </row>
    <row r="2396">
      <c r="A2396" s="55" t="s">
        <v>221</v>
      </c>
      <c r="B2396" s="55">
        <v>50.0</v>
      </c>
      <c r="C2396" s="55" t="s">
        <v>922</v>
      </c>
      <c r="E2396" s="55"/>
      <c r="F2396" s="55"/>
      <c r="G2396" s="55"/>
    </row>
    <row r="2397">
      <c r="A2397" s="55" t="s">
        <v>231</v>
      </c>
      <c r="B2397" s="55">
        <v>100.0</v>
      </c>
      <c r="C2397" s="55" t="s">
        <v>918</v>
      </c>
      <c r="E2397" s="55"/>
      <c r="F2397" s="55"/>
      <c r="G2397" s="55"/>
    </row>
    <row r="2398">
      <c r="A2398" s="55" t="s">
        <v>250</v>
      </c>
      <c r="B2398" s="55">
        <v>20.0</v>
      </c>
      <c r="C2398" s="55" t="s">
        <v>932</v>
      </c>
      <c r="E2398" s="55"/>
      <c r="F2398" s="55"/>
      <c r="G2398" s="55"/>
    </row>
    <row r="2399" hidden="1">
      <c r="A2399" s="55" t="s">
        <v>293</v>
      </c>
      <c r="B2399" s="55">
        <v>10.0</v>
      </c>
      <c r="C2399" s="55" t="s">
        <v>917</v>
      </c>
      <c r="E2399" s="55"/>
      <c r="F2399" s="55"/>
      <c r="G2399" s="55"/>
    </row>
    <row r="2400">
      <c r="A2400" s="55" t="s">
        <v>257</v>
      </c>
      <c r="B2400" s="55">
        <v>20.0</v>
      </c>
      <c r="C2400" s="55" t="s">
        <v>932</v>
      </c>
      <c r="E2400" s="55"/>
      <c r="F2400" s="55"/>
      <c r="G2400" s="55"/>
    </row>
    <row r="2401" hidden="1">
      <c r="A2401" s="55" t="s">
        <v>220</v>
      </c>
      <c r="B2401" s="55">
        <v>22.0</v>
      </c>
      <c r="C2401" s="55" t="s">
        <v>917</v>
      </c>
      <c r="E2401" s="55"/>
      <c r="F2401" s="55"/>
      <c r="G2401" s="55"/>
    </row>
    <row r="2402">
      <c r="A2402" s="55" t="s">
        <v>307</v>
      </c>
      <c r="B2402" s="55">
        <v>8.0</v>
      </c>
      <c r="C2402" s="55" t="s">
        <v>918</v>
      </c>
      <c r="E2402" s="55"/>
      <c r="F2402" s="55"/>
      <c r="G2402" s="55"/>
    </row>
    <row r="2403">
      <c r="A2403" s="55" t="s">
        <v>350</v>
      </c>
      <c r="B2403" s="55">
        <v>12.0</v>
      </c>
      <c r="C2403" s="55" t="s">
        <v>918</v>
      </c>
      <c r="E2403" s="55"/>
      <c r="F2403" s="55"/>
      <c r="G2403" s="55"/>
    </row>
    <row r="2404" hidden="1">
      <c r="A2404" s="55" t="s">
        <v>359</v>
      </c>
      <c r="B2404" s="55">
        <v>20.0</v>
      </c>
      <c r="C2404" s="55" t="s">
        <v>917</v>
      </c>
      <c r="E2404" s="55"/>
      <c r="F2404" s="55"/>
      <c r="G2404" s="55"/>
    </row>
    <row r="2405">
      <c r="A2405" s="55" t="s">
        <v>231</v>
      </c>
      <c r="B2405" s="55">
        <v>100.0</v>
      </c>
      <c r="C2405" s="55" t="s">
        <v>918</v>
      </c>
      <c r="E2405" s="55"/>
      <c r="F2405" s="55"/>
      <c r="G2405" s="55"/>
    </row>
    <row r="2406">
      <c r="A2406" s="55" t="s">
        <v>262</v>
      </c>
      <c r="B2406" s="55">
        <v>42.0</v>
      </c>
      <c r="C2406" s="55" t="s">
        <v>922</v>
      </c>
      <c r="E2406" s="55"/>
      <c r="F2406" s="55"/>
      <c r="G2406" s="55"/>
    </row>
    <row r="2407" hidden="1">
      <c r="A2407" s="55" t="s">
        <v>290</v>
      </c>
      <c r="B2407" s="55">
        <v>20.0</v>
      </c>
      <c r="C2407" s="55" t="s">
        <v>917</v>
      </c>
      <c r="E2407" s="55"/>
      <c r="F2407" s="55"/>
      <c r="G2407" s="55"/>
    </row>
    <row r="2408" hidden="1">
      <c r="A2408" s="55" t="s">
        <v>329</v>
      </c>
      <c r="B2408" s="55">
        <v>37.0</v>
      </c>
      <c r="C2408" s="55" t="s">
        <v>917</v>
      </c>
      <c r="E2408" s="55"/>
      <c r="F2408" s="55"/>
      <c r="G2408" s="55"/>
    </row>
    <row r="2409" hidden="1">
      <c r="A2409" s="55" t="s">
        <v>315</v>
      </c>
      <c r="B2409" s="55">
        <v>6.0</v>
      </c>
      <c r="C2409" s="55" t="s">
        <v>917</v>
      </c>
      <c r="E2409" s="55"/>
      <c r="F2409" s="55"/>
      <c r="G2409" s="55"/>
    </row>
    <row r="2410">
      <c r="A2410" s="55" t="s">
        <v>320</v>
      </c>
      <c r="B2410" s="55">
        <v>28.0</v>
      </c>
      <c r="C2410" s="55" t="s">
        <v>918</v>
      </c>
      <c r="E2410" s="55"/>
      <c r="F2410" s="55"/>
      <c r="G2410" s="55"/>
    </row>
    <row r="2411" hidden="1">
      <c r="A2411" s="55" t="s">
        <v>318</v>
      </c>
      <c r="B2411" s="55">
        <v>56.0</v>
      </c>
      <c r="C2411" s="55" t="s">
        <v>917</v>
      </c>
      <c r="E2411" s="55"/>
      <c r="F2411" s="55"/>
      <c r="G2411" s="55"/>
    </row>
    <row r="2412">
      <c r="A2412" s="55" t="s">
        <v>207</v>
      </c>
      <c r="B2412" s="55">
        <v>166.0</v>
      </c>
      <c r="C2412" s="55" t="s">
        <v>918</v>
      </c>
      <c r="E2412" s="55"/>
      <c r="F2412" s="55"/>
      <c r="G2412" s="55"/>
    </row>
    <row r="2413" hidden="1">
      <c r="A2413" s="55" t="s">
        <v>354</v>
      </c>
      <c r="B2413" s="55">
        <v>40.0</v>
      </c>
      <c r="C2413" s="55" t="s">
        <v>917</v>
      </c>
      <c r="E2413" s="55"/>
      <c r="F2413" s="55"/>
      <c r="G2413" s="55"/>
    </row>
    <row r="2414">
      <c r="A2414" s="55" t="s">
        <v>356</v>
      </c>
      <c r="B2414" s="55">
        <v>11.0</v>
      </c>
      <c r="C2414" s="55" t="s">
        <v>918</v>
      </c>
      <c r="E2414" s="55"/>
      <c r="F2414" s="55"/>
      <c r="G2414" s="55"/>
    </row>
    <row r="2415">
      <c r="A2415" s="55" t="s">
        <v>241</v>
      </c>
      <c r="B2415" s="55">
        <v>34.0</v>
      </c>
      <c r="C2415" s="55" t="s">
        <v>918</v>
      </c>
      <c r="E2415" s="55"/>
      <c r="F2415" s="55"/>
      <c r="G2415" s="55"/>
    </row>
    <row r="2416">
      <c r="A2416" s="55" t="s">
        <v>264</v>
      </c>
      <c r="B2416" s="55">
        <v>5.0</v>
      </c>
      <c r="C2416" s="55" t="s">
        <v>918</v>
      </c>
      <c r="E2416" s="55"/>
      <c r="F2416" s="55"/>
      <c r="G2416" s="55"/>
    </row>
    <row r="2417">
      <c r="A2417" s="55" t="s">
        <v>313</v>
      </c>
      <c r="B2417" s="55">
        <v>14.0</v>
      </c>
      <c r="C2417" s="55" t="s">
        <v>922</v>
      </c>
      <c r="E2417" s="55"/>
      <c r="F2417" s="55"/>
      <c r="G2417" s="55"/>
    </row>
    <row r="2418">
      <c r="A2418" s="55" t="s">
        <v>250</v>
      </c>
      <c r="B2418" s="55">
        <v>20.0</v>
      </c>
      <c r="C2418" s="55" t="s">
        <v>932</v>
      </c>
      <c r="E2418" s="55"/>
      <c r="F2418" s="55"/>
      <c r="G2418" s="55"/>
    </row>
    <row r="2419" hidden="1">
      <c r="A2419" s="55" t="s">
        <v>335</v>
      </c>
      <c r="B2419" s="55">
        <v>18.0</v>
      </c>
      <c r="C2419" s="55" t="s">
        <v>917</v>
      </c>
      <c r="E2419" s="55"/>
      <c r="F2419" s="55"/>
      <c r="G2419" s="55"/>
    </row>
    <row r="2420" hidden="1">
      <c r="A2420" s="55" t="s">
        <v>294</v>
      </c>
      <c r="B2420" s="55">
        <v>9.0</v>
      </c>
      <c r="C2420" s="55" t="s">
        <v>917</v>
      </c>
      <c r="E2420" s="55"/>
      <c r="F2420" s="55"/>
      <c r="G2420" s="55"/>
    </row>
    <row r="2421" hidden="1">
      <c r="A2421" s="55" t="s">
        <v>259</v>
      </c>
      <c r="B2421" s="55">
        <v>7.0</v>
      </c>
      <c r="C2421" s="55" t="s">
        <v>917</v>
      </c>
      <c r="E2421" s="55"/>
      <c r="F2421" s="55"/>
      <c r="G2421" s="55"/>
    </row>
    <row r="2422" hidden="1">
      <c r="A2422" s="55" t="s">
        <v>185</v>
      </c>
      <c r="B2422" s="55">
        <v>76.0</v>
      </c>
      <c r="C2422" s="55" t="s">
        <v>917</v>
      </c>
      <c r="E2422" s="55"/>
      <c r="F2422" s="55"/>
      <c r="G2422" s="55"/>
    </row>
    <row r="2423" hidden="1">
      <c r="A2423" s="55" t="s">
        <v>245</v>
      </c>
      <c r="B2423" s="55">
        <v>15.0</v>
      </c>
      <c r="C2423" s="55" t="s">
        <v>917</v>
      </c>
      <c r="E2423" s="55"/>
      <c r="F2423" s="55"/>
      <c r="G2423" s="55"/>
    </row>
    <row r="2424">
      <c r="A2424" s="55" t="s">
        <v>173</v>
      </c>
      <c r="B2424" s="55">
        <v>12.0</v>
      </c>
      <c r="C2424" s="55" t="s">
        <v>918</v>
      </c>
      <c r="E2424" s="55"/>
      <c r="F2424" s="55"/>
      <c r="G2424" s="55"/>
    </row>
    <row r="2425" hidden="1">
      <c r="A2425" s="55" t="s">
        <v>170</v>
      </c>
      <c r="B2425" s="55">
        <v>36.0</v>
      </c>
      <c r="C2425" s="55" t="s">
        <v>917</v>
      </c>
      <c r="E2425" s="55"/>
      <c r="F2425" s="55"/>
      <c r="G2425" s="55"/>
    </row>
    <row r="2426">
      <c r="A2426" s="55" t="s">
        <v>340</v>
      </c>
      <c r="B2426" s="55">
        <v>12.0</v>
      </c>
      <c r="C2426" s="55" t="s">
        <v>918</v>
      </c>
      <c r="E2426" s="55"/>
      <c r="F2426" s="55"/>
      <c r="G2426" s="55"/>
    </row>
    <row r="2427">
      <c r="A2427" s="55" t="s">
        <v>325</v>
      </c>
      <c r="B2427" s="55">
        <v>27.0</v>
      </c>
      <c r="C2427" s="55" t="s">
        <v>918</v>
      </c>
      <c r="E2427" s="55"/>
      <c r="F2427" s="55"/>
      <c r="G2427" s="55"/>
    </row>
    <row r="2428" hidden="1">
      <c r="A2428" s="55" t="s">
        <v>344</v>
      </c>
      <c r="B2428" s="55">
        <v>46.0</v>
      </c>
      <c r="C2428" s="55" t="s">
        <v>917</v>
      </c>
      <c r="E2428" s="55"/>
      <c r="F2428" s="55"/>
      <c r="G2428" s="55"/>
    </row>
    <row r="2429">
      <c r="A2429" s="55" t="s">
        <v>373</v>
      </c>
      <c r="B2429" s="55">
        <v>68.0</v>
      </c>
      <c r="C2429" s="55" t="s">
        <v>925</v>
      </c>
      <c r="E2429" s="55"/>
      <c r="F2429" s="55"/>
      <c r="G2429" s="55"/>
    </row>
    <row r="2430" hidden="1">
      <c r="A2430" s="55" t="s">
        <v>364</v>
      </c>
      <c r="B2430" s="55">
        <v>7.0</v>
      </c>
      <c r="C2430" s="55" t="s">
        <v>917</v>
      </c>
      <c r="E2430" s="55"/>
      <c r="F2430" s="55"/>
      <c r="G2430" s="55"/>
    </row>
    <row r="2431" hidden="1">
      <c r="A2431" s="55" t="s">
        <v>347</v>
      </c>
      <c r="B2431" s="55">
        <v>18.0</v>
      </c>
      <c r="C2431" s="55" t="s">
        <v>917</v>
      </c>
      <c r="E2431" s="55"/>
      <c r="F2431" s="55"/>
      <c r="G2431" s="55"/>
    </row>
    <row r="2432">
      <c r="A2432" s="55" t="s">
        <v>226</v>
      </c>
      <c r="B2432" s="55">
        <v>31.0</v>
      </c>
      <c r="C2432" s="55" t="s">
        <v>922</v>
      </c>
      <c r="E2432" s="55"/>
      <c r="F2432" s="55"/>
      <c r="G2432" s="55"/>
    </row>
    <row r="2433" hidden="1">
      <c r="A2433" s="55" t="s">
        <v>239</v>
      </c>
      <c r="B2433" s="55">
        <v>119.0</v>
      </c>
      <c r="C2433" s="55" t="s">
        <v>917</v>
      </c>
      <c r="E2433" s="55"/>
      <c r="F2433" s="55"/>
      <c r="G2433" s="55"/>
    </row>
    <row r="2434" hidden="1">
      <c r="A2434" s="55" t="s">
        <v>164</v>
      </c>
      <c r="B2434" s="55">
        <v>80.0</v>
      </c>
      <c r="C2434" s="55" t="s">
        <v>917</v>
      </c>
      <c r="E2434" s="55"/>
      <c r="F2434" s="55"/>
      <c r="G2434" s="55"/>
    </row>
    <row r="2435">
      <c r="A2435" s="55" t="s">
        <v>166</v>
      </c>
      <c r="B2435" s="55">
        <v>23.0</v>
      </c>
      <c r="C2435" s="55" t="s">
        <v>918</v>
      </c>
      <c r="E2435" s="55"/>
      <c r="F2435" s="55"/>
      <c r="G2435" s="55"/>
    </row>
    <row r="2436" hidden="1">
      <c r="A2436" s="55" t="s">
        <v>200</v>
      </c>
      <c r="B2436" s="55">
        <v>28.0</v>
      </c>
      <c r="C2436" s="55" t="s">
        <v>917</v>
      </c>
      <c r="E2436" s="55"/>
      <c r="F2436" s="55"/>
      <c r="G2436" s="55"/>
    </row>
    <row r="2437" hidden="1">
      <c r="A2437" s="55" t="s">
        <v>326</v>
      </c>
      <c r="B2437" s="55">
        <v>3.0</v>
      </c>
      <c r="C2437" s="55" t="s">
        <v>917</v>
      </c>
      <c r="E2437" s="55"/>
      <c r="F2437" s="55"/>
      <c r="G2437" s="55"/>
    </row>
    <row r="2438" hidden="1">
      <c r="A2438" s="55" t="s">
        <v>236</v>
      </c>
      <c r="B2438" s="55">
        <v>80.0</v>
      </c>
      <c r="C2438" s="55" t="s">
        <v>917</v>
      </c>
      <c r="E2438" s="55"/>
      <c r="F2438" s="55"/>
      <c r="G2438" s="55"/>
    </row>
    <row r="2439">
      <c r="A2439" s="55" t="s">
        <v>370</v>
      </c>
      <c r="B2439" s="55">
        <v>15.0</v>
      </c>
      <c r="C2439" s="55" t="s">
        <v>918</v>
      </c>
      <c r="E2439" s="55"/>
      <c r="F2439" s="55"/>
      <c r="G2439" s="55"/>
    </row>
    <row r="2440">
      <c r="A2440" s="55" t="s">
        <v>242</v>
      </c>
      <c r="B2440" s="55">
        <v>2.0</v>
      </c>
      <c r="C2440" s="55" t="s">
        <v>918</v>
      </c>
      <c r="E2440" s="55"/>
      <c r="F2440" s="55"/>
      <c r="G2440" s="55"/>
    </row>
    <row r="2441">
      <c r="A2441" s="55" t="s">
        <v>301</v>
      </c>
      <c r="B2441" s="55">
        <v>40.0</v>
      </c>
      <c r="C2441" s="55" t="s">
        <v>932</v>
      </c>
      <c r="E2441" s="55"/>
      <c r="F2441" s="55"/>
      <c r="G2441" s="55"/>
    </row>
    <row r="2442">
      <c r="A2442" s="55" t="s">
        <v>321</v>
      </c>
      <c r="B2442" s="55">
        <v>10.0</v>
      </c>
      <c r="C2442" s="55" t="s">
        <v>922</v>
      </c>
      <c r="E2442" s="55"/>
      <c r="F2442" s="55"/>
      <c r="G2442" s="55"/>
    </row>
    <row r="2443">
      <c r="A2443" s="55" t="s">
        <v>257</v>
      </c>
      <c r="B2443" s="55">
        <v>20.0</v>
      </c>
      <c r="C2443" s="55" t="s">
        <v>932</v>
      </c>
      <c r="E2443" s="55"/>
      <c r="F2443" s="55"/>
      <c r="G2443" s="55"/>
    </row>
    <row r="2444" hidden="1">
      <c r="A2444" s="55" t="s">
        <v>292</v>
      </c>
      <c r="B2444" s="55">
        <v>45.0</v>
      </c>
      <c r="C2444" s="55" t="s">
        <v>917</v>
      </c>
      <c r="E2444" s="55"/>
      <c r="F2444" s="55"/>
      <c r="G2444" s="55"/>
    </row>
    <row r="2445" hidden="1">
      <c r="A2445" s="55" t="s">
        <v>286</v>
      </c>
      <c r="B2445" s="55">
        <v>67.0</v>
      </c>
      <c r="C2445" s="55" t="s">
        <v>917</v>
      </c>
      <c r="E2445" s="55"/>
      <c r="F2445" s="55"/>
      <c r="G2445" s="55"/>
    </row>
    <row r="2446" hidden="1">
      <c r="A2446" s="55" t="s">
        <v>219</v>
      </c>
      <c r="B2446" s="55">
        <v>16.0</v>
      </c>
      <c r="C2446" s="55" t="s">
        <v>917</v>
      </c>
      <c r="E2446" s="55"/>
      <c r="F2446" s="55"/>
      <c r="G2446" s="55"/>
    </row>
    <row r="2447" hidden="1">
      <c r="A2447" s="55" t="s">
        <v>192</v>
      </c>
      <c r="B2447" s="55">
        <v>24.0</v>
      </c>
      <c r="C2447" s="55" t="s">
        <v>917</v>
      </c>
      <c r="E2447" s="55"/>
      <c r="F2447" s="55"/>
      <c r="G2447" s="55"/>
    </row>
    <row r="2448" hidden="1">
      <c r="A2448" s="55" t="s">
        <v>366</v>
      </c>
      <c r="B2448" s="55">
        <v>18.0</v>
      </c>
      <c r="C2448" s="55" t="s">
        <v>917</v>
      </c>
      <c r="E2448" s="55"/>
      <c r="F2448" s="55"/>
      <c r="G2448" s="55"/>
    </row>
    <row r="2449" hidden="1">
      <c r="A2449" s="55" t="s">
        <v>176</v>
      </c>
      <c r="B2449" s="55">
        <v>113.0</v>
      </c>
      <c r="C2449" s="55" t="s">
        <v>917</v>
      </c>
      <c r="E2449" s="55"/>
      <c r="F2449" s="55"/>
      <c r="G2449" s="55"/>
    </row>
    <row r="2450">
      <c r="A2450" s="55" t="s">
        <v>251</v>
      </c>
      <c r="B2450" s="55">
        <v>10.0</v>
      </c>
      <c r="C2450" s="55" t="s">
        <v>922</v>
      </c>
      <c r="E2450" s="55"/>
      <c r="F2450" s="55"/>
      <c r="G2450" s="55"/>
    </row>
    <row r="2451" hidden="1">
      <c r="A2451" s="55" t="s">
        <v>376</v>
      </c>
      <c r="B2451" s="55">
        <v>20.0</v>
      </c>
      <c r="C2451" s="55" t="s">
        <v>917</v>
      </c>
      <c r="E2451" s="55"/>
      <c r="F2451" s="55"/>
      <c r="G2451" s="55"/>
    </row>
    <row r="2452">
      <c r="A2452" s="55" t="s">
        <v>340</v>
      </c>
      <c r="B2452" s="55">
        <v>288.0</v>
      </c>
      <c r="C2452" s="55" t="s">
        <v>918</v>
      </c>
      <c r="E2452" s="55"/>
      <c r="F2452" s="55"/>
      <c r="G2452" s="55"/>
    </row>
    <row r="2453">
      <c r="A2453" s="55" t="s">
        <v>377</v>
      </c>
      <c r="B2453" s="55">
        <v>144.0</v>
      </c>
      <c r="C2453" s="55" t="s">
        <v>918</v>
      </c>
      <c r="E2453" s="55"/>
      <c r="F2453" s="55"/>
      <c r="G2453" s="55"/>
    </row>
    <row r="2454" hidden="1">
      <c r="A2454" s="55" t="s">
        <v>947</v>
      </c>
      <c r="B2454" s="55">
        <v>160.0</v>
      </c>
      <c r="C2454" s="55" t="s">
        <v>917</v>
      </c>
      <c r="E2454" s="55"/>
      <c r="F2454" s="55"/>
      <c r="G2454" s="55"/>
    </row>
    <row r="2455" hidden="1">
      <c r="A2455" s="55" t="s">
        <v>286</v>
      </c>
      <c r="B2455" s="55">
        <v>100.0</v>
      </c>
      <c r="C2455" s="55" t="s">
        <v>917</v>
      </c>
      <c r="E2455" s="55"/>
      <c r="F2455" s="55"/>
      <c r="G2455" s="55"/>
    </row>
    <row r="2456">
      <c r="A2456" s="55" t="s">
        <v>321</v>
      </c>
      <c r="B2456" s="55">
        <v>50.0</v>
      </c>
      <c r="C2456" s="55" t="s">
        <v>922</v>
      </c>
      <c r="E2456" s="55"/>
      <c r="F2456" s="55"/>
      <c r="G2456" s="55"/>
    </row>
    <row r="2457" hidden="1">
      <c r="A2457" s="55" t="s">
        <v>359</v>
      </c>
      <c r="B2457" s="55">
        <v>80.0</v>
      </c>
      <c r="C2457" s="55" t="s">
        <v>917</v>
      </c>
      <c r="E2457" s="55"/>
      <c r="F2457" s="55"/>
      <c r="G2457" s="55"/>
    </row>
    <row r="2458">
      <c r="A2458" s="55" t="s">
        <v>257</v>
      </c>
      <c r="B2458" s="55">
        <v>84.0</v>
      </c>
      <c r="C2458" s="55" t="s">
        <v>932</v>
      </c>
      <c r="E2458" s="55"/>
      <c r="F2458" s="55"/>
      <c r="G2458" s="55"/>
    </row>
    <row r="2459" hidden="1">
      <c r="A2459" s="55" t="s">
        <v>52</v>
      </c>
      <c r="B2459" s="55">
        <v>15.0</v>
      </c>
      <c r="C2459" s="55" t="s">
        <v>917</v>
      </c>
      <c r="E2459" s="55"/>
      <c r="F2459" s="55"/>
      <c r="G2459" s="55"/>
    </row>
    <row r="2460">
      <c r="A2460" s="55" t="s">
        <v>102</v>
      </c>
      <c r="B2460" s="55">
        <v>256.0</v>
      </c>
      <c r="C2460" s="55" t="s">
        <v>918</v>
      </c>
      <c r="E2460" s="55"/>
      <c r="F2460" s="55"/>
      <c r="G2460" s="55"/>
    </row>
    <row r="2461" hidden="1">
      <c r="A2461" s="55" t="s">
        <v>68</v>
      </c>
      <c r="B2461" s="55">
        <v>2320.0</v>
      </c>
      <c r="C2461" s="55" t="s">
        <v>917</v>
      </c>
      <c r="E2461" s="55"/>
      <c r="F2461" s="55"/>
      <c r="G2461" s="55"/>
    </row>
    <row r="2462" hidden="1">
      <c r="A2462" s="55" t="s">
        <v>22</v>
      </c>
      <c r="B2462" s="55">
        <v>50.0</v>
      </c>
      <c r="C2462" s="55" t="s">
        <v>917</v>
      </c>
      <c r="E2462" s="55"/>
      <c r="F2462" s="55"/>
      <c r="G2462" s="55"/>
    </row>
    <row r="2463" hidden="1">
      <c r="A2463" s="55" t="s">
        <v>49</v>
      </c>
      <c r="B2463" s="55">
        <v>126.0</v>
      </c>
      <c r="C2463" s="55" t="s">
        <v>917</v>
      </c>
      <c r="E2463" s="55"/>
      <c r="F2463" s="55"/>
      <c r="G2463" s="55"/>
    </row>
    <row r="2464" hidden="1">
      <c r="A2464" s="55" t="s">
        <v>411</v>
      </c>
      <c r="B2464" s="55">
        <v>50.0</v>
      </c>
      <c r="C2464" s="55" t="s">
        <v>917</v>
      </c>
      <c r="E2464" s="55"/>
      <c r="F2464" s="55"/>
      <c r="G2464" s="55"/>
    </row>
    <row r="2465" hidden="1">
      <c r="A2465" s="55" t="s">
        <v>86</v>
      </c>
      <c r="B2465" s="55">
        <v>800.0</v>
      </c>
      <c r="C2465" s="55" t="s">
        <v>917</v>
      </c>
      <c r="E2465" s="55"/>
      <c r="F2465" s="55"/>
      <c r="G2465" s="55"/>
    </row>
    <row r="2466" hidden="1">
      <c r="A2466" s="55" t="s">
        <v>51</v>
      </c>
      <c r="B2466" s="55">
        <v>126.0</v>
      </c>
      <c r="C2466" s="55" t="s">
        <v>917</v>
      </c>
      <c r="E2466" s="55"/>
      <c r="F2466" s="55"/>
      <c r="G2466" s="55"/>
    </row>
    <row r="2467">
      <c r="A2467" s="55" t="s">
        <v>154</v>
      </c>
      <c r="B2467" s="55">
        <v>1728.0</v>
      </c>
      <c r="C2467" s="55" t="s">
        <v>918</v>
      </c>
      <c r="E2467" s="55"/>
      <c r="F2467" s="55"/>
      <c r="G2467" s="55"/>
    </row>
    <row r="2468">
      <c r="A2468" s="55" t="s">
        <v>55</v>
      </c>
      <c r="B2468" s="55">
        <v>1728.0</v>
      </c>
      <c r="C2468" s="55" t="s">
        <v>918</v>
      </c>
      <c r="E2468" s="55"/>
      <c r="F2468" s="55"/>
      <c r="G2468" s="55"/>
    </row>
    <row r="2469">
      <c r="A2469" s="55" t="s">
        <v>60</v>
      </c>
      <c r="B2469" s="55">
        <v>40.0</v>
      </c>
      <c r="C2469" s="55" t="s">
        <v>918</v>
      </c>
      <c r="E2469" s="55"/>
      <c r="F2469" s="55"/>
      <c r="G2469" s="55"/>
    </row>
    <row r="2470">
      <c r="A2470" s="55" t="s">
        <v>70</v>
      </c>
      <c r="B2470" s="55">
        <v>600.0</v>
      </c>
      <c r="C2470" s="55" t="s">
        <v>918</v>
      </c>
      <c r="E2470" s="55"/>
      <c r="F2470" s="55"/>
      <c r="G2470" s="55"/>
    </row>
    <row r="2471">
      <c r="A2471" s="55" t="s">
        <v>133</v>
      </c>
      <c r="B2471" s="55">
        <v>300.0</v>
      </c>
      <c r="C2471" s="55" t="s">
        <v>919</v>
      </c>
      <c r="E2471" s="55"/>
      <c r="F2471" s="55"/>
      <c r="G2471" s="55"/>
    </row>
    <row r="2472">
      <c r="A2472" s="55" t="s">
        <v>57</v>
      </c>
      <c r="B2472" s="55">
        <v>24.0</v>
      </c>
      <c r="C2472" s="55" t="s">
        <v>918</v>
      </c>
      <c r="E2472" s="55"/>
      <c r="F2472" s="55"/>
      <c r="G2472" s="55"/>
    </row>
    <row r="2473">
      <c r="A2473" s="55" t="s">
        <v>20</v>
      </c>
      <c r="B2473" s="55">
        <v>200.0</v>
      </c>
      <c r="C2473" s="55" t="s">
        <v>953</v>
      </c>
      <c r="E2473" s="55"/>
      <c r="F2473" s="55"/>
      <c r="G2473" s="55"/>
    </row>
    <row r="2474" hidden="1">
      <c r="A2474" s="55" t="s">
        <v>82</v>
      </c>
      <c r="B2474" s="55">
        <v>80.0</v>
      </c>
      <c r="C2474" s="55" t="s">
        <v>917</v>
      </c>
      <c r="E2474" s="55"/>
      <c r="F2474" s="55"/>
      <c r="G2474" s="55"/>
    </row>
    <row r="2475" hidden="1">
      <c r="A2475" s="55" t="s">
        <v>22</v>
      </c>
      <c r="B2475" s="55">
        <v>150.0</v>
      </c>
      <c r="C2475" s="55" t="s">
        <v>917</v>
      </c>
      <c r="E2475" s="55"/>
      <c r="F2475" s="55"/>
      <c r="G2475" s="55"/>
    </row>
    <row r="2476" hidden="1">
      <c r="A2476" s="55" t="s">
        <v>23</v>
      </c>
      <c r="B2476" s="55">
        <v>960.0</v>
      </c>
      <c r="C2476" s="55" t="s">
        <v>917</v>
      </c>
      <c r="E2476" s="55"/>
      <c r="F2476" s="55"/>
      <c r="G2476" s="55"/>
    </row>
    <row r="2477">
      <c r="A2477" s="55" t="s">
        <v>74</v>
      </c>
      <c r="B2477" s="55">
        <v>60.0</v>
      </c>
      <c r="C2477" s="55" t="s">
        <v>929</v>
      </c>
      <c r="E2477" s="55"/>
      <c r="F2477" s="55"/>
      <c r="G2477" s="55"/>
    </row>
    <row r="2478" hidden="1">
      <c r="A2478" s="55" t="s">
        <v>117</v>
      </c>
      <c r="B2478" s="55">
        <v>100.0</v>
      </c>
      <c r="C2478" s="55" t="s">
        <v>917</v>
      </c>
      <c r="E2478" s="55"/>
      <c r="F2478" s="55"/>
      <c r="G2478" s="55"/>
    </row>
    <row r="2479" hidden="1">
      <c r="A2479" s="55" t="s">
        <v>67</v>
      </c>
      <c r="B2479" s="55">
        <v>348.0</v>
      </c>
      <c r="C2479" s="55" t="s">
        <v>917</v>
      </c>
      <c r="E2479" s="55"/>
      <c r="F2479" s="55"/>
      <c r="G2479" s="55"/>
    </row>
    <row r="2480" hidden="1">
      <c r="A2480" s="55" t="s">
        <v>86</v>
      </c>
      <c r="B2480" s="55">
        <v>1200.0</v>
      </c>
      <c r="C2480" s="55" t="s">
        <v>917</v>
      </c>
      <c r="E2480" s="55"/>
      <c r="F2480" s="55"/>
      <c r="G2480" s="55"/>
    </row>
    <row r="2481" hidden="1">
      <c r="A2481" s="55" t="s">
        <v>51</v>
      </c>
      <c r="B2481" s="55">
        <v>168.0</v>
      </c>
      <c r="C2481" s="55" t="s">
        <v>917</v>
      </c>
      <c r="E2481" s="55"/>
      <c r="F2481" s="55"/>
      <c r="G2481" s="55"/>
    </row>
    <row r="2482">
      <c r="A2482" s="55" t="s">
        <v>168</v>
      </c>
      <c r="B2482" s="55">
        <v>256.0</v>
      </c>
      <c r="C2482" s="55" t="s">
        <v>918</v>
      </c>
      <c r="E2482" s="55"/>
      <c r="F2482" s="55"/>
      <c r="G2482" s="55"/>
    </row>
    <row r="2483">
      <c r="A2483" s="55" t="s">
        <v>334</v>
      </c>
      <c r="B2483" s="55">
        <v>200.0</v>
      </c>
      <c r="C2483" s="55" t="s">
        <v>918</v>
      </c>
      <c r="E2483" s="55"/>
      <c r="F2483" s="55"/>
      <c r="G2483" s="55"/>
    </row>
    <row r="2484" hidden="1">
      <c r="A2484" s="55" t="s">
        <v>72</v>
      </c>
      <c r="B2484" s="55">
        <v>216.0</v>
      </c>
      <c r="E2484" s="55"/>
      <c r="F2484" s="55"/>
      <c r="G2484" s="55"/>
    </row>
    <row r="2485" hidden="1">
      <c r="A2485" s="55" t="s">
        <v>90</v>
      </c>
      <c r="B2485" s="55">
        <v>24.0</v>
      </c>
      <c r="C2485" s="55" t="s">
        <v>917</v>
      </c>
      <c r="E2485" s="55"/>
      <c r="F2485" s="55"/>
      <c r="G2485" s="55"/>
    </row>
    <row r="2486" hidden="1">
      <c r="A2486" s="55" t="s">
        <v>129</v>
      </c>
      <c r="B2486" s="55">
        <v>60.0</v>
      </c>
      <c r="C2486" s="55" t="s">
        <v>917</v>
      </c>
      <c r="E2486" s="55"/>
      <c r="F2486" s="55"/>
      <c r="G2486" s="55"/>
    </row>
    <row r="2487" hidden="1">
      <c r="A2487" s="55" t="s">
        <v>134</v>
      </c>
      <c r="B2487" s="55">
        <v>150.0</v>
      </c>
      <c r="C2487" s="55" t="s">
        <v>917</v>
      </c>
      <c r="E2487" s="55"/>
      <c r="F2487" s="55"/>
      <c r="G2487" s="55"/>
    </row>
    <row r="2488">
      <c r="A2488" s="55" t="s">
        <v>20</v>
      </c>
      <c r="B2488" s="55">
        <v>100.0</v>
      </c>
      <c r="C2488" s="55" t="s">
        <v>949</v>
      </c>
      <c r="E2488" s="55"/>
      <c r="F2488" s="55"/>
      <c r="G2488" s="55"/>
    </row>
    <row r="2489" hidden="1">
      <c r="A2489" s="55" t="s">
        <v>92</v>
      </c>
      <c r="B2489" s="55">
        <v>100.0</v>
      </c>
      <c r="C2489" s="55" t="s">
        <v>917</v>
      </c>
      <c r="E2489" s="55"/>
      <c r="F2489" s="55"/>
      <c r="G2489" s="55"/>
    </row>
    <row r="2490" hidden="1">
      <c r="A2490" s="55" t="s">
        <v>15</v>
      </c>
      <c r="B2490" s="55">
        <v>50.0</v>
      </c>
      <c r="C2490" s="55" t="s">
        <v>917</v>
      </c>
      <c r="E2490" s="55"/>
      <c r="F2490" s="55"/>
      <c r="G2490" s="55"/>
    </row>
    <row r="2491" hidden="1">
      <c r="A2491" s="55" t="s">
        <v>33</v>
      </c>
      <c r="B2491" s="55">
        <v>100.0</v>
      </c>
      <c r="C2491" s="55" t="s">
        <v>917</v>
      </c>
      <c r="E2491" s="55"/>
      <c r="F2491" s="55"/>
      <c r="G2491" s="55"/>
    </row>
    <row r="2492" hidden="1">
      <c r="A2492" s="55" t="s">
        <v>113</v>
      </c>
      <c r="B2492" s="55">
        <v>40.0</v>
      </c>
      <c r="C2492" s="55" t="s">
        <v>917</v>
      </c>
      <c r="E2492" s="55"/>
      <c r="F2492" s="55"/>
      <c r="G2492" s="55"/>
    </row>
    <row r="2493" hidden="1">
      <c r="A2493" s="55" t="s">
        <v>23</v>
      </c>
      <c r="B2493" s="55">
        <v>58.0</v>
      </c>
      <c r="C2493" s="55" t="s">
        <v>917</v>
      </c>
      <c r="E2493" s="55"/>
      <c r="F2493" s="55"/>
      <c r="G2493" s="55"/>
    </row>
    <row r="2494">
      <c r="A2494" s="55" t="s">
        <v>53</v>
      </c>
      <c r="B2494" s="55">
        <v>20.0</v>
      </c>
      <c r="C2494" s="55" t="s">
        <v>938</v>
      </c>
      <c r="E2494" s="55"/>
      <c r="F2494" s="55"/>
      <c r="G2494" s="55"/>
    </row>
    <row r="2495" hidden="1">
      <c r="A2495" s="55" t="s">
        <v>97</v>
      </c>
      <c r="B2495" s="55">
        <v>20.0</v>
      </c>
      <c r="C2495" s="55" t="s">
        <v>917</v>
      </c>
      <c r="E2495" s="55"/>
      <c r="F2495" s="55"/>
      <c r="G2495" s="55"/>
    </row>
    <row r="2496" hidden="1">
      <c r="A2496" s="55" t="s">
        <v>80</v>
      </c>
      <c r="B2496" s="55">
        <v>20.0</v>
      </c>
      <c r="C2496" s="55" t="s">
        <v>917</v>
      </c>
      <c r="E2496" s="55"/>
      <c r="F2496" s="55"/>
      <c r="G2496" s="55"/>
    </row>
    <row r="2497">
      <c r="A2497" s="55" t="s">
        <v>74</v>
      </c>
      <c r="B2497" s="55">
        <v>90.0</v>
      </c>
      <c r="C2497" s="55" t="s">
        <v>929</v>
      </c>
      <c r="E2497" s="55"/>
      <c r="F2497" s="55"/>
      <c r="G2497" s="55"/>
    </row>
    <row r="2498">
      <c r="A2498" s="55" t="s">
        <v>115</v>
      </c>
      <c r="B2498" s="55">
        <v>432.0</v>
      </c>
      <c r="C2498" s="55" t="s">
        <v>918</v>
      </c>
      <c r="E2498" s="55"/>
      <c r="F2498" s="55"/>
      <c r="G2498" s="55"/>
    </row>
    <row r="2499">
      <c r="A2499" s="55" t="s">
        <v>123</v>
      </c>
      <c r="B2499" s="55">
        <v>144.0</v>
      </c>
      <c r="C2499" s="55" t="s">
        <v>918</v>
      </c>
      <c r="E2499" s="55"/>
      <c r="F2499" s="55"/>
      <c r="G2499" s="55"/>
    </row>
    <row r="2500">
      <c r="A2500" s="55" t="s">
        <v>124</v>
      </c>
      <c r="B2500" s="55">
        <v>144.0</v>
      </c>
      <c r="C2500" s="55" t="s">
        <v>918</v>
      </c>
      <c r="E2500" s="55"/>
      <c r="F2500" s="55"/>
      <c r="G2500" s="55"/>
    </row>
    <row r="2501">
      <c r="A2501" s="55" t="s">
        <v>96</v>
      </c>
      <c r="B2501" s="55">
        <v>30.0</v>
      </c>
      <c r="C2501" s="55" t="s">
        <v>918</v>
      </c>
      <c r="E2501" s="55"/>
      <c r="F2501" s="55"/>
      <c r="G2501" s="55"/>
    </row>
    <row r="2502" hidden="1">
      <c r="A2502" s="55" t="s">
        <v>79</v>
      </c>
      <c r="B2502" s="55">
        <v>20.0</v>
      </c>
      <c r="C2502" s="55" t="s">
        <v>917</v>
      </c>
      <c r="E2502" s="55"/>
      <c r="F2502" s="55"/>
      <c r="G2502" s="55"/>
    </row>
    <row r="2503" hidden="1">
      <c r="A2503" s="55" t="s">
        <v>67</v>
      </c>
      <c r="B2503" s="55">
        <v>40.0</v>
      </c>
      <c r="C2503" s="55" t="s">
        <v>917</v>
      </c>
      <c r="E2503" s="55"/>
      <c r="F2503" s="55"/>
      <c r="G2503" s="55"/>
    </row>
    <row r="2504" hidden="1">
      <c r="A2504" s="55" t="s">
        <v>86</v>
      </c>
      <c r="B2504" s="55">
        <v>40.0</v>
      </c>
      <c r="C2504" s="55" t="s">
        <v>917</v>
      </c>
      <c r="E2504" s="55"/>
      <c r="F2504" s="55"/>
      <c r="G2504" s="55"/>
    </row>
    <row r="2505" hidden="1">
      <c r="A2505" s="55" t="s">
        <v>72</v>
      </c>
      <c r="B2505" s="55">
        <v>216.0</v>
      </c>
      <c r="E2505" s="55"/>
      <c r="F2505" s="55"/>
      <c r="G2505" s="55"/>
    </row>
    <row r="2506" hidden="1">
      <c r="A2506" s="55" t="s">
        <v>129</v>
      </c>
      <c r="B2506" s="55">
        <v>60.0</v>
      </c>
      <c r="C2506" s="55" t="s">
        <v>917</v>
      </c>
      <c r="E2506" s="55"/>
      <c r="F2506" s="55"/>
      <c r="G2506" s="55"/>
    </row>
    <row r="2507" hidden="1">
      <c r="A2507" s="55" t="s">
        <v>134</v>
      </c>
      <c r="B2507" s="55">
        <v>188.0</v>
      </c>
      <c r="C2507" s="55" t="s">
        <v>917</v>
      </c>
      <c r="E2507" s="55"/>
      <c r="F2507" s="55"/>
      <c r="G2507" s="55"/>
    </row>
    <row r="2508">
      <c r="A2508" s="55" t="s">
        <v>20</v>
      </c>
      <c r="B2508" s="55">
        <v>100.0</v>
      </c>
      <c r="C2508" s="55" t="s">
        <v>949</v>
      </c>
      <c r="E2508" s="55"/>
      <c r="F2508" s="55"/>
      <c r="G2508" s="55"/>
    </row>
    <row r="2509" hidden="1">
      <c r="A2509" s="55" t="s">
        <v>92</v>
      </c>
      <c r="B2509" s="55">
        <v>100.0</v>
      </c>
      <c r="C2509" s="55" t="s">
        <v>917</v>
      </c>
      <c r="E2509" s="55"/>
      <c r="F2509" s="55"/>
      <c r="G2509" s="55"/>
    </row>
    <row r="2510" hidden="1">
      <c r="A2510" s="55" t="s">
        <v>80</v>
      </c>
      <c r="B2510" s="55">
        <v>60.0</v>
      </c>
      <c r="C2510" s="55" t="s">
        <v>917</v>
      </c>
      <c r="E2510" s="55"/>
      <c r="F2510" s="55"/>
      <c r="G2510" s="55"/>
    </row>
    <row r="2511">
      <c r="A2511" s="55" t="s">
        <v>115</v>
      </c>
      <c r="B2511" s="55">
        <v>432.0</v>
      </c>
      <c r="C2511" s="55" t="s">
        <v>918</v>
      </c>
      <c r="E2511" s="55"/>
      <c r="F2511" s="55"/>
      <c r="G2511" s="55"/>
    </row>
    <row r="2512">
      <c r="A2512" s="55" t="s">
        <v>123</v>
      </c>
      <c r="B2512" s="55">
        <v>60.0</v>
      </c>
      <c r="C2512" s="55" t="s">
        <v>918</v>
      </c>
      <c r="E2512" s="55"/>
      <c r="F2512" s="55"/>
      <c r="G2512" s="55"/>
    </row>
    <row r="2513">
      <c r="A2513" s="55" t="s">
        <v>124</v>
      </c>
      <c r="B2513" s="55">
        <v>60.0</v>
      </c>
      <c r="C2513" s="55" t="s">
        <v>918</v>
      </c>
      <c r="E2513" s="55"/>
      <c r="F2513" s="55"/>
      <c r="G2513" s="55"/>
    </row>
    <row r="2514">
      <c r="A2514" s="55" t="s">
        <v>122</v>
      </c>
      <c r="B2514" s="55">
        <v>50.0</v>
      </c>
      <c r="C2514" s="55" t="s">
        <v>918</v>
      </c>
      <c r="E2514" s="55"/>
      <c r="F2514" s="55"/>
      <c r="G2514" s="55"/>
    </row>
    <row r="2515">
      <c r="A2515" s="55" t="s">
        <v>96</v>
      </c>
      <c r="B2515" s="55">
        <v>60.0</v>
      </c>
      <c r="C2515" s="55" t="s">
        <v>918</v>
      </c>
      <c r="E2515" s="55"/>
      <c r="F2515" s="55"/>
      <c r="G2515" s="55"/>
    </row>
    <row r="2516">
      <c r="A2516" s="55" t="s">
        <v>262</v>
      </c>
      <c r="B2516" s="55">
        <v>30.0</v>
      </c>
      <c r="C2516" s="55" t="s">
        <v>922</v>
      </c>
      <c r="E2516" s="55"/>
      <c r="F2516" s="55"/>
      <c r="G2516" s="55"/>
    </row>
    <row r="2517">
      <c r="A2517" s="55" t="s">
        <v>207</v>
      </c>
      <c r="B2517" s="55">
        <v>200.0</v>
      </c>
      <c r="C2517" s="55" t="s">
        <v>918</v>
      </c>
      <c r="E2517" s="55"/>
      <c r="F2517" s="55"/>
      <c r="G2517" s="55"/>
    </row>
    <row r="2518" hidden="1">
      <c r="A2518" s="55" t="s">
        <v>170</v>
      </c>
      <c r="B2518" s="55">
        <v>150.0</v>
      </c>
      <c r="C2518" s="55" t="s">
        <v>917</v>
      </c>
      <c r="E2518" s="55"/>
      <c r="F2518" s="55"/>
      <c r="G2518" s="55"/>
    </row>
    <row r="2519" hidden="1">
      <c r="A2519" s="55" t="s">
        <v>219</v>
      </c>
      <c r="B2519" s="55">
        <v>40.0</v>
      </c>
      <c r="C2519" s="55" t="s">
        <v>917</v>
      </c>
      <c r="E2519" s="55"/>
      <c r="F2519" s="55"/>
      <c r="G2519" s="55"/>
    </row>
    <row r="2520" hidden="1">
      <c r="A2520" s="55" t="s">
        <v>192</v>
      </c>
      <c r="B2520" s="55">
        <v>50.0</v>
      </c>
      <c r="C2520" s="55" t="s">
        <v>917</v>
      </c>
      <c r="E2520" s="55"/>
      <c r="F2520" s="55"/>
      <c r="G2520" s="55"/>
    </row>
    <row r="2521" hidden="1">
      <c r="A2521" s="55" t="s">
        <v>287</v>
      </c>
      <c r="B2521" s="55">
        <v>50.0</v>
      </c>
      <c r="C2521" s="55" t="s">
        <v>917</v>
      </c>
      <c r="E2521" s="55"/>
      <c r="F2521" s="55"/>
      <c r="G2521" s="55"/>
    </row>
    <row r="2522" hidden="1">
      <c r="A2522" s="55" t="s">
        <v>418</v>
      </c>
      <c r="B2522" s="55">
        <v>20.0</v>
      </c>
      <c r="C2522" s="55" t="s">
        <v>917</v>
      </c>
      <c r="E2522" s="55"/>
      <c r="F2522" s="55"/>
      <c r="G2522" s="55"/>
    </row>
    <row r="2523" hidden="1">
      <c r="A2523" s="55" t="s">
        <v>347</v>
      </c>
      <c r="B2523" s="55">
        <v>30.0</v>
      </c>
      <c r="C2523" s="55" t="s">
        <v>917</v>
      </c>
      <c r="E2523" s="55"/>
      <c r="F2523" s="55"/>
      <c r="G2523" s="55"/>
    </row>
    <row r="2524" hidden="1">
      <c r="A2524" s="55" t="s">
        <v>315</v>
      </c>
      <c r="B2524" s="55">
        <v>20.0</v>
      </c>
      <c r="C2524" s="55" t="s">
        <v>917</v>
      </c>
      <c r="E2524" s="55"/>
      <c r="F2524" s="55"/>
      <c r="G2524" s="55"/>
    </row>
    <row r="2525" hidden="1">
      <c r="A2525" s="55" t="s">
        <v>332</v>
      </c>
      <c r="B2525" s="55">
        <v>20.0</v>
      </c>
      <c r="C2525" s="55" t="s">
        <v>917</v>
      </c>
      <c r="E2525" s="55"/>
      <c r="F2525" s="55"/>
      <c r="G2525" s="55"/>
    </row>
    <row r="2526">
      <c r="A2526" s="55" t="s">
        <v>242</v>
      </c>
      <c r="B2526" s="55">
        <v>10.0</v>
      </c>
      <c r="C2526" s="55" t="s">
        <v>918</v>
      </c>
      <c r="E2526" s="55"/>
      <c r="F2526" s="55"/>
      <c r="G2526" s="55"/>
    </row>
    <row r="2527" hidden="1">
      <c r="A2527" s="55" t="s">
        <v>200</v>
      </c>
      <c r="B2527" s="55">
        <v>30.0</v>
      </c>
      <c r="C2527" s="55" t="s">
        <v>917</v>
      </c>
      <c r="E2527" s="55"/>
      <c r="F2527" s="55"/>
      <c r="G2527" s="55"/>
    </row>
    <row r="2528">
      <c r="A2528" s="55" t="s">
        <v>283</v>
      </c>
      <c r="B2528" s="55">
        <v>20.0</v>
      </c>
      <c r="C2528" s="55" t="s">
        <v>933</v>
      </c>
      <c r="E2528" s="55"/>
      <c r="F2528" s="55"/>
      <c r="G2528" s="55"/>
    </row>
    <row r="2529">
      <c r="A2529" s="55" t="s">
        <v>340</v>
      </c>
      <c r="B2529" s="55">
        <v>60.0</v>
      </c>
      <c r="C2529" s="55" t="s">
        <v>918</v>
      </c>
      <c r="E2529" s="55"/>
      <c r="F2529" s="55"/>
      <c r="G2529" s="55"/>
    </row>
    <row r="2530">
      <c r="A2530" s="55" t="s">
        <v>377</v>
      </c>
      <c r="B2530" s="55">
        <v>50.0</v>
      </c>
      <c r="C2530" s="55" t="s">
        <v>918</v>
      </c>
      <c r="E2530" s="55"/>
      <c r="F2530" s="55"/>
      <c r="G2530" s="55"/>
    </row>
    <row r="2531" hidden="1">
      <c r="A2531" s="55" t="s">
        <v>947</v>
      </c>
      <c r="B2531" s="55">
        <v>32.0</v>
      </c>
      <c r="C2531" s="55" t="s">
        <v>917</v>
      </c>
      <c r="E2531" s="55"/>
      <c r="F2531" s="55"/>
      <c r="G2531" s="55"/>
    </row>
    <row r="2532" hidden="1">
      <c r="A2532" s="55" t="s">
        <v>183</v>
      </c>
      <c r="B2532" s="55">
        <v>60.0</v>
      </c>
      <c r="C2532" s="55" t="s">
        <v>917</v>
      </c>
      <c r="E2532" s="55"/>
      <c r="F2532" s="55"/>
      <c r="G2532" s="55"/>
    </row>
    <row r="2533">
      <c r="A2533" s="55" t="s">
        <v>264</v>
      </c>
      <c r="B2533" s="55">
        <v>40.0</v>
      </c>
      <c r="C2533" s="55" t="s">
        <v>918</v>
      </c>
      <c r="E2533" s="55"/>
      <c r="F2533" s="55"/>
      <c r="G2533" s="55"/>
    </row>
    <row r="2534">
      <c r="A2534" s="55" t="s">
        <v>196</v>
      </c>
      <c r="B2534" s="55">
        <v>20.0</v>
      </c>
      <c r="C2534" s="55" t="s">
        <v>918</v>
      </c>
      <c r="E2534" s="55"/>
      <c r="F2534" s="55"/>
      <c r="G2534" s="55"/>
    </row>
    <row r="2535" hidden="1">
      <c r="A2535" s="55" t="s">
        <v>294</v>
      </c>
      <c r="B2535" s="55">
        <v>40.0</v>
      </c>
      <c r="C2535" s="55" t="s">
        <v>917</v>
      </c>
      <c r="E2535" s="55"/>
      <c r="F2535" s="55"/>
      <c r="G2535" s="55"/>
    </row>
    <row r="2536">
      <c r="A2536" s="55" t="s">
        <v>251</v>
      </c>
      <c r="B2536" s="55">
        <v>30.0</v>
      </c>
      <c r="C2536" s="55" t="s">
        <v>922</v>
      </c>
      <c r="E2536" s="55"/>
      <c r="F2536" s="55"/>
      <c r="G2536" s="55"/>
    </row>
    <row r="2537" hidden="1">
      <c r="A2537" s="55" t="s">
        <v>259</v>
      </c>
      <c r="B2537" s="55">
        <v>200.0</v>
      </c>
      <c r="C2537" s="55" t="s">
        <v>917</v>
      </c>
      <c r="E2537" s="55"/>
      <c r="F2537" s="55"/>
      <c r="G2537" s="55"/>
    </row>
    <row r="2538" hidden="1">
      <c r="A2538" s="55" t="s">
        <v>245</v>
      </c>
      <c r="B2538" s="55">
        <v>100.0</v>
      </c>
      <c r="C2538" s="55" t="s">
        <v>917</v>
      </c>
      <c r="E2538" s="55"/>
      <c r="F2538" s="55"/>
      <c r="G2538" s="55"/>
    </row>
    <row r="2539">
      <c r="A2539" s="55" t="s">
        <v>189</v>
      </c>
      <c r="B2539" s="55">
        <v>40.0</v>
      </c>
      <c r="C2539" s="55" t="s">
        <v>918</v>
      </c>
      <c r="E2539" s="55"/>
      <c r="F2539" s="55"/>
      <c r="G2539" s="55"/>
    </row>
    <row r="2540">
      <c r="A2540" s="55" t="s">
        <v>321</v>
      </c>
      <c r="B2540" s="55">
        <v>20.0</v>
      </c>
      <c r="C2540" s="55" t="s">
        <v>922</v>
      </c>
      <c r="E2540" s="55"/>
      <c r="F2540" s="55"/>
      <c r="G2540" s="55"/>
    </row>
    <row r="2541">
      <c r="A2541" s="55" t="s">
        <v>285</v>
      </c>
      <c r="B2541" s="55">
        <v>60.0</v>
      </c>
      <c r="C2541" s="55" t="s">
        <v>922</v>
      </c>
      <c r="E2541" s="55"/>
      <c r="F2541" s="55"/>
      <c r="G2541" s="55"/>
    </row>
    <row r="2542">
      <c r="A2542" s="55" t="s">
        <v>230</v>
      </c>
      <c r="B2542" s="55">
        <v>300.0</v>
      </c>
      <c r="C2542" s="55" t="s">
        <v>922</v>
      </c>
      <c r="E2542" s="55"/>
      <c r="F2542" s="55"/>
      <c r="G2542" s="55"/>
    </row>
    <row r="2543">
      <c r="A2543" s="55" t="s">
        <v>231</v>
      </c>
      <c r="B2543" s="55">
        <v>60.0</v>
      </c>
      <c r="C2543" s="55" t="s">
        <v>918</v>
      </c>
      <c r="E2543" s="55"/>
      <c r="F2543" s="55"/>
      <c r="G2543" s="55"/>
    </row>
    <row r="2544" hidden="1">
      <c r="A2544" s="55" t="s">
        <v>176</v>
      </c>
      <c r="B2544" s="55">
        <v>200.0</v>
      </c>
      <c r="C2544" s="55" t="s">
        <v>917</v>
      </c>
      <c r="E2544" s="55"/>
      <c r="F2544" s="55"/>
      <c r="G2544" s="55"/>
    </row>
    <row r="2545">
      <c r="A2545" s="55" t="s">
        <v>177</v>
      </c>
      <c r="B2545" s="55">
        <v>60.0</v>
      </c>
      <c r="C2545" s="55" t="s">
        <v>918</v>
      </c>
      <c r="E2545" s="55"/>
      <c r="F2545" s="55"/>
      <c r="G2545" s="55"/>
    </row>
    <row r="2546">
      <c r="A2546" s="55" t="s">
        <v>257</v>
      </c>
      <c r="B2546" s="55">
        <v>20.0</v>
      </c>
      <c r="C2546" s="55" t="s">
        <v>932</v>
      </c>
      <c r="E2546" s="55"/>
      <c r="F2546" s="55"/>
      <c r="G2546" s="55"/>
    </row>
    <row r="2547">
      <c r="A2547" s="55" t="s">
        <v>55</v>
      </c>
      <c r="B2547" s="55">
        <v>2592.0</v>
      </c>
      <c r="C2547" s="55" t="s">
        <v>918</v>
      </c>
      <c r="E2547" s="55"/>
      <c r="F2547" s="55"/>
      <c r="G2547" s="55"/>
    </row>
    <row r="2548">
      <c r="A2548" s="55" t="s">
        <v>122</v>
      </c>
      <c r="B2548" s="55">
        <v>432.0</v>
      </c>
      <c r="C2548" s="55" t="s">
        <v>918</v>
      </c>
      <c r="E2548" s="55"/>
      <c r="F2548" s="55"/>
      <c r="G2548" s="55"/>
    </row>
    <row r="2549">
      <c r="A2549" s="55" t="s">
        <v>123</v>
      </c>
      <c r="B2549" s="55">
        <v>720.0</v>
      </c>
      <c r="C2549" s="55" t="s">
        <v>918</v>
      </c>
      <c r="E2549" s="55"/>
      <c r="F2549" s="55"/>
      <c r="G2549" s="55"/>
    </row>
    <row r="2550">
      <c r="A2550" s="55" t="s">
        <v>124</v>
      </c>
      <c r="B2550" s="55">
        <v>720.0</v>
      </c>
      <c r="C2550" s="55" t="s">
        <v>918</v>
      </c>
      <c r="E2550" s="55"/>
      <c r="F2550" s="55"/>
      <c r="G2550" s="55"/>
    </row>
    <row r="2551" hidden="1">
      <c r="A2551" s="55" t="s">
        <v>290</v>
      </c>
      <c r="B2551" s="55">
        <v>100.0</v>
      </c>
      <c r="C2551" s="55" t="s">
        <v>917</v>
      </c>
      <c r="E2551" s="55"/>
      <c r="F2551" s="55"/>
      <c r="G2551" s="55"/>
    </row>
    <row r="2552">
      <c r="A2552" s="55" t="s">
        <v>238</v>
      </c>
      <c r="B2552" s="55">
        <v>100.0</v>
      </c>
      <c r="C2552" s="55" t="s">
        <v>918</v>
      </c>
      <c r="E2552" s="55"/>
      <c r="F2552" s="55"/>
      <c r="G2552" s="55"/>
    </row>
    <row r="2553" hidden="1">
      <c r="A2553" s="55" t="s">
        <v>286</v>
      </c>
      <c r="B2553" s="55">
        <v>500.0</v>
      </c>
      <c r="C2553" s="55" t="s">
        <v>917</v>
      </c>
      <c r="E2553" s="55"/>
      <c r="F2553" s="55"/>
      <c r="G2553" s="55"/>
    </row>
    <row r="2554">
      <c r="A2554" s="55" t="s">
        <v>251</v>
      </c>
      <c r="B2554" s="55">
        <v>200.0</v>
      </c>
      <c r="C2554" s="55" t="s">
        <v>944</v>
      </c>
      <c r="E2554" s="55"/>
      <c r="F2554" s="55"/>
      <c r="G2554" s="55"/>
    </row>
    <row r="2555">
      <c r="A2555" s="55" t="s">
        <v>195</v>
      </c>
      <c r="B2555" s="55">
        <v>100.0</v>
      </c>
      <c r="C2555" s="55" t="s">
        <v>918</v>
      </c>
      <c r="E2555" s="55"/>
      <c r="F2555" s="55"/>
      <c r="G2555" s="55"/>
    </row>
    <row r="2556" hidden="1">
      <c r="A2556" s="55" t="s">
        <v>359</v>
      </c>
      <c r="B2556" s="55">
        <v>100.0</v>
      </c>
      <c r="C2556" s="55" t="s">
        <v>917</v>
      </c>
      <c r="E2556" s="55"/>
      <c r="F2556" s="55"/>
      <c r="G2556" s="55"/>
    </row>
    <row r="2557" hidden="1">
      <c r="A2557" s="55" t="s">
        <v>278</v>
      </c>
      <c r="B2557" s="55">
        <v>300.0</v>
      </c>
      <c r="C2557" s="55" t="s">
        <v>917</v>
      </c>
      <c r="E2557" s="55"/>
      <c r="F2557" s="55"/>
      <c r="G2557" s="55"/>
    </row>
    <row r="2558" hidden="1">
      <c r="A2558" s="55" t="s">
        <v>129</v>
      </c>
      <c r="B2558" s="55">
        <v>210.0</v>
      </c>
      <c r="C2558" s="55" t="s">
        <v>917</v>
      </c>
      <c r="E2558" s="55"/>
      <c r="F2558" s="55"/>
      <c r="G2558" s="55"/>
    </row>
    <row r="2559" hidden="1">
      <c r="A2559" s="55" t="s">
        <v>15</v>
      </c>
      <c r="B2559" s="55">
        <v>124.0</v>
      </c>
      <c r="C2559" s="55" t="s">
        <v>917</v>
      </c>
      <c r="E2559" s="55"/>
      <c r="F2559" s="55"/>
      <c r="G2559" s="55"/>
    </row>
    <row r="2560">
      <c r="A2560" s="55" t="s">
        <v>123</v>
      </c>
      <c r="B2560" s="55">
        <v>144.0</v>
      </c>
      <c r="C2560" s="55" t="s">
        <v>918</v>
      </c>
      <c r="E2560" s="55"/>
      <c r="F2560" s="55"/>
      <c r="G2560" s="55"/>
    </row>
    <row r="2561">
      <c r="A2561" s="55" t="s">
        <v>124</v>
      </c>
      <c r="B2561" s="55">
        <v>432.0</v>
      </c>
      <c r="C2561" s="55" t="s">
        <v>918</v>
      </c>
      <c r="E2561" s="55"/>
      <c r="F2561" s="55"/>
      <c r="G2561" s="55"/>
    </row>
    <row r="2562">
      <c r="A2562" s="55" t="s">
        <v>69</v>
      </c>
      <c r="B2562" s="55">
        <v>103.0</v>
      </c>
      <c r="C2562" s="55" t="s">
        <v>918</v>
      </c>
      <c r="E2562" s="55"/>
      <c r="F2562" s="55"/>
      <c r="G2562" s="55"/>
    </row>
    <row r="2563" hidden="1">
      <c r="E2563" s="55"/>
      <c r="F2563" s="55"/>
      <c r="G2563" s="55"/>
    </row>
    <row r="2564">
      <c r="E2564" s="55"/>
      <c r="F2564" s="55"/>
      <c r="G2564" s="55"/>
    </row>
    <row r="2565">
      <c r="E2565" s="55"/>
      <c r="F2565" s="55"/>
      <c r="G2565" s="55"/>
    </row>
    <row r="2566">
      <c r="E2566" s="55"/>
      <c r="F2566" s="55"/>
      <c r="G2566" s="55"/>
    </row>
    <row r="2567">
      <c r="E2567" s="55"/>
      <c r="F2567" s="55"/>
      <c r="G2567" s="55"/>
    </row>
    <row r="2568">
      <c r="E2568" s="55"/>
      <c r="F2568" s="55"/>
      <c r="G2568" s="55"/>
    </row>
    <row r="2569">
      <c r="E2569" s="55"/>
      <c r="F2569" s="55"/>
      <c r="G2569" s="55"/>
    </row>
    <row r="2570">
      <c r="E2570" s="55"/>
      <c r="F2570" s="55"/>
      <c r="G2570" s="55"/>
    </row>
    <row r="2571">
      <c r="E2571" s="55"/>
      <c r="F2571" s="55"/>
      <c r="G2571" s="55"/>
    </row>
    <row r="2572">
      <c r="E2572" s="55"/>
      <c r="F2572" s="55"/>
      <c r="G2572" s="55"/>
    </row>
    <row r="2573">
      <c r="E2573" s="55"/>
      <c r="F2573" s="55"/>
      <c r="G2573" s="55"/>
    </row>
    <row r="2574">
      <c r="E2574" s="55"/>
      <c r="F2574" s="55"/>
      <c r="G2574" s="55"/>
    </row>
    <row r="2575">
      <c r="E2575" s="55"/>
      <c r="F2575" s="55"/>
      <c r="G2575" s="55"/>
    </row>
    <row r="2576">
      <c r="E2576" s="55"/>
      <c r="F2576" s="55"/>
      <c r="G2576" s="55"/>
    </row>
    <row r="2577">
      <c r="E2577" s="55"/>
      <c r="F2577" s="55"/>
      <c r="G2577" s="55"/>
    </row>
    <row r="2578">
      <c r="E2578" s="55"/>
      <c r="F2578" s="55"/>
      <c r="G2578" s="55"/>
    </row>
    <row r="2579">
      <c r="E2579" s="55"/>
      <c r="F2579" s="55"/>
      <c r="G2579" s="55"/>
    </row>
    <row r="2580">
      <c r="E2580" s="55"/>
      <c r="F2580" s="55"/>
      <c r="G2580" s="55"/>
    </row>
    <row r="2581">
      <c r="E2581" s="55"/>
      <c r="F2581" s="55"/>
      <c r="G2581" s="55"/>
    </row>
    <row r="2582">
      <c r="E2582" s="55"/>
      <c r="F2582" s="55"/>
      <c r="G2582" s="55"/>
    </row>
    <row r="2583">
      <c r="E2583" s="55"/>
      <c r="F2583" s="55"/>
      <c r="G2583" s="55"/>
    </row>
    <row r="2584">
      <c r="E2584" s="55"/>
      <c r="F2584" s="55"/>
      <c r="G2584" s="55"/>
    </row>
    <row r="2585">
      <c r="E2585" s="55"/>
      <c r="F2585" s="55"/>
      <c r="G2585" s="55"/>
    </row>
    <row r="2586">
      <c r="E2586" s="55"/>
      <c r="F2586" s="55"/>
      <c r="G2586" s="55"/>
    </row>
    <row r="2587">
      <c r="E2587" s="55"/>
      <c r="F2587" s="55"/>
      <c r="G2587" s="55"/>
    </row>
    <row r="2588">
      <c r="E2588" s="55"/>
      <c r="F2588" s="55"/>
      <c r="G2588" s="55"/>
    </row>
    <row r="2589">
      <c r="E2589" s="55"/>
      <c r="F2589" s="55"/>
      <c r="G2589" s="55"/>
    </row>
    <row r="2590">
      <c r="E2590" s="55"/>
      <c r="F2590" s="55"/>
      <c r="G2590" s="55"/>
    </row>
    <row r="2591">
      <c r="E2591" s="55"/>
      <c r="F2591" s="55"/>
      <c r="G2591" s="55"/>
    </row>
    <row r="2592">
      <c r="E2592" s="55"/>
      <c r="F2592" s="55"/>
      <c r="G2592" s="55"/>
    </row>
    <row r="2593">
      <c r="E2593" s="55"/>
      <c r="F2593" s="55"/>
      <c r="G2593" s="55"/>
    </row>
    <row r="2594">
      <c r="E2594" s="55"/>
      <c r="F2594" s="55"/>
      <c r="G2594" s="55"/>
    </row>
    <row r="2595">
      <c r="E2595" s="55"/>
      <c r="F2595" s="55"/>
      <c r="G2595" s="55"/>
    </row>
    <row r="2596">
      <c r="E2596" s="55"/>
      <c r="F2596" s="55"/>
      <c r="G2596" s="55"/>
    </row>
    <row r="2597">
      <c r="E2597" s="55"/>
      <c r="F2597" s="55"/>
      <c r="G2597" s="55"/>
    </row>
    <row r="2598">
      <c r="E2598" s="55"/>
      <c r="F2598" s="55"/>
      <c r="G2598" s="55"/>
    </row>
    <row r="2599">
      <c r="E2599" s="55"/>
      <c r="F2599" s="55"/>
      <c r="G2599" s="55"/>
    </row>
    <row r="2600">
      <c r="E2600" s="55"/>
      <c r="F2600" s="55"/>
      <c r="G2600" s="55"/>
    </row>
    <row r="2601">
      <c r="E2601" s="55"/>
      <c r="F2601" s="55"/>
      <c r="G2601" s="55"/>
    </row>
    <row r="2602">
      <c r="E2602" s="55"/>
      <c r="F2602" s="55"/>
      <c r="G2602" s="55"/>
    </row>
    <row r="2603">
      <c r="E2603" s="55"/>
      <c r="F2603" s="55"/>
      <c r="G2603" s="55"/>
    </row>
    <row r="2604">
      <c r="E2604" s="55"/>
      <c r="F2604" s="55"/>
      <c r="G2604" s="55"/>
    </row>
    <row r="2605">
      <c r="E2605" s="55"/>
      <c r="F2605" s="55"/>
      <c r="G2605" s="55"/>
    </row>
    <row r="2606">
      <c r="E2606" s="55"/>
      <c r="F2606" s="55"/>
      <c r="G2606" s="55"/>
    </row>
    <row r="2607">
      <c r="E2607" s="55"/>
      <c r="F2607" s="55"/>
      <c r="G2607" s="55"/>
    </row>
    <row r="2608">
      <c r="E2608" s="55"/>
      <c r="F2608" s="55"/>
      <c r="G2608" s="55"/>
    </row>
    <row r="2609">
      <c r="E2609" s="55"/>
      <c r="F2609" s="55"/>
      <c r="G2609" s="55"/>
    </row>
    <row r="2610">
      <c r="E2610" s="55"/>
      <c r="F2610" s="55"/>
      <c r="G2610" s="55"/>
    </row>
    <row r="2611">
      <c r="E2611" s="55"/>
      <c r="F2611" s="55"/>
      <c r="G2611" s="55"/>
    </row>
    <row r="2612">
      <c r="E2612" s="55"/>
      <c r="F2612" s="55"/>
      <c r="G2612" s="55"/>
    </row>
    <row r="2613">
      <c r="E2613" s="55"/>
      <c r="F2613" s="55"/>
      <c r="G2613" s="55"/>
    </row>
    <row r="2614">
      <c r="E2614" s="55"/>
      <c r="F2614" s="55"/>
      <c r="G2614" s="55"/>
    </row>
    <row r="2615">
      <c r="E2615" s="55"/>
      <c r="F2615" s="55"/>
      <c r="G2615" s="55"/>
    </row>
    <row r="2616">
      <c r="E2616" s="55"/>
      <c r="F2616" s="55"/>
      <c r="G2616" s="55"/>
    </row>
    <row r="2617">
      <c r="E2617" s="55"/>
      <c r="F2617" s="55"/>
      <c r="G2617" s="55"/>
    </row>
    <row r="2618">
      <c r="E2618" s="55"/>
      <c r="F2618" s="55"/>
      <c r="G2618" s="55"/>
    </row>
    <row r="2619">
      <c r="E2619" s="55"/>
      <c r="F2619" s="55"/>
      <c r="G2619" s="55"/>
    </row>
    <row r="2620">
      <c r="E2620" s="55"/>
      <c r="F2620" s="55"/>
      <c r="G2620" s="55"/>
    </row>
    <row r="2621">
      <c r="E2621" s="55"/>
      <c r="F2621" s="55"/>
      <c r="G2621" s="55"/>
    </row>
    <row r="2622">
      <c r="E2622" s="55"/>
      <c r="F2622" s="55"/>
      <c r="G2622" s="55"/>
    </row>
    <row r="2623">
      <c r="E2623" s="55"/>
      <c r="F2623" s="55"/>
      <c r="G2623" s="55"/>
    </row>
    <row r="2624">
      <c r="E2624" s="55"/>
      <c r="F2624" s="55"/>
      <c r="G2624" s="55"/>
    </row>
    <row r="2625">
      <c r="E2625" s="55"/>
      <c r="F2625" s="55"/>
      <c r="G2625" s="55"/>
    </row>
    <row r="2626">
      <c r="E2626" s="55"/>
      <c r="F2626" s="55"/>
      <c r="G2626" s="55"/>
    </row>
    <row r="2627">
      <c r="E2627" s="55"/>
      <c r="F2627" s="55"/>
      <c r="G2627" s="55"/>
    </row>
    <row r="2628">
      <c r="E2628" s="55"/>
      <c r="F2628" s="55"/>
      <c r="G2628" s="55"/>
    </row>
    <row r="2629">
      <c r="E2629" s="55"/>
      <c r="F2629" s="55"/>
      <c r="G2629" s="55"/>
    </row>
    <row r="2630">
      <c r="E2630" s="55"/>
      <c r="F2630" s="55"/>
      <c r="G2630" s="55"/>
    </row>
    <row r="2631">
      <c r="E2631" s="55"/>
      <c r="F2631" s="55"/>
      <c r="G2631" s="55"/>
    </row>
    <row r="2632">
      <c r="E2632" s="55"/>
      <c r="F2632" s="55"/>
      <c r="G2632" s="55"/>
    </row>
    <row r="2633">
      <c r="E2633" s="55"/>
      <c r="F2633" s="55"/>
      <c r="G2633" s="55"/>
    </row>
    <row r="2634">
      <c r="E2634" s="55"/>
      <c r="F2634" s="55"/>
      <c r="G2634" s="55"/>
    </row>
    <row r="2635">
      <c r="E2635" s="55"/>
      <c r="F2635" s="55"/>
      <c r="G2635" s="55"/>
    </row>
    <row r="2636">
      <c r="E2636" s="55"/>
      <c r="F2636" s="55"/>
      <c r="G2636" s="55"/>
    </row>
    <row r="2637">
      <c r="E2637" s="55"/>
      <c r="F2637" s="55"/>
      <c r="G2637" s="55"/>
    </row>
    <row r="2638">
      <c r="E2638" s="55"/>
      <c r="F2638" s="55"/>
      <c r="G2638" s="55"/>
    </row>
    <row r="2639">
      <c r="E2639" s="55"/>
      <c r="F2639" s="55"/>
      <c r="G2639" s="55"/>
    </row>
    <row r="2640">
      <c r="E2640" s="55"/>
      <c r="F2640" s="55"/>
      <c r="G2640" s="55"/>
    </row>
    <row r="2641">
      <c r="E2641" s="55"/>
      <c r="F2641" s="55"/>
      <c r="G2641" s="55"/>
    </row>
    <row r="2642">
      <c r="E2642" s="55"/>
      <c r="F2642" s="55"/>
      <c r="G2642" s="55"/>
    </row>
    <row r="2643">
      <c r="E2643" s="55"/>
      <c r="F2643" s="55"/>
      <c r="G2643" s="55"/>
    </row>
    <row r="2644">
      <c r="E2644" s="55"/>
      <c r="F2644" s="55"/>
      <c r="G2644" s="55"/>
    </row>
    <row r="2645">
      <c r="E2645" s="55"/>
      <c r="F2645" s="55"/>
      <c r="G2645" s="55"/>
    </row>
    <row r="2646">
      <c r="E2646" s="55"/>
      <c r="F2646" s="55"/>
      <c r="G2646" s="55"/>
    </row>
    <row r="2647">
      <c r="E2647" s="55"/>
      <c r="F2647" s="55"/>
      <c r="G2647" s="55"/>
    </row>
    <row r="2648">
      <c r="E2648" s="55"/>
      <c r="F2648" s="55"/>
      <c r="G2648" s="55"/>
    </row>
    <row r="2649">
      <c r="E2649" s="55"/>
      <c r="F2649" s="55"/>
      <c r="G2649" s="55"/>
    </row>
    <row r="2650">
      <c r="E2650" s="55"/>
      <c r="F2650" s="55"/>
      <c r="G2650" s="55"/>
    </row>
    <row r="2651">
      <c r="E2651" s="55"/>
      <c r="F2651" s="55"/>
      <c r="G2651" s="55"/>
    </row>
    <row r="2652">
      <c r="E2652" s="55"/>
      <c r="F2652" s="55"/>
      <c r="G2652" s="55"/>
    </row>
    <row r="2653">
      <c r="E2653" s="55"/>
      <c r="F2653" s="55"/>
      <c r="G2653" s="55"/>
    </row>
    <row r="2654">
      <c r="E2654" s="55"/>
      <c r="F2654" s="55"/>
      <c r="G2654" s="55"/>
    </row>
    <row r="2655">
      <c r="E2655" s="55"/>
      <c r="F2655" s="55"/>
      <c r="G2655" s="55"/>
    </row>
    <row r="2656">
      <c r="E2656" s="55"/>
      <c r="F2656" s="55"/>
      <c r="G2656" s="55"/>
    </row>
    <row r="2657">
      <c r="E2657" s="55"/>
      <c r="F2657" s="55"/>
      <c r="G2657" s="55"/>
    </row>
    <row r="2658">
      <c r="E2658" s="55"/>
      <c r="F2658" s="55"/>
      <c r="G2658" s="55"/>
    </row>
    <row r="2659">
      <c r="E2659" s="55"/>
      <c r="F2659" s="55"/>
      <c r="G2659" s="55"/>
    </row>
    <row r="2660">
      <c r="E2660" s="55"/>
      <c r="F2660" s="55"/>
      <c r="G2660" s="55"/>
    </row>
    <row r="2661">
      <c r="E2661" s="55"/>
      <c r="F2661" s="55"/>
      <c r="G2661" s="55"/>
    </row>
    <row r="2662">
      <c r="E2662" s="55"/>
      <c r="F2662" s="55"/>
      <c r="G2662" s="55"/>
    </row>
    <row r="2663">
      <c r="E2663" s="55"/>
      <c r="F2663" s="55"/>
      <c r="G2663" s="55"/>
    </row>
    <row r="2664">
      <c r="E2664" s="55"/>
      <c r="F2664" s="55"/>
      <c r="G2664" s="55"/>
    </row>
    <row r="2665">
      <c r="E2665" s="55"/>
      <c r="F2665" s="55"/>
      <c r="G2665" s="55"/>
    </row>
    <row r="2666">
      <c r="E2666" s="55"/>
      <c r="F2666" s="55"/>
      <c r="G2666" s="55"/>
    </row>
    <row r="2667">
      <c r="E2667" s="55"/>
      <c r="F2667" s="55"/>
      <c r="G2667" s="55"/>
    </row>
    <row r="2668">
      <c r="E2668" s="55"/>
      <c r="F2668" s="55"/>
      <c r="G2668" s="55"/>
    </row>
    <row r="2669">
      <c r="E2669" s="55"/>
      <c r="F2669" s="55"/>
      <c r="G2669" s="55"/>
    </row>
    <row r="2670">
      <c r="E2670" s="55"/>
      <c r="F2670" s="55"/>
      <c r="G2670" s="55"/>
    </row>
    <row r="2671">
      <c r="E2671" s="55"/>
      <c r="F2671" s="55"/>
      <c r="G2671" s="55"/>
    </row>
    <row r="2672">
      <c r="E2672" s="55"/>
      <c r="F2672" s="55"/>
      <c r="G2672" s="55"/>
    </row>
    <row r="2673">
      <c r="E2673" s="55"/>
      <c r="F2673" s="55"/>
      <c r="G2673" s="55"/>
    </row>
    <row r="2674">
      <c r="E2674" s="55"/>
      <c r="F2674" s="55"/>
      <c r="G2674" s="55"/>
    </row>
    <row r="2675">
      <c r="E2675" s="55"/>
      <c r="F2675" s="55"/>
      <c r="G2675" s="55"/>
    </row>
    <row r="2676">
      <c r="E2676" s="55"/>
      <c r="F2676" s="55"/>
      <c r="G2676" s="55"/>
    </row>
    <row r="2677">
      <c r="E2677" s="55"/>
      <c r="F2677" s="55"/>
      <c r="G2677" s="55"/>
    </row>
    <row r="2678">
      <c r="E2678" s="55"/>
      <c r="F2678" s="55"/>
      <c r="G2678" s="55"/>
    </row>
    <row r="2679">
      <c r="E2679" s="55"/>
      <c r="F2679" s="55"/>
      <c r="G2679" s="55"/>
    </row>
    <row r="2680">
      <c r="E2680" s="55"/>
      <c r="F2680" s="55"/>
      <c r="G2680" s="55"/>
    </row>
    <row r="2681">
      <c r="E2681" s="55"/>
      <c r="F2681" s="55"/>
      <c r="G2681" s="55"/>
    </row>
    <row r="2682">
      <c r="E2682" s="55"/>
      <c r="F2682" s="55"/>
      <c r="G2682" s="55"/>
    </row>
    <row r="2683">
      <c r="E2683" s="55"/>
      <c r="F2683" s="55"/>
      <c r="G2683" s="55"/>
    </row>
    <row r="2684">
      <c r="E2684" s="55"/>
      <c r="F2684" s="55"/>
      <c r="G2684" s="55"/>
    </row>
    <row r="2685">
      <c r="E2685" s="55"/>
      <c r="F2685" s="55"/>
      <c r="G2685" s="55"/>
    </row>
    <row r="2686">
      <c r="E2686" s="55"/>
      <c r="F2686" s="55"/>
      <c r="G2686" s="55"/>
    </row>
    <row r="2687">
      <c r="E2687" s="55"/>
      <c r="F2687" s="55"/>
      <c r="G2687" s="55"/>
    </row>
    <row r="2688">
      <c r="E2688" s="55"/>
      <c r="F2688" s="55"/>
      <c r="G2688" s="55"/>
    </row>
    <row r="2689">
      <c r="E2689" s="55"/>
      <c r="F2689" s="55"/>
      <c r="G2689" s="55"/>
    </row>
    <row r="2690">
      <c r="E2690" s="55"/>
      <c r="F2690" s="55"/>
      <c r="G2690" s="55"/>
    </row>
    <row r="2691">
      <c r="E2691" s="55"/>
      <c r="F2691" s="55"/>
      <c r="G2691" s="55"/>
    </row>
    <row r="2692">
      <c r="E2692" s="55"/>
      <c r="F2692" s="55"/>
      <c r="G2692" s="55"/>
    </row>
    <row r="2693">
      <c r="E2693" s="55"/>
      <c r="F2693" s="55"/>
      <c r="G2693" s="55"/>
    </row>
    <row r="2694">
      <c r="E2694" s="55"/>
      <c r="F2694" s="55"/>
      <c r="G2694" s="55"/>
    </row>
    <row r="2695">
      <c r="E2695" s="55"/>
      <c r="F2695" s="55"/>
      <c r="G2695" s="55"/>
    </row>
    <row r="2696">
      <c r="E2696" s="55"/>
      <c r="F2696" s="55"/>
      <c r="G2696" s="55"/>
    </row>
    <row r="2697">
      <c r="E2697" s="55"/>
      <c r="F2697" s="55"/>
      <c r="G2697" s="55"/>
    </row>
    <row r="2698">
      <c r="E2698" s="55"/>
      <c r="F2698" s="55"/>
      <c r="G2698" s="55"/>
    </row>
    <row r="2699">
      <c r="E2699" s="55"/>
      <c r="F2699" s="55"/>
      <c r="G2699" s="55"/>
    </row>
    <row r="2700">
      <c r="E2700" s="55"/>
      <c r="F2700" s="55"/>
      <c r="G2700" s="55"/>
    </row>
    <row r="2701">
      <c r="E2701" s="55"/>
      <c r="F2701" s="55"/>
      <c r="G2701" s="55"/>
    </row>
    <row r="2702">
      <c r="E2702" s="55"/>
      <c r="F2702" s="55"/>
      <c r="G2702" s="55"/>
    </row>
    <row r="2703">
      <c r="E2703" s="55"/>
      <c r="F2703" s="55"/>
      <c r="G2703" s="55"/>
    </row>
    <row r="2704">
      <c r="E2704" s="55"/>
      <c r="F2704" s="55"/>
      <c r="G2704" s="55"/>
    </row>
    <row r="2705">
      <c r="E2705" s="55"/>
      <c r="F2705" s="55"/>
      <c r="G2705" s="55"/>
    </row>
    <row r="2706">
      <c r="E2706" s="55"/>
      <c r="F2706" s="55"/>
      <c r="G2706" s="55"/>
    </row>
    <row r="2707">
      <c r="E2707" s="55"/>
      <c r="F2707" s="55"/>
      <c r="G2707" s="55"/>
    </row>
    <row r="2708">
      <c r="E2708" s="55"/>
      <c r="F2708" s="55"/>
      <c r="G2708" s="55"/>
    </row>
    <row r="2709">
      <c r="E2709" s="55"/>
      <c r="F2709" s="55"/>
      <c r="G2709" s="55"/>
    </row>
    <row r="2710">
      <c r="E2710" s="55"/>
      <c r="F2710" s="55"/>
      <c r="G2710" s="55"/>
    </row>
    <row r="2711">
      <c r="E2711" s="55"/>
      <c r="F2711" s="55"/>
      <c r="G2711" s="55"/>
    </row>
    <row r="2712">
      <c r="E2712" s="55"/>
      <c r="F2712" s="55"/>
      <c r="G2712" s="55"/>
    </row>
    <row r="2713">
      <c r="E2713" s="55"/>
      <c r="F2713" s="55"/>
      <c r="G2713" s="55"/>
    </row>
    <row r="2714">
      <c r="E2714" s="55"/>
      <c r="F2714" s="55"/>
      <c r="G2714" s="55"/>
    </row>
    <row r="2715">
      <c r="E2715" s="55"/>
      <c r="F2715" s="55"/>
      <c r="G2715" s="55"/>
    </row>
    <row r="2716">
      <c r="E2716" s="55"/>
      <c r="F2716" s="55"/>
      <c r="G2716" s="55"/>
    </row>
    <row r="2717">
      <c r="E2717" s="55"/>
      <c r="F2717" s="55"/>
      <c r="G2717" s="55"/>
    </row>
    <row r="2718">
      <c r="E2718" s="55"/>
      <c r="F2718" s="55"/>
      <c r="G2718" s="55"/>
    </row>
    <row r="2719">
      <c r="E2719" s="55"/>
      <c r="F2719" s="55"/>
      <c r="G2719" s="55"/>
    </row>
    <row r="2720">
      <c r="E2720" s="55"/>
      <c r="F2720" s="55"/>
      <c r="G2720" s="55"/>
    </row>
    <row r="2721">
      <c r="E2721" s="55"/>
      <c r="F2721" s="55"/>
      <c r="G2721" s="55"/>
    </row>
    <row r="2722">
      <c r="E2722" s="55"/>
      <c r="F2722" s="55"/>
      <c r="G2722" s="55"/>
    </row>
    <row r="2723">
      <c r="E2723" s="55"/>
      <c r="F2723" s="55"/>
      <c r="G2723" s="55"/>
    </row>
    <row r="2724">
      <c r="E2724" s="55"/>
      <c r="F2724" s="55"/>
      <c r="G2724" s="55"/>
    </row>
    <row r="2725">
      <c r="E2725" s="55"/>
      <c r="F2725" s="55"/>
      <c r="G2725" s="55"/>
    </row>
    <row r="2726">
      <c r="E2726" s="55"/>
      <c r="F2726" s="55"/>
      <c r="G2726" s="55"/>
    </row>
    <row r="2727">
      <c r="E2727" s="55"/>
      <c r="F2727" s="55"/>
      <c r="G2727" s="55"/>
    </row>
    <row r="2728">
      <c r="E2728" s="55"/>
      <c r="F2728" s="55"/>
      <c r="G2728" s="55"/>
    </row>
    <row r="2729">
      <c r="E2729" s="55"/>
      <c r="F2729" s="55"/>
      <c r="G2729" s="55"/>
    </row>
    <row r="2730">
      <c r="E2730" s="55"/>
      <c r="F2730" s="55"/>
      <c r="G2730" s="55"/>
    </row>
    <row r="2731">
      <c r="E2731" s="55"/>
      <c r="F2731" s="55"/>
      <c r="G2731" s="55"/>
    </row>
    <row r="2732">
      <c r="E2732" s="55"/>
      <c r="F2732" s="55"/>
      <c r="G2732" s="55"/>
    </row>
    <row r="2733">
      <c r="E2733" s="55"/>
      <c r="F2733" s="55"/>
      <c r="G2733" s="55"/>
    </row>
    <row r="2734">
      <c r="E2734" s="55"/>
      <c r="F2734" s="55"/>
      <c r="G2734" s="55"/>
    </row>
    <row r="2735">
      <c r="E2735" s="55"/>
      <c r="F2735" s="55"/>
      <c r="G2735" s="55"/>
    </row>
    <row r="2736">
      <c r="E2736" s="55"/>
      <c r="F2736" s="55"/>
      <c r="G2736" s="55"/>
    </row>
    <row r="2737">
      <c r="E2737" s="55"/>
      <c r="F2737" s="55"/>
      <c r="G2737" s="55"/>
    </row>
    <row r="2738">
      <c r="E2738" s="55"/>
      <c r="F2738" s="55"/>
      <c r="G2738" s="55"/>
    </row>
    <row r="2739">
      <c r="E2739" s="55"/>
      <c r="F2739" s="55"/>
      <c r="G2739" s="55"/>
    </row>
    <row r="2740">
      <c r="E2740" s="55"/>
      <c r="F2740" s="55"/>
      <c r="G2740" s="55"/>
    </row>
    <row r="2741">
      <c r="E2741" s="55"/>
      <c r="F2741" s="55"/>
      <c r="G2741" s="55"/>
    </row>
    <row r="2742">
      <c r="E2742" s="55"/>
      <c r="F2742" s="55"/>
      <c r="G2742" s="55"/>
    </row>
    <row r="2743">
      <c r="E2743" s="55"/>
      <c r="F2743" s="55"/>
      <c r="G2743" s="55"/>
    </row>
    <row r="2744">
      <c r="E2744" s="55"/>
      <c r="F2744" s="55"/>
      <c r="G2744" s="55"/>
    </row>
    <row r="2745">
      <c r="E2745" s="55"/>
      <c r="F2745" s="55"/>
      <c r="G2745" s="55"/>
    </row>
    <row r="2746">
      <c r="E2746" s="55"/>
      <c r="F2746" s="55"/>
      <c r="G2746" s="55"/>
    </row>
    <row r="2747">
      <c r="E2747" s="55"/>
      <c r="F2747" s="55"/>
      <c r="G2747" s="55"/>
    </row>
    <row r="2748">
      <c r="E2748" s="55"/>
      <c r="F2748" s="55"/>
      <c r="G2748" s="55"/>
    </row>
    <row r="2749">
      <c r="E2749" s="55"/>
      <c r="F2749" s="55"/>
      <c r="G2749" s="55"/>
    </row>
    <row r="2750">
      <c r="E2750" s="55"/>
      <c r="F2750" s="55"/>
      <c r="G2750" s="55"/>
    </row>
    <row r="2751">
      <c r="E2751" s="55"/>
      <c r="F2751" s="55"/>
      <c r="G2751" s="55"/>
    </row>
    <row r="2752">
      <c r="E2752" s="55"/>
      <c r="F2752" s="55"/>
      <c r="G2752" s="55"/>
    </row>
    <row r="2753">
      <c r="E2753" s="55"/>
      <c r="F2753" s="55"/>
      <c r="G2753" s="55"/>
    </row>
    <row r="2754">
      <c r="E2754" s="55"/>
      <c r="F2754" s="55"/>
      <c r="G2754" s="55"/>
    </row>
    <row r="2755">
      <c r="E2755" s="55"/>
      <c r="F2755" s="55"/>
      <c r="G2755" s="55"/>
    </row>
    <row r="2756">
      <c r="E2756" s="55"/>
      <c r="F2756" s="55"/>
      <c r="G2756" s="55"/>
    </row>
    <row r="2757">
      <c r="E2757" s="55"/>
      <c r="F2757" s="55"/>
      <c r="G2757" s="55"/>
    </row>
    <row r="2758">
      <c r="E2758" s="55"/>
      <c r="F2758" s="55"/>
      <c r="G2758" s="55"/>
    </row>
    <row r="2759">
      <c r="E2759" s="55"/>
      <c r="F2759" s="55"/>
      <c r="G2759" s="55"/>
    </row>
    <row r="2760">
      <c r="E2760" s="55"/>
      <c r="F2760" s="55"/>
      <c r="G2760" s="55"/>
    </row>
    <row r="2761">
      <c r="E2761" s="55"/>
      <c r="F2761" s="55"/>
      <c r="G2761" s="55"/>
    </row>
    <row r="2762">
      <c r="E2762" s="55"/>
      <c r="F2762" s="55"/>
      <c r="G2762" s="55"/>
    </row>
    <row r="2763">
      <c r="E2763" s="55"/>
      <c r="F2763" s="55"/>
      <c r="G2763" s="55"/>
    </row>
    <row r="2764">
      <c r="E2764" s="55"/>
      <c r="F2764" s="55"/>
      <c r="G2764" s="55"/>
    </row>
    <row r="2765">
      <c r="E2765" s="55"/>
      <c r="F2765" s="55"/>
      <c r="G2765" s="55"/>
    </row>
    <row r="2766">
      <c r="E2766" s="55"/>
      <c r="F2766" s="55"/>
      <c r="G2766" s="55"/>
    </row>
    <row r="2767">
      <c r="E2767" s="55"/>
      <c r="F2767" s="55"/>
      <c r="G2767" s="55"/>
    </row>
    <row r="2768">
      <c r="E2768" s="55"/>
      <c r="F2768" s="55"/>
      <c r="G2768" s="55"/>
    </row>
    <row r="2769">
      <c r="E2769" s="55"/>
      <c r="F2769" s="55"/>
      <c r="G2769" s="55"/>
    </row>
    <row r="2770">
      <c r="E2770" s="55"/>
      <c r="F2770" s="55"/>
      <c r="G2770" s="55"/>
    </row>
    <row r="2771">
      <c r="E2771" s="55"/>
      <c r="F2771" s="55"/>
      <c r="G2771" s="55"/>
    </row>
    <row r="2772">
      <c r="E2772" s="55"/>
      <c r="F2772" s="55"/>
      <c r="G2772" s="55"/>
    </row>
    <row r="2773">
      <c r="E2773" s="55"/>
      <c r="F2773" s="55"/>
      <c r="G2773" s="55"/>
    </row>
    <row r="2774">
      <c r="E2774" s="55"/>
      <c r="F2774" s="55"/>
      <c r="G2774" s="55"/>
    </row>
    <row r="2775">
      <c r="E2775" s="55"/>
      <c r="F2775" s="55"/>
      <c r="G2775" s="55"/>
    </row>
    <row r="2776">
      <c r="E2776" s="55"/>
      <c r="F2776" s="55"/>
      <c r="G2776" s="55"/>
    </row>
    <row r="2777">
      <c r="E2777" s="55"/>
      <c r="F2777" s="55"/>
      <c r="G2777" s="55"/>
    </row>
    <row r="2778">
      <c r="E2778" s="55"/>
      <c r="F2778" s="55"/>
      <c r="G2778" s="55"/>
    </row>
    <row r="2779">
      <c r="E2779" s="55"/>
      <c r="F2779" s="55"/>
      <c r="G2779" s="55"/>
    </row>
    <row r="2780">
      <c r="E2780" s="55"/>
      <c r="F2780" s="55"/>
      <c r="G2780" s="55"/>
    </row>
    <row r="2781">
      <c r="E2781" s="55"/>
      <c r="F2781" s="55"/>
      <c r="G2781" s="55"/>
    </row>
    <row r="2782">
      <c r="E2782" s="55"/>
      <c r="F2782" s="55"/>
      <c r="G2782" s="55"/>
    </row>
    <row r="2783">
      <c r="E2783" s="55"/>
      <c r="F2783" s="55"/>
      <c r="G2783" s="55"/>
    </row>
    <row r="2784">
      <c r="E2784" s="55"/>
      <c r="F2784" s="55"/>
      <c r="G2784" s="55"/>
    </row>
    <row r="2785">
      <c r="E2785" s="55"/>
      <c r="F2785" s="55"/>
      <c r="G2785" s="55"/>
    </row>
    <row r="2786">
      <c r="E2786" s="55"/>
      <c r="F2786" s="55"/>
      <c r="G2786" s="55"/>
    </row>
    <row r="2787">
      <c r="E2787" s="55"/>
      <c r="F2787" s="55"/>
      <c r="G2787" s="55"/>
    </row>
    <row r="2788">
      <c r="E2788" s="55"/>
      <c r="F2788" s="55"/>
      <c r="G2788" s="55"/>
    </row>
    <row r="2789">
      <c r="E2789" s="55"/>
      <c r="F2789" s="55"/>
      <c r="G2789" s="55"/>
    </row>
    <row r="2790">
      <c r="E2790" s="55"/>
      <c r="F2790" s="55"/>
      <c r="G2790" s="55"/>
    </row>
    <row r="2791">
      <c r="E2791" s="55"/>
      <c r="F2791" s="55"/>
      <c r="G2791" s="55"/>
    </row>
    <row r="2792">
      <c r="E2792" s="55"/>
      <c r="F2792" s="55"/>
      <c r="G2792" s="55"/>
    </row>
    <row r="2793">
      <c r="E2793" s="55"/>
      <c r="F2793" s="55"/>
      <c r="G2793" s="55"/>
    </row>
    <row r="2794">
      <c r="E2794" s="55"/>
      <c r="F2794" s="55"/>
      <c r="G2794" s="55"/>
    </row>
    <row r="2795">
      <c r="E2795" s="55"/>
      <c r="F2795" s="55"/>
      <c r="G2795" s="55"/>
    </row>
    <row r="2796">
      <c r="E2796" s="55"/>
      <c r="F2796" s="55"/>
      <c r="G2796" s="55"/>
    </row>
    <row r="2797">
      <c r="E2797" s="55"/>
      <c r="F2797" s="55"/>
      <c r="G2797" s="55"/>
    </row>
    <row r="2798">
      <c r="E2798" s="55"/>
      <c r="F2798" s="55"/>
      <c r="G2798" s="55"/>
    </row>
    <row r="2799">
      <c r="E2799" s="55"/>
      <c r="F2799" s="55"/>
      <c r="G2799" s="55"/>
    </row>
    <row r="2800">
      <c r="E2800" s="55"/>
      <c r="F2800" s="55"/>
      <c r="G2800" s="55"/>
    </row>
    <row r="2801">
      <c r="E2801" s="55"/>
      <c r="F2801" s="55"/>
      <c r="G2801" s="55"/>
    </row>
    <row r="2802">
      <c r="E2802" s="55"/>
      <c r="F2802" s="55"/>
      <c r="G2802" s="55"/>
    </row>
    <row r="2803">
      <c r="E2803" s="55"/>
      <c r="F2803" s="55"/>
      <c r="G2803" s="55"/>
    </row>
    <row r="2804">
      <c r="E2804" s="55"/>
      <c r="F2804" s="55"/>
      <c r="G2804" s="55"/>
    </row>
    <row r="2805">
      <c r="E2805" s="55"/>
      <c r="F2805" s="55"/>
      <c r="G2805" s="55"/>
    </row>
    <row r="2806">
      <c r="E2806" s="55"/>
      <c r="F2806" s="55"/>
      <c r="G2806" s="55"/>
    </row>
    <row r="2807">
      <c r="E2807" s="55"/>
      <c r="F2807" s="55"/>
      <c r="G2807" s="55"/>
    </row>
    <row r="2808">
      <c r="E2808" s="55"/>
      <c r="F2808" s="55"/>
      <c r="G2808" s="55"/>
    </row>
    <row r="2809">
      <c r="E2809" s="55"/>
      <c r="F2809" s="55"/>
      <c r="G2809" s="55"/>
    </row>
    <row r="2810">
      <c r="E2810" s="55"/>
      <c r="F2810" s="55"/>
      <c r="G2810" s="55"/>
    </row>
    <row r="2811">
      <c r="E2811" s="55"/>
      <c r="F2811" s="55"/>
      <c r="G2811" s="55"/>
    </row>
    <row r="2812">
      <c r="E2812" s="55"/>
      <c r="F2812" s="55"/>
      <c r="G2812" s="55"/>
    </row>
    <row r="2813">
      <c r="E2813" s="55"/>
      <c r="F2813" s="55"/>
      <c r="G2813" s="55"/>
    </row>
    <row r="2814">
      <c r="E2814" s="55"/>
      <c r="F2814" s="55"/>
      <c r="G2814" s="55"/>
    </row>
    <row r="2815">
      <c r="E2815" s="55"/>
      <c r="F2815" s="55"/>
      <c r="G2815" s="55"/>
    </row>
    <row r="2816">
      <c r="E2816" s="55"/>
      <c r="F2816" s="55"/>
      <c r="G2816" s="55"/>
    </row>
    <row r="2817">
      <c r="E2817" s="55"/>
      <c r="F2817" s="55"/>
      <c r="G2817" s="55"/>
    </row>
    <row r="2818">
      <c r="E2818" s="55"/>
      <c r="F2818" s="55"/>
      <c r="G2818" s="55"/>
    </row>
    <row r="2819">
      <c r="E2819" s="55"/>
      <c r="F2819" s="55"/>
      <c r="G2819" s="55"/>
    </row>
    <row r="2820">
      <c r="E2820" s="55"/>
      <c r="F2820" s="55"/>
      <c r="G2820" s="55"/>
    </row>
    <row r="2821">
      <c r="E2821" s="55"/>
      <c r="F2821" s="55"/>
      <c r="G2821" s="55"/>
    </row>
    <row r="2822">
      <c r="E2822" s="55"/>
      <c r="F2822" s="55"/>
      <c r="G2822" s="55"/>
    </row>
    <row r="2823">
      <c r="E2823" s="55"/>
      <c r="F2823" s="55"/>
      <c r="G2823" s="55"/>
    </row>
    <row r="2824">
      <c r="E2824" s="55"/>
      <c r="F2824" s="55"/>
      <c r="G2824" s="55"/>
    </row>
    <row r="2825">
      <c r="E2825" s="55"/>
      <c r="F2825" s="55"/>
      <c r="G2825" s="55"/>
    </row>
    <row r="2826">
      <c r="E2826" s="55"/>
      <c r="F2826" s="55"/>
      <c r="G2826" s="55"/>
    </row>
    <row r="2827">
      <c r="E2827" s="55"/>
      <c r="F2827" s="55"/>
      <c r="G2827" s="55"/>
    </row>
    <row r="2828">
      <c r="E2828" s="55"/>
      <c r="F2828" s="55"/>
      <c r="G2828" s="55"/>
    </row>
    <row r="2829">
      <c r="E2829" s="55"/>
      <c r="F2829" s="55"/>
      <c r="G2829" s="55"/>
    </row>
    <row r="2830">
      <c r="E2830" s="55"/>
      <c r="F2830" s="55"/>
      <c r="G2830" s="55"/>
    </row>
    <row r="2831">
      <c r="E2831" s="55"/>
      <c r="F2831" s="55"/>
      <c r="G2831" s="55"/>
    </row>
    <row r="2832">
      <c r="E2832" s="55"/>
      <c r="F2832" s="55"/>
      <c r="G2832" s="55"/>
    </row>
    <row r="2833">
      <c r="E2833" s="55"/>
      <c r="F2833" s="55"/>
      <c r="G2833" s="55"/>
    </row>
    <row r="2834">
      <c r="E2834" s="55"/>
      <c r="F2834" s="55"/>
      <c r="G2834" s="55"/>
    </row>
    <row r="2835">
      <c r="E2835" s="55"/>
      <c r="F2835" s="55"/>
      <c r="G2835" s="55"/>
    </row>
    <row r="2836">
      <c r="E2836" s="55"/>
      <c r="F2836" s="55"/>
      <c r="G2836" s="55"/>
    </row>
    <row r="2837">
      <c r="E2837" s="55"/>
      <c r="F2837" s="55"/>
      <c r="G2837" s="55"/>
    </row>
    <row r="2838">
      <c r="E2838" s="55"/>
      <c r="F2838" s="55"/>
      <c r="G2838" s="55"/>
    </row>
    <row r="2839">
      <c r="E2839" s="55"/>
      <c r="F2839" s="55"/>
      <c r="G2839" s="55"/>
    </row>
    <row r="2840">
      <c r="E2840" s="55"/>
      <c r="F2840" s="55"/>
      <c r="G2840" s="55"/>
    </row>
    <row r="2841">
      <c r="E2841" s="55"/>
      <c r="F2841" s="55"/>
      <c r="G2841" s="55"/>
    </row>
    <row r="2842">
      <c r="E2842" s="55"/>
      <c r="F2842" s="55"/>
      <c r="G2842" s="55"/>
    </row>
    <row r="2843">
      <c r="E2843" s="55"/>
      <c r="F2843" s="55"/>
      <c r="G2843" s="55"/>
    </row>
    <row r="2844">
      <c r="E2844" s="55"/>
      <c r="F2844" s="55"/>
      <c r="G2844" s="55"/>
    </row>
    <row r="2845">
      <c r="E2845" s="55"/>
      <c r="F2845" s="55"/>
      <c r="G2845" s="55"/>
    </row>
    <row r="2846">
      <c r="E2846" s="55"/>
      <c r="F2846" s="55"/>
      <c r="G2846" s="55"/>
    </row>
    <row r="2847">
      <c r="E2847" s="55"/>
      <c r="F2847" s="55"/>
      <c r="G2847" s="55"/>
    </row>
    <row r="2848">
      <c r="E2848" s="55"/>
      <c r="F2848" s="55"/>
      <c r="G2848" s="55"/>
    </row>
    <row r="2849">
      <c r="E2849" s="55"/>
      <c r="F2849" s="55"/>
      <c r="G2849" s="55"/>
    </row>
    <row r="2850">
      <c r="E2850" s="55"/>
      <c r="F2850" s="55"/>
      <c r="G2850" s="55"/>
    </row>
    <row r="2851">
      <c r="E2851" s="55"/>
      <c r="F2851" s="55"/>
      <c r="G2851" s="55"/>
    </row>
    <row r="2852">
      <c r="E2852" s="55"/>
      <c r="F2852" s="55"/>
      <c r="G2852" s="55"/>
    </row>
    <row r="2853">
      <c r="E2853" s="55"/>
      <c r="F2853" s="55"/>
      <c r="G2853" s="55"/>
    </row>
    <row r="2854">
      <c r="E2854" s="55"/>
      <c r="F2854" s="55"/>
      <c r="G2854" s="55"/>
    </row>
    <row r="2855">
      <c r="E2855" s="55"/>
      <c r="F2855" s="55"/>
      <c r="G2855" s="55"/>
    </row>
    <row r="2856">
      <c r="E2856" s="55"/>
      <c r="F2856" s="55"/>
      <c r="G2856" s="55"/>
    </row>
    <row r="2857">
      <c r="E2857" s="55"/>
      <c r="F2857" s="55"/>
      <c r="G2857" s="55"/>
    </row>
    <row r="2858">
      <c r="E2858" s="55"/>
      <c r="F2858" s="55"/>
      <c r="G2858" s="55"/>
    </row>
    <row r="2859">
      <c r="E2859" s="55"/>
      <c r="F2859" s="55"/>
      <c r="G2859" s="55"/>
    </row>
    <row r="2860">
      <c r="E2860" s="55"/>
      <c r="F2860" s="55"/>
      <c r="G2860" s="55"/>
    </row>
    <row r="2861">
      <c r="E2861" s="55"/>
      <c r="F2861" s="55"/>
      <c r="G2861" s="55"/>
    </row>
    <row r="2862">
      <c r="E2862" s="55"/>
      <c r="F2862" s="55"/>
      <c r="G2862" s="55"/>
    </row>
    <row r="2863">
      <c r="E2863" s="55"/>
      <c r="F2863" s="55"/>
      <c r="G2863" s="55"/>
    </row>
    <row r="2864">
      <c r="E2864" s="55"/>
      <c r="F2864" s="55"/>
      <c r="G2864" s="55"/>
    </row>
    <row r="2865">
      <c r="E2865" s="55"/>
      <c r="F2865" s="55"/>
      <c r="G2865" s="55"/>
    </row>
    <row r="2866">
      <c r="E2866" s="55"/>
      <c r="F2866" s="55"/>
      <c r="G2866" s="55"/>
    </row>
    <row r="2867">
      <c r="E2867" s="55"/>
      <c r="F2867" s="55"/>
      <c r="G2867" s="55"/>
    </row>
    <row r="2868">
      <c r="E2868" s="55"/>
      <c r="F2868" s="55"/>
      <c r="G2868" s="55"/>
    </row>
    <row r="2869">
      <c r="E2869" s="55"/>
      <c r="F2869" s="55"/>
      <c r="G2869" s="55"/>
    </row>
    <row r="2870">
      <c r="E2870" s="55"/>
      <c r="F2870" s="55"/>
      <c r="G2870" s="55"/>
    </row>
    <row r="2871">
      <c r="E2871" s="55"/>
      <c r="F2871" s="55"/>
      <c r="G2871" s="55"/>
    </row>
    <row r="2872">
      <c r="E2872" s="55"/>
      <c r="F2872" s="55"/>
      <c r="G2872" s="55"/>
    </row>
    <row r="2873">
      <c r="E2873" s="55"/>
      <c r="F2873" s="55"/>
      <c r="G2873" s="55"/>
    </row>
    <row r="2874">
      <c r="E2874" s="55"/>
      <c r="F2874" s="55"/>
      <c r="G2874" s="55"/>
    </row>
    <row r="2875">
      <c r="E2875" s="55"/>
      <c r="F2875" s="55"/>
      <c r="G2875" s="55"/>
    </row>
    <row r="2876">
      <c r="E2876" s="55"/>
      <c r="F2876" s="55"/>
      <c r="G2876" s="55"/>
    </row>
    <row r="2877">
      <c r="E2877" s="55"/>
      <c r="F2877" s="55"/>
      <c r="G2877" s="55"/>
    </row>
    <row r="2878">
      <c r="E2878" s="55"/>
      <c r="F2878" s="55"/>
      <c r="G2878" s="55"/>
    </row>
    <row r="2879">
      <c r="E2879" s="55"/>
      <c r="F2879" s="55"/>
      <c r="G2879" s="55"/>
    </row>
    <row r="2880">
      <c r="E2880" s="55"/>
      <c r="F2880" s="55"/>
      <c r="G2880" s="55"/>
    </row>
    <row r="2881">
      <c r="E2881" s="55"/>
      <c r="F2881" s="55"/>
      <c r="G2881" s="55"/>
    </row>
    <row r="2882">
      <c r="E2882" s="55"/>
      <c r="F2882" s="55"/>
      <c r="G2882" s="55"/>
    </row>
    <row r="2883">
      <c r="E2883" s="55"/>
      <c r="F2883" s="55"/>
      <c r="G2883" s="55"/>
    </row>
    <row r="2884">
      <c r="E2884" s="55"/>
      <c r="F2884" s="55"/>
      <c r="G2884" s="55"/>
    </row>
    <row r="2885">
      <c r="E2885" s="55"/>
      <c r="F2885" s="55"/>
      <c r="G2885" s="55"/>
    </row>
    <row r="2886">
      <c r="E2886" s="55"/>
      <c r="F2886" s="55"/>
      <c r="G2886" s="55"/>
    </row>
    <row r="2887">
      <c r="E2887" s="55"/>
      <c r="F2887" s="55"/>
      <c r="G2887" s="55"/>
    </row>
    <row r="2888">
      <c r="E2888" s="55"/>
      <c r="F2888" s="55"/>
      <c r="G2888" s="55"/>
    </row>
    <row r="2889">
      <c r="E2889" s="55"/>
      <c r="F2889" s="55"/>
      <c r="G2889" s="55"/>
    </row>
    <row r="2890">
      <c r="E2890" s="55"/>
      <c r="F2890" s="55"/>
      <c r="G2890" s="55"/>
    </row>
    <row r="2891">
      <c r="E2891" s="55"/>
      <c r="F2891" s="55"/>
      <c r="G2891" s="55"/>
    </row>
    <row r="2892">
      <c r="E2892" s="55"/>
      <c r="F2892" s="55"/>
      <c r="G2892" s="55"/>
    </row>
    <row r="2893">
      <c r="E2893" s="55"/>
      <c r="F2893" s="55"/>
      <c r="G2893" s="55"/>
    </row>
    <row r="2894">
      <c r="E2894" s="55"/>
      <c r="F2894" s="55"/>
      <c r="G2894" s="55"/>
    </row>
    <row r="2895">
      <c r="E2895" s="55"/>
      <c r="F2895" s="55"/>
      <c r="G2895" s="55"/>
    </row>
    <row r="2896">
      <c r="E2896" s="55"/>
      <c r="F2896" s="55"/>
      <c r="G2896" s="55"/>
    </row>
    <row r="2897">
      <c r="E2897" s="55"/>
      <c r="F2897" s="55"/>
      <c r="G2897" s="55"/>
    </row>
    <row r="2898">
      <c r="E2898" s="55"/>
      <c r="F2898" s="55"/>
      <c r="G2898" s="55"/>
    </row>
    <row r="2899">
      <c r="E2899" s="55"/>
      <c r="F2899" s="55"/>
      <c r="G2899" s="55"/>
    </row>
    <row r="2900">
      <c r="E2900" s="55"/>
      <c r="F2900" s="55"/>
      <c r="G2900" s="55"/>
    </row>
    <row r="2901">
      <c r="E2901" s="55"/>
      <c r="F2901" s="55"/>
      <c r="G2901" s="55"/>
    </row>
    <row r="2902">
      <c r="E2902" s="55"/>
      <c r="F2902" s="55"/>
      <c r="G2902" s="55"/>
    </row>
    <row r="2903">
      <c r="E2903" s="55"/>
      <c r="F2903" s="55"/>
      <c r="G2903" s="55"/>
    </row>
    <row r="2904">
      <c r="E2904" s="55"/>
      <c r="F2904" s="55"/>
      <c r="G2904" s="55"/>
    </row>
    <row r="2905">
      <c r="E2905" s="55"/>
      <c r="F2905" s="55"/>
      <c r="G2905" s="55"/>
    </row>
    <row r="2906">
      <c r="E2906" s="55"/>
      <c r="F2906" s="55"/>
      <c r="G2906" s="55"/>
    </row>
    <row r="2907">
      <c r="E2907" s="55"/>
      <c r="F2907" s="55"/>
      <c r="G2907" s="55"/>
    </row>
    <row r="2908">
      <c r="E2908" s="55"/>
      <c r="F2908" s="55"/>
      <c r="G2908" s="55"/>
    </row>
    <row r="2909">
      <c r="E2909" s="55"/>
      <c r="F2909" s="55"/>
      <c r="G2909" s="55"/>
    </row>
    <row r="2910">
      <c r="E2910" s="55"/>
      <c r="F2910" s="55"/>
      <c r="G2910" s="55"/>
    </row>
    <row r="2911">
      <c r="E2911" s="55"/>
      <c r="F2911" s="55"/>
      <c r="G2911" s="55"/>
    </row>
    <row r="2912">
      <c r="E2912" s="55"/>
      <c r="F2912" s="55"/>
      <c r="G2912" s="55"/>
    </row>
    <row r="2913">
      <c r="E2913" s="55"/>
      <c r="F2913" s="55"/>
      <c r="G2913" s="55"/>
    </row>
    <row r="2914">
      <c r="E2914" s="55"/>
      <c r="F2914" s="55"/>
      <c r="G2914" s="55"/>
    </row>
    <row r="2915">
      <c r="E2915" s="55"/>
      <c r="F2915" s="55"/>
      <c r="G2915" s="55"/>
    </row>
    <row r="2916">
      <c r="E2916" s="55"/>
      <c r="F2916" s="55"/>
      <c r="G2916" s="55"/>
    </row>
    <row r="2917">
      <c r="E2917" s="55"/>
      <c r="F2917" s="55"/>
      <c r="G2917" s="55"/>
    </row>
    <row r="2918">
      <c r="E2918" s="55"/>
      <c r="F2918" s="55"/>
      <c r="G2918" s="55"/>
    </row>
    <row r="2919">
      <c r="E2919" s="55"/>
      <c r="F2919" s="55"/>
      <c r="G2919" s="55"/>
    </row>
    <row r="2920">
      <c r="E2920" s="55"/>
      <c r="F2920" s="55"/>
      <c r="G2920" s="55"/>
    </row>
    <row r="2921">
      <c r="E2921" s="55"/>
      <c r="F2921" s="55"/>
      <c r="G2921" s="55"/>
    </row>
    <row r="2922">
      <c r="E2922" s="55"/>
      <c r="F2922" s="55"/>
      <c r="G2922" s="55"/>
    </row>
    <row r="2923">
      <c r="E2923" s="55"/>
      <c r="F2923" s="55"/>
      <c r="G2923" s="55"/>
    </row>
    <row r="2924">
      <c r="E2924" s="55"/>
      <c r="F2924" s="55"/>
      <c r="G2924" s="55"/>
    </row>
    <row r="2925">
      <c r="E2925" s="55"/>
      <c r="F2925" s="55"/>
      <c r="G2925" s="55"/>
    </row>
    <row r="2926">
      <c r="E2926" s="55"/>
      <c r="F2926" s="55"/>
      <c r="G2926" s="55"/>
    </row>
    <row r="2927">
      <c r="E2927" s="55"/>
      <c r="F2927" s="55"/>
      <c r="G2927" s="55"/>
    </row>
    <row r="2928">
      <c r="E2928" s="55"/>
      <c r="F2928" s="55"/>
      <c r="G2928" s="55"/>
    </row>
    <row r="2929">
      <c r="E2929" s="55"/>
      <c r="F2929" s="55"/>
      <c r="G2929" s="55"/>
    </row>
    <row r="2930">
      <c r="E2930" s="55"/>
      <c r="F2930" s="55"/>
      <c r="G2930" s="55"/>
    </row>
    <row r="2931">
      <c r="E2931" s="55"/>
      <c r="F2931" s="55"/>
      <c r="G2931" s="55"/>
    </row>
    <row r="2932">
      <c r="E2932" s="55"/>
      <c r="F2932" s="55"/>
      <c r="G2932" s="55"/>
    </row>
    <row r="2933">
      <c r="E2933" s="55"/>
      <c r="F2933" s="55"/>
      <c r="G2933" s="55"/>
    </row>
    <row r="2934">
      <c r="E2934" s="55"/>
      <c r="F2934" s="55"/>
      <c r="G2934" s="55"/>
    </row>
    <row r="2935">
      <c r="E2935" s="55"/>
      <c r="F2935" s="55"/>
      <c r="G2935" s="55"/>
    </row>
    <row r="2936">
      <c r="E2936" s="55"/>
      <c r="F2936" s="55"/>
      <c r="G2936" s="55"/>
    </row>
    <row r="2937">
      <c r="E2937" s="55"/>
      <c r="F2937" s="55"/>
      <c r="G2937" s="55"/>
    </row>
    <row r="2938">
      <c r="E2938" s="55"/>
      <c r="F2938" s="55"/>
      <c r="G2938" s="55"/>
    </row>
    <row r="2939">
      <c r="E2939" s="55"/>
      <c r="F2939" s="55"/>
      <c r="G2939" s="55"/>
    </row>
    <row r="2940">
      <c r="E2940" s="55"/>
      <c r="F2940" s="55"/>
      <c r="G2940" s="55"/>
    </row>
    <row r="2941">
      <c r="E2941" s="55"/>
      <c r="F2941" s="55"/>
      <c r="G2941" s="55"/>
    </row>
    <row r="2942">
      <c r="E2942" s="55"/>
      <c r="F2942" s="55"/>
      <c r="G2942" s="55"/>
    </row>
    <row r="2943">
      <c r="E2943" s="55"/>
      <c r="F2943" s="55"/>
      <c r="G2943" s="55"/>
    </row>
    <row r="2944">
      <c r="E2944" s="55"/>
      <c r="F2944" s="55"/>
      <c r="G2944" s="55"/>
    </row>
    <row r="2945">
      <c r="E2945" s="55"/>
      <c r="F2945" s="55"/>
      <c r="G2945" s="55"/>
    </row>
    <row r="2946">
      <c r="E2946" s="55"/>
      <c r="F2946" s="55"/>
      <c r="G2946" s="55"/>
    </row>
    <row r="2947">
      <c r="E2947" s="55"/>
      <c r="F2947" s="55"/>
      <c r="G2947" s="55"/>
    </row>
    <row r="2948">
      <c r="E2948" s="55"/>
      <c r="F2948" s="55"/>
      <c r="G2948" s="55"/>
    </row>
    <row r="2949">
      <c r="E2949" s="55"/>
      <c r="F2949" s="55"/>
      <c r="G2949" s="55"/>
    </row>
    <row r="2950">
      <c r="E2950" s="55"/>
      <c r="F2950" s="55"/>
      <c r="G2950" s="55"/>
    </row>
    <row r="2951">
      <c r="E2951" s="55"/>
      <c r="F2951" s="55"/>
      <c r="G2951" s="55"/>
    </row>
    <row r="2952">
      <c r="E2952" s="55"/>
      <c r="F2952" s="55"/>
      <c r="G2952" s="55"/>
    </row>
    <row r="2953">
      <c r="E2953" s="55"/>
      <c r="F2953" s="55"/>
      <c r="G2953" s="55"/>
    </row>
    <row r="2954">
      <c r="E2954" s="55"/>
      <c r="F2954" s="55"/>
      <c r="G2954" s="55"/>
    </row>
    <row r="2955">
      <c r="E2955" s="55"/>
      <c r="F2955" s="55"/>
      <c r="G2955" s="55"/>
    </row>
    <row r="2956">
      <c r="E2956" s="55"/>
      <c r="F2956" s="55"/>
      <c r="G2956" s="55"/>
    </row>
    <row r="2957">
      <c r="E2957" s="55"/>
      <c r="F2957" s="55"/>
      <c r="G2957" s="55"/>
    </row>
    <row r="2958">
      <c r="E2958" s="55"/>
      <c r="F2958" s="55"/>
      <c r="G2958" s="55"/>
    </row>
    <row r="2959">
      <c r="E2959" s="55"/>
      <c r="F2959" s="55"/>
      <c r="G2959" s="55"/>
    </row>
    <row r="2960">
      <c r="E2960" s="55"/>
      <c r="F2960" s="55"/>
      <c r="G2960" s="55"/>
    </row>
    <row r="2961">
      <c r="E2961" s="55"/>
      <c r="F2961" s="55"/>
      <c r="G2961" s="55"/>
    </row>
    <row r="2962">
      <c r="E2962" s="55"/>
      <c r="F2962" s="55"/>
      <c r="G2962" s="55"/>
    </row>
    <row r="2963">
      <c r="E2963" s="55"/>
      <c r="F2963" s="55"/>
      <c r="G2963" s="55"/>
    </row>
    <row r="2964">
      <c r="E2964" s="55"/>
      <c r="F2964" s="55"/>
      <c r="G2964" s="55"/>
    </row>
    <row r="2965">
      <c r="E2965" s="55"/>
      <c r="F2965" s="55"/>
      <c r="G2965" s="55"/>
    </row>
    <row r="2966">
      <c r="E2966" s="55"/>
      <c r="F2966" s="55"/>
      <c r="G2966" s="55"/>
    </row>
    <row r="2967">
      <c r="E2967" s="55"/>
      <c r="F2967" s="55"/>
      <c r="G2967" s="55"/>
    </row>
    <row r="2968">
      <c r="E2968" s="55"/>
      <c r="F2968" s="55"/>
      <c r="G2968" s="55"/>
    </row>
    <row r="2969">
      <c r="E2969" s="55"/>
      <c r="F2969" s="55"/>
      <c r="G2969" s="55"/>
    </row>
    <row r="2970">
      <c r="E2970" s="55"/>
      <c r="F2970" s="55"/>
      <c r="G2970" s="55"/>
    </row>
    <row r="2971">
      <c r="E2971" s="55"/>
      <c r="F2971" s="55"/>
      <c r="G2971" s="55"/>
    </row>
    <row r="2972">
      <c r="E2972" s="55"/>
      <c r="F2972" s="55"/>
      <c r="G2972" s="55"/>
    </row>
    <row r="2973">
      <c r="E2973" s="55"/>
      <c r="F2973" s="55"/>
      <c r="G2973" s="55"/>
    </row>
    <row r="2974">
      <c r="E2974" s="55"/>
      <c r="F2974" s="55"/>
      <c r="G2974" s="55"/>
    </row>
    <row r="2975">
      <c r="E2975" s="55"/>
      <c r="F2975" s="55"/>
      <c r="G2975" s="55"/>
    </row>
    <row r="2976">
      <c r="E2976" s="55"/>
      <c r="F2976" s="55"/>
      <c r="G2976" s="55"/>
    </row>
    <row r="2977">
      <c r="E2977" s="55"/>
      <c r="F2977" s="55"/>
      <c r="G2977" s="55"/>
    </row>
    <row r="2978">
      <c r="E2978" s="55"/>
      <c r="F2978" s="55"/>
      <c r="G2978" s="55"/>
    </row>
    <row r="2979">
      <c r="E2979" s="55"/>
      <c r="F2979" s="55"/>
      <c r="G2979" s="55"/>
    </row>
    <row r="2980">
      <c r="E2980" s="55"/>
      <c r="F2980" s="55"/>
      <c r="G2980" s="55"/>
    </row>
    <row r="2981">
      <c r="E2981" s="55"/>
      <c r="F2981" s="55"/>
      <c r="G2981" s="55"/>
    </row>
    <row r="2982">
      <c r="E2982" s="55"/>
      <c r="F2982" s="55"/>
      <c r="G2982" s="55"/>
    </row>
    <row r="2983">
      <c r="E2983" s="55"/>
      <c r="F2983" s="55"/>
      <c r="G2983" s="55"/>
    </row>
    <row r="2984">
      <c r="E2984" s="55"/>
      <c r="F2984" s="55"/>
      <c r="G2984" s="55"/>
    </row>
    <row r="2985">
      <c r="E2985" s="55"/>
      <c r="F2985" s="55"/>
      <c r="G2985" s="55"/>
    </row>
    <row r="2986">
      <c r="E2986" s="55"/>
      <c r="F2986" s="55"/>
      <c r="G2986" s="55"/>
    </row>
    <row r="2987">
      <c r="E2987" s="55"/>
      <c r="F2987" s="55"/>
      <c r="G2987" s="55"/>
    </row>
    <row r="2988">
      <c r="E2988" s="55"/>
      <c r="F2988" s="55"/>
      <c r="G2988" s="55"/>
    </row>
    <row r="2989">
      <c r="E2989" s="55"/>
      <c r="F2989" s="55"/>
      <c r="G2989" s="55"/>
    </row>
    <row r="2990">
      <c r="E2990" s="55"/>
      <c r="F2990" s="55"/>
      <c r="G2990" s="55"/>
    </row>
    <row r="2991">
      <c r="E2991" s="55"/>
      <c r="F2991" s="55"/>
      <c r="G2991" s="55"/>
    </row>
    <row r="2992">
      <c r="E2992" s="55"/>
      <c r="F2992" s="55"/>
      <c r="G2992" s="55"/>
    </row>
    <row r="2993">
      <c r="E2993" s="55"/>
      <c r="F2993" s="55"/>
      <c r="G2993" s="55"/>
    </row>
    <row r="2994">
      <c r="E2994" s="55"/>
      <c r="F2994" s="55"/>
      <c r="G2994" s="55"/>
    </row>
    <row r="2995">
      <c r="E2995" s="55"/>
      <c r="F2995" s="55"/>
      <c r="G2995" s="55"/>
    </row>
    <row r="2996">
      <c r="E2996" s="55"/>
      <c r="F2996" s="55"/>
      <c r="G2996" s="55"/>
    </row>
    <row r="2997">
      <c r="E2997" s="55"/>
      <c r="F2997" s="55"/>
      <c r="G2997" s="55"/>
    </row>
    <row r="2998">
      <c r="E2998" s="55"/>
      <c r="F2998" s="55"/>
      <c r="G2998" s="55"/>
    </row>
    <row r="2999">
      <c r="E2999" s="55"/>
      <c r="F2999" s="55"/>
      <c r="G2999" s="55"/>
    </row>
    <row r="3000">
      <c r="E3000" s="55"/>
      <c r="F3000" s="55"/>
      <c r="G3000" s="55"/>
    </row>
    <row r="3001">
      <c r="E3001" s="55"/>
      <c r="F3001" s="55"/>
      <c r="G3001" s="55"/>
    </row>
  </sheetData>
  <autoFilter ref="$A$1:$O$2563">
    <filterColumn colId="2">
      <filters>
        <filter val="короб, стикер (Алтея) ШК на товаре 4670020498017"/>
        <filter val="термо, ШК на товаре 4605543013096"/>
        <filter val="короб, стикер с составом стикер с производителем ООО &quot;Марвел&quot;"/>
        <filter val="короб, стикер (Алтея) ШК на товаре 4670020498017, стикер с составом"/>
        <filter val="короб, стикер, ОТДЕЛЬНЫЙ КОРОБ"/>
        <filter val="термо, ШК на товаре 4605543012518, стикер ШК 4673767780032"/>
        <filter val="термо, подарочный короб"/>
        <filter val="короб, стикер с составом, стикер с русским названием"/>
        <filter val="серый пакет, стикер"/>
        <filter val="короб, стикер, ШК на товаре 4605543012518, стикер ШК 4673767780032"/>
        <filter val="короб, стикер с составом стикер с производителем ООО ПКФ Две линии (Алтэя)"/>
        <filter val="черная пленка, стикер"/>
        <filter val="пупырка, стикер"/>
        <filter val="бопп пакет, стикер"/>
        <filter val="пупырка, стикер с русским названием"/>
        <filter val="черная пленка, стикер, ОТДЕЛЬНЫЙ КОРОБ"/>
        <filter val="короб"/>
        <filter val="короб, стикер, ШК на товаре 4660417421582"/>
        <filter val="короб, стикер, ШК на товаре 4660417421582, стикер с составом"/>
        <filter val="термо, подарочный короб, стикер ШК"/>
        <filter val="короб, стикер с составом"/>
        <filter val="короб, стикер, ШК на товаре 4605543013096"/>
        <filter val="короб, стикер"/>
        <filter val="термо, подарочный короб, дубль ЧЗ"/>
        <filter val="короб, стикер с составом стикер с производителем ООО &quot;СКЭМ&quot;"/>
        <filter val="термо, подарочный короб, дубль ЧЗ, стикер ШК"/>
        <filter val="короб, стикер, ШК на товаре 4610172186875, стикер с составом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5.5"/>
    <col customWidth="1" min="9" max="9" width="17.0"/>
  </cols>
  <sheetData>
    <row r="1">
      <c r="C1" s="55" t="s">
        <v>954</v>
      </c>
      <c r="D1" s="55" t="s">
        <v>955</v>
      </c>
      <c r="E1" s="55" t="s">
        <v>956</v>
      </c>
      <c r="F1" s="55" t="s">
        <v>957</v>
      </c>
      <c r="G1" s="55" t="s">
        <v>35</v>
      </c>
      <c r="H1" s="55" t="s">
        <v>36</v>
      </c>
      <c r="I1" s="55" t="s">
        <v>6</v>
      </c>
    </row>
    <row r="2">
      <c r="A2" s="319">
        <v>4.673767780032E12</v>
      </c>
      <c r="B2" s="30" t="s">
        <v>20</v>
      </c>
      <c r="C2" s="55">
        <v>8.0</v>
      </c>
      <c r="D2" s="55">
        <v>8.0</v>
      </c>
      <c r="E2" s="55">
        <v>20.0</v>
      </c>
      <c r="F2" s="55">
        <v>0.55</v>
      </c>
      <c r="G2" s="55" t="s">
        <v>917</v>
      </c>
      <c r="H2" s="55" t="s">
        <v>943</v>
      </c>
    </row>
    <row r="3">
      <c r="A3" s="23">
        <v>4.605543012839E12</v>
      </c>
      <c r="B3" s="66" t="s">
        <v>55</v>
      </c>
      <c r="C3" s="55">
        <v>5.0</v>
      </c>
      <c r="D3" s="55">
        <v>7.0</v>
      </c>
      <c r="E3" s="55">
        <v>5.0</v>
      </c>
      <c r="F3" s="55">
        <v>0.03</v>
      </c>
      <c r="G3" s="55" t="s">
        <v>917</v>
      </c>
      <c r="H3" s="55" t="s">
        <v>943</v>
      </c>
      <c r="I3" s="55" t="s">
        <v>958</v>
      </c>
      <c r="J3" s="55" t="s">
        <v>959</v>
      </c>
    </row>
    <row r="4">
      <c r="A4" s="23">
        <v>4.605543012518E12</v>
      </c>
      <c r="B4" s="66" t="s">
        <v>57</v>
      </c>
      <c r="C4" s="55">
        <v>8.0</v>
      </c>
      <c r="D4" s="55">
        <v>8.0</v>
      </c>
      <c r="E4" s="55">
        <v>20.0</v>
      </c>
      <c r="F4" s="55">
        <v>0.55</v>
      </c>
      <c r="G4" s="55" t="s">
        <v>917</v>
      </c>
      <c r="H4" s="55" t="s">
        <v>943</v>
      </c>
    </row>
    <row r="5">
      <c r="A5" s="310">
        <v>4.610172186745E12</v>
      </c>
      <c r="B5" s="60" t="s">
        <v>58</v>
      </c>
      <c r="C5" s="55">
        <v>5.0</v>
      </c>
      <c r="D5" s="55">
        <v>5.0</v>
      </c>
      <c r="E5" s="55">
        <v>22.0</v>
      </c>
      <c r="F5" s="55">
        <v>0.28</v>
      </c>
      <c r="G5" s="55" t="s">
        <v>917</v>
      </c>
      <c r="H5" s="55" t="s">
        <v>943</v>
      </c>
      <c r="I5" s="55" t="s">
        <v>958</v>
      </c>
    </row>
    <row r="6">
      <c r="A6" s="320">
        <v>4.673767781985E12</v>
      </c>
      <c r="B6" s="72" t="s">
        <v>59</v>
      </c>
      <c r="C6" s="55">
        <v>5.0</v>
      </c>
      <c r="D6" s="55">
        <v>5.0</v>
      </c>
      <c r="E6" s="55">
        <v>16.0</v>
      </c>
      <c r="F6" s="55">
        <v>0.28</v>
      </c>
      <c r="G6" s="55" t="s">
        <v>917</v>
      </c>
      <c r="H6" s="55" t="s">
        <v>943</v>
      </c>
      <c r="I6" s="55" t="s">
        <v>958</v>
      </c>
    </row>
    <row r="7">
      <c r="A7" s="320">
        <v>4.673767781992E12</v>
      </c>
      <c r="B7" s="72" t="s">
        <v>60</v>
      </c>
      <c r="C7" s="55">
        <v>7.0</v>
      </c>
      <c r="D7" s="55">
        <v>7.0</v>
      </c>
      <c r="E7" s="55">
        <v>16.0</v>
      </c>
      <c r="F7" s="55">
        <v>0.55</v>
      </c>
      <c r="G7" s="55" t="s">
        <v>917</v>
      </c>
      <c r="H7" s="55" t="s">
        <v>943</v>
      </c>
      <c r="I7" s="55" t="s">
        <v>958</v>
      </c>
    </row>
    <row r="8">
      <c r="A8" s="130">
        <v>2.044461342086E12</v>
      </c>
      <c r="B8" s="86" t="s">
        <v>42</v>
      </c>
      <c r="C8" s="55">
        <v>10.0</v>
      </c>
      <c r="D8" s="55">
        <v>7.0</v>
      </c>
      <c r="E8" s="55">
        <v>25.0</v>
      </c>
      <c r="F8" s="55">
        <v>0.56</v>
      </c>
      <c r="G8" s="55" t="s">
        <v>943</v>
      </c>
      <c r="H8" s="55" t="s">
        <v>943</v>
      </c>
      <c r="I8" s="55" t="s">
        <v>958</v>
      </c>
    </row>
    <row r="9">
      <c r="A9" s="47">
        <v>4.67376778119E12</v>
      </c>
      <c r="B9" s="60" t="s">
        <v>70</v>
      </c>
      <c r="C9" s="55">
        <v>8.0</v>
      </c>
      <c r="D9" s="55">
        <v>8.0</v>
      </c>
      <c r="E9" s="55">
        <v>16.0</v>
      </c>
      <c r="F9" s="55">
        <v>0.53</v>
      </c>
      <c r="G9" s="55" t="s">
        <v>917</v>
      </c>
      <c r="H9" s="55" t="s">
        <v>943</v>
      </c>
      <c r="I9" s="55" t="s">
        <v>958</v>
      </c>
    </row>
    <row r="10">
      <c r="A10" s="23">
        <v>4.650099657515E12</v>
      </c>
      <c r="B10" s="91" t="s">
        <v>72</v>
      </c>
      <c r="C10" s="55">
        <v>25.0</v>
      </c>
      <c r="D10" s="55">
        <v>15.0</v>
      </c>
      <c r="E10" s="55">
        <v>20.0</v>
      </c>
      <c r="F10" s="55">
        <v>0.7</v>
      </c>
      <c r="G10" s="55" t="s">
        <v>917</v>
      </c>
      <c r="H10" s="55" t="s">
        <v>917</v>
      </c>
    </row>
    <row r="11">
      <c r="A11" s="130">
        <v>4.670207150202E12</v>
      </c>
      <c r="B11" s="86" t="s">
        <v>129</v>
      </c>
      <c r="C11" s="55">
        <v>14.0</v>
      </c>
      <c r="D11" s="55">
        <v>9.0</v>
      </c>
      <c r="E11" s="55">
        <v>4.0</v>
      </c>
      <c r="F11" s="55">
        <v>0.1</v>
      </c>
      <c r="G11" s="55" t="s">
        <v>917</v>
      </c>
      <c r="H11" s="55" t="s">
        <v>943</v>
      </c>
    </row>
    <row r="12">
      <c r="A12" s="3">
        <v>4.620290621325E12</v>
      </c>
      <c r="B12" s="109" t="s">
        <v>131</v>
      </c>
      <c r="C12" s="55">
        <v>14.0</v>
      </c>
      <c r="D12" s="55">
        <v>9.0</v>
      </c>
      <c r="E12" s="55">
        <v>4.0</v>
      </c>
      <c r="F12" s="55">
        <v>0.1</v>
      </c>
      <c r="G12" s="55" t="s">
        <v>917</v>
      </c>
      <c r="H12" s="55" t="s">
        <v>943</v>
      </c>
    </row>
    <row r="13">
      <c r="A13" s="37">
        <v>4.620290621547E12</v>
      </c>
      <c r="B13" s="86" t="s">
        <v>132</v>
      </c>
      <c r="C13" s="55">
        <v>8.0</v>
      </c>
      <c r="D13" s="55">
        <v>4.0</v>
      </c>
      <c r="E13" s="55">
        <v>18.0</v>
      </c>
      <c r="F13" s="55">
        <v>0.26</v>
      </c>
      <c r="G13" s="55" t="s">
        <v>917</v>
      </c>
      <c r="H13" s="55" t="s">
        <v>960</v>
      </c>
    </row>
    <row r="14">
      <c r="A14" s="3">
        <v>4.620290621356E12</v>
      </c>
      <c r="B14" s="86" t="s">
        <v>133</v>
      </c>
      <c r="C14" s="55">
        <v>7.0</v>
      </c>
      <c r="D14" s="55">
        <v>4.0</v>
      </c>
      <c r="E14" s="55">
        <v>17.0</v>
      </c>
      <c r="F14" s="55">
        <v>0.26</v>
      </c>
      <c r="G14" s="55" t="s">
        <v>917</v>
      </c>
      <c r="H14" s="55" t="s">
        <v>960</v>
      </c>
    </row>
    <row r="15">
      <c r="A15" s="212">
        <v>4.620290621011E12</v>
      </c>
      <c r="B15" s="86" t="s">
        <v>134</v>
      </c>
      <c r="C15" s="55">
        <v>5.0</v>
      </c>
      <c r="D15" s="55">
        <v>5.0</v>
      </c>
      <c r="E15" s="55">
        <v>17.0</v>
      </c>
      <c r="F15" s="55">
        <v>0.16</v>
      </c>
      <c r="G15" s="55" t="s">
        <v>917</v>
      </c>
      <c r="H15" s="55" t="s">
        <v>960</v>
      </c>
    </row>
    <row r="16">
      <c r="A16" s="310">
        <v>4.60707717678E12</v>
      </c>
      <c r="B16" s="44" t="s">
        <v>136</v>
      </c>
      <c r="C16" s="55">
        <v>37.0</v>
      </c>
      <c r="D16" s="55">
        <v>32.0</v>
      </c>
      <c r="E16" s="55">
        <v>6.0</v>
      </c>
      <c r="F16" s="55">
        <v>2.0</v>
      </c>
      <c r="G16" s="55" t="s">
        <v>961</v>
      </c>
      <c r="H16" s="55" t="s">
        <v>917</v>
      </c>
    </row>
    <row r="17">
      <c r="A17" s="310">
        <v>4.607077176773E12</v>
      </c>
      <c r="B17" s="44" t="s">
        <v>139</v>
      </c>
      <c r="C17" s="55">
        <v>37.0</v>
      </c>
      <c r="D17" s="55">
        <v>32.0</v>
      </c>
      <c r="E17" s="55">
        <v>6.0</v>
      </c>
      <c r="F17" s="55">
        <v>2.0</v>
      </c>
      <c r="G17" s="55" t="s">
        <v>961</v>
      </c>
      <c r="H17" s="55" t="s">
        <v>917</v>
      </c>
    </row>
    <row r="18">
      <c r="A18" s="166">
        <v>4.607077176636E12</v>
      </c>
      <c r="B18" s="30" t="s">
        <v>141</v>
      </c>
      <c r="C18" s="55">
        <v>37.0</v>
      </c>
      <c r="D18" s="55">
        <v>32.0</v>
      </c>
      <c r="E18" s="55">
        <v>6.0</v>
      </c>
      <c r="F18" s="55">
        <v>2.0</v>
      </c>
      <c r="G18" s="55" t="s">
        <v>961</v>
      </c>
      <c r="H18" s="55" t="s">
        <v>917</v>
      </c>
      <c r="L18" s="226"/>
      <c r="M18" s="226"/>
    </row>
    <row r="19">
      <c r="A19" s="166">
        <v>4.607077176643E12</v>
      </c>
      <c r="B19" s="30" t="s">
        <v>142</v>
      </c>
      <c r="C19" s="55">
        <v>37.0</v>
      </c>
      <c r="D19" s="55">
        <v>32.0</v>
      </c>
      <c r="E19" s="55">
        <v>6.0</v>
      </c>
      <c r="F19" s="55">
        <v>2.0</v>
      </c>
      <c r="G19" s="55" t="s">
        <v>961</v>
      </c>
      <c r="H19" s="55" t="s">
        <v>917</v>
      </c>
    </row>
    <row r="20">
      <c r="A20" s="130">
        <v>4.646536748595E12</v>
      </c>
      <c r="B20" s="86" t="s">
        <v>144</v>
      </c>
      <c r="C20" s="55">
        <v>5.0</v>
      </c>
      <c r="D20" s="55">
        <v>5.0</v>
      </c>
      <c r="E20" s="55">
        <v>15.0</v>
      </c>
      <c r="F20" s="55">
        <v>0.1</v>
      </c>
      <c r="G20" s="55" t="s">
        <v>917</v>
      </c>
      <c r="H20" s="55" t="s">
        <v>943</v>
      </c>
      <c r="I20" s="55" t="s">
        <v>958</v>
      </c>
      <c r="J20" s="55" t="s">
        <v>959</v>
      </c>
    </row>
    <row r="21">
      <c r="A21" s="310">
        <v>4.605543011092E12</v>
      </c>
      <c r="B21" s="30" t="s">
        <v>147</v>
      </c>
      <c r="C21" s="55">
        <v>8.0</v>
      </c>
      <c r="D21" s="55">
        <v>4.0</v>
      </c>
      <c r="E21" s="55">
        <v>4.0</v>
      </c>
      <c r="F21" s="55">
        <v>0.06</v>
      </c>
      <c r="G21" s="55" t="s">
        <v>917</v>
      </c>
      <c r="H21" s="55" t="s">
        <v>917</v>
      </c>
      <c r="I21" s="55" t="s">
        <v>962</v>
      </c>
    </row>
    <row r="22">
      <c r="A22" s="310">
        <v>4.605543011085E12</v>
      </c>
      <c r="B22" s="30" t="s">
        <v>149</v>
      </c>
      <c r="C22" s="55">
        <v>8.0</v>
      </c>
      <c r="D22" s="55">
        <v>4.0</v>
      </c>
      <c r="E22" s="55">
        <v>4.0</v>
      </c>
      <c r="F22" s="55">
        <v>0.06</v>
      </c>
      <c r="G22" s="55" t="s">
        <v>917</v>
      </c>
      <c r="H22" s="55" t="s">
        <v>917</v>
      </c>
    </row>
    <row r="23">
      <c r="A23" s="124">
        <v>4.605543011153E12</v>
      </c>
      <c r="B23" s="44" t="s">
        <v>150</v>
      </c>
      <c r="C23" s="55">
        <v>8.0</v>
      </c>
      <c r="D23" s="55">
        <v>4.0</v>
      </c>
      <c r="E23" s="55">
        <v>4.0</v>
      </c>
      <c r="F23" s="55">
        <v>0.06</v>
      </c>
      <c r="G23" s="55" t="s">
        <v>917</v>
      </c>
      <c r="H23" s="55" t="s">
        <v>917</v>
      </c>
    </row>
    <row r="24">
      <c r="A24" s="124">
        <v>4.605543011177E12</v>
      </c>
      <c r="B24" s="44" t="s">
        <v>151</v>
      </c>
      <c r="C24" s="55">
        <v>8.0</v>
      </c>
      <c r="D24" s="55">
        <v>4.0</v>
      </c>
      <c r="E24" s="55">
        <v>4.0</v>
      </c>
      <c r="F24" s="55">
        <v>0.06</v>
      </c>
      <c r="G24" s="55" t="s">
        <v>917</v>
      </c>
      <c r="H24" s="55" t="s">
        <v>917</v>
      </c>
    </row>
    <row r="25">
      <c r="A25" s="3">
        <v>4.60554301116E12</v>
      </c>
      <c r="B25" s="321" t="s">
        <v>152</v>
      </c>
      <c r="C25" s="55">
        <v>8.0</v>
      </c>
      <c r="D25" s="55">
        <v>4.0</v>
      </c>
      <c r="E25" s="55">
        <v>4.0</v>
      </c>
      <c r="F25" s="55">
        <v>0.06</v>
      </c>
      <c r="G25" s="55" t="s">
        <v>917</v>
      </c>
      <c r="H25" s="55" t="s">
        <v>917</v>
      </c>
    </row>
    <row r="26">
      <c r="A26" s="23">
        <v>4.605543012471E12</v>
      </c>
      <c r="B26" s="46" t="s">
        <v>153</v>
      </c>
      <c r="C26" s="55">
        <v>8.0</v>
      </c>
      <c r="D26" s="55">
        <v>4.0</v>
      </c>
      <c r="E26" s="55">
        <v>4.0</v>
      </c>
      <c r="F26" s="55">
        <v>0.06</v>
      </c>
      <c r="G26" s="55" t="s">
        <v>917</v>
      </c>
      <c r="H26" s="55" t="s">
        <v>917</v>
      </c>
    </row>
    <row r="27">
      <c r="A27" s="23">
        <v>4.605543012495E12</v>
      </c>
      <c r="B27" s="30" t="s">
        <v>154</v>
      </c>
      <c r="C27" s="55">
        <v>8.0</v>
      </c>
      <c r="D27" s="55">
        <v>4.0</v>
      </c>
      <c r="E27" s="55">
        <v>4.0</v>
      </c>
      <c r="F27" s="55">
        <v>0.02</v>
      </c>
      <c r="G27" s="55" t="s">
        <v>917</v>
      </c>
      <c r="H27" s="55" t="s">
        <v>917</v>
      </c>
    </row>
  </sheetData>
  <drawing r:id="rId1"/>
</worksheet>
</file>